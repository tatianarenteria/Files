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7.xml" ContentType="application/vnd.openxmlformats-officedocument.drawingml.chart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workbookProtection workbookPassword="8683" lockStructure="1"/>
  <bookViews>
    <workbookView xWindow="120" yWindow="30" windowWidth="20730" windowHeight="10050"/>
  </bookViews>
  <sheets>
    <sheet name="Continous dividends" sheetId="14" r:id="rId1"/>
    <sheet name="Long Straddle" sheetId="4" r:id="rId2"/>
    <sheet name="Long Strangle" sheetId="5" r:id="rId3"/>
    <sheet name="Collar" sheetId="10" r:id="rId4"/>
    <sheet name="Long Stock Collar" sheetId="11" r:id="rId5"/>
    <sheet name="Short Condor" sheetId="12" r:id="rId6"/>
    <sheet name="Short Condor (Simplificado)" sheetId="7" r:id="rId7"/>
  </sheets>
  <calcPr calcId="145621"/>
</workbook>
</file>

<file path=xl/calcChain.xml><?xml version="1.0" encoding="utf-8"?>
<calcChain xmlns="http://schemas.openxmlformats.org/spreadsheetml/2006/main">
  <c r="E36" i="14" l="1"/>
  <c r="F36" i="14" s="1"/>
  <c r="G36" i="14" s="1"/>
  <c r="H36" i="14" s="1"/>
  <c r="I36" i="14" s="1"/>
  <c r="J36" i="14" s="1"/>
  <c r="K36" i="14" s="1"/>
  <c r="L36" i="14" s="1"/>
  <c r="M36" i="14" s="1"/>
  <c r="N36" i="14" s="1"/>
  <c r="O36" i="14" s="1"/>
  <c r="P36" i="14" s="1"/>
  <c r="Q36" i="14" s="1"/>
  <c r="R36" i="14" s="1"/>
  <c r="S36" i="14" s="1"/>
  <c r="T36" i="14" s="1"/>
  <c r="U36" i="14" s="1"/>
  <c r="V36" i="14" s="1"/>
  <c r="W36" i="14" s="1"/>
  <c r="X36" i="14" s="1"/>
  <c r="Y36" i="14" s="1"/>
  <c r="Z36" i="14" s="1"/>
  <c r="AA36" i="14" s="1"/>
  <c r="AB36" i="14" s="1"/>
  <c r="AC36" i="14" s="1"/>
  <c r="AD36" i="14" s="1"/>
  <c r="AE36" i="14" s="1"/>
  <c r="AF36" i="14" s="1"/>
  <c r="AG36" i="14" s="1"/>
  <c r="AH36" i="14" s="1"/>
  <c r="AI36" i="14" s="1"/>
  <c r="AJ36" i="14" s="1"/>
  <c r="AK36" i="14" s="1"/>
  <c r="AL36" i="14" s="1"/>
  <c r="AM36" i="14" s="1"/>
  <c r="AN36" i="14" s="1"/>
  <c r="AO36" i="14" s="1"/>
  <c r="AP36" i="14" s="1"/>
  <c r="AQ36" i="14" s="1"/>
  <c r="D36" i="14"/>
  <c r="B36" i="14"/>
  <c r="C31" i="14"/>
  <c r="B31" i="14"/>
  <c r="A31" i="14"/>
  <c r="C24" i="14"/>
  <c r="B24" i="14"/>
  <c r="C22" i="14"/>
  <c r="C23" i="14" s="1"/>
  <c r="B22" i="14"/>
  <c r="B23" i="14" s="1"/>
  <c r="D21" i="14"/>
  <c r="D24" i="14" s="1"/>
  <c r="B9" i="14"/>
  <c r="B28" i="14" s="1"/>
  <c r="B8" i="14"/>
  <c r="B27" i="14" s="1"/>
  <c r="A7" i="14"/>
  <c r="B25" i="14" l="1"/>
  <c r="D31" i="14"/>
  <c r="B33" i="14"/>
  <c r="D22" i="14"/>
  <c r="C25" i="14"/>
  <c r="B32" i="14"/>
  <c r="C33" i="14"/>
  <c r="C32" i="14"/>
  <c r="E21" i="14"/>
  <c r="D32" i="14" l="1"/>
  <c r="D33" i="14"/>
  <c r="D23" i="14"/>
  <c r="D25" i="14" s="1"/>
  <c r="E31" i="14"/>
  <c r="E24" i="14"/>
  <c r="F21" i="14"/>
  <c r="E22" i="14"/>
  <c r="E33" i="14" l="1"/>
  <c r="E23" i="14"/>
  <c r="E32" i="14"/>
  <c r="E25" i="14"/>
  <c r="F22" i="14"/>
  <c r="F31" i="14"/>
  <c r="F24" i="14"/>
  <c r="G21" i="14"/>
  <c r="G31" i="14" l="1"/>
  <c r="G24" i="14"/>
  <c r="G22" i="14"/>
  <c r="H21" i="14"/>
  <c r="F23" i="14"/>
  <c r="F25" i="14" s="1"/>
  <c r="F32" i="14"/>
  <c r="F33" i="14"/>
  <c r="H24" i="14" l="1"/>
  <c r="I21" i="14"/>
  <c r="H22" i="14"/>
  <c r="H31" i="14"/>
  <c r="G23" i="14"/>
  <c r="G25" i="14" s="1"/>
  <c r="G32" i="14"/>
  <c r="G33" i="14"/>
  <c r="H32" i="14" l="1"/>
  <c r="H33" i="14"/>
  <c r="H23" i="14"/>
  <c r="H25" i="14" s="1"/>
  <c r="I22" i="14"/>
  <c r="I31" i="14"/>
  <c r="I24" i="14"/>
  <c r="J21" i="14"/>
  <c r="I33" i="14" l="1"/>
  <c r="I23" i="14"/>
  <c r="I32" i="14"/>
  <c r="J22" i="14"/>
  <c r="J31" i="14"/>
  <c r="K21" i="14"/>
  <c r="J24" i="14"/>
  <c r="I25" i="14"/>
  <c r="J23" i="14" l="1"/>
  <c r="J25" i="14" s="1"/>
  <c r="J32" i="14"/>
  <c r="J33" i="14"/>
  <c r="K31" i="14"/>
  <c r="K24" i="14"/>
  <c r="L21" i="14"/>
  <c r="K22" i="14"/>
  <c r="K23" i="14" l="1"/>
  <c r="K25" i="14" s="1"/>
  <c r="K32" i="14"/>
  <c r="K33" i="14"/>
  <c r="L24" i="14"/>
  <c r="M21" i="14"/>
  <c r="L22" i="14"/>
  <c r="L31" i="14"/>
  <c r="M22" i="14" l="1"/>
  <c r="M31" i="14"/>
  <c r="M24" i="14"/>
  <c r="N21" i="14"/>
  <c r="L32" i="14"/>
  <c r="L33" i="14"/>
  <c r="L23" i="14"/>
  <c r="L25" i="14"/>
  <c r="N22" i="14" l="1"/>
  <c r="N31" i="14"/>
  <c r="N24" i="14"/>
  <c r="O21" i="14"/>
  <c r="M33" i="14"/>
  <c r="M23" i="14"/>
  <c r="M25" i="14" s="1"/>
  <c r="M32" i="14"/>
  <c r="O31" i="14" l="1"/>
  <c r="O24" i="14"/>
  <c r="O22" i="14"/>
  <c r="P21" i="14"/>
  <c r="N23" i="14"/>
  <c r="N32" i="14"/>
  <c r="N33" i="14"/>
  <c r="N25" i="14"/>
  <c r="P24" i="14" l="1"/>
  <c r="Q21" i="14"/>
  <c r="P22" i="14"/>
  <c r="P31" i="14"/>
  <c r="O23" i="14"/>
  <c r="O25" i="14" s="1"/>
  <c r="O32" i="14"/>
  <c r="O33" i="14"/>
  <c r="P32" i="14" l="1"/>
  <c r="P33" i="14"/>
  <c r="P23" i="14"/>
  <c r="P25" i="14" s="1"/>
  <c r="Q22" i="14"/>
  <c r="Q31" i="14"/>
  <c r="Q24" i="14"/>
  <c r="R21" i="14"/>
  <c r="Q33" i="14" l="1"/>
  <c r="Q23" i="14"/>
  <c r="Q32" i="14"/>
  <c r="R22" i="14"/>
  <c r="S21" i="14"/>
  <c r="R31" i="14"/>
  <c r="R24" i="14"/>
  <c r="Q25" i="14"/>
  <c r="R23" i="14" l="1"/>
  <c r="R25" i="14" s="1"/>
  <c r="R32" i="14"/>
  <c r="R33" i="14"/>
  <c r="S31" i="14"/>
  <c r="S24" i="14"/>
  <c r="T21" i="14"/>
  <c r="S22" i="14"/>
  <c r="S23" i="14" l="1"/>
  <c r="S25" i="14" s="1"/>
  <c r="S32" i="14"/>
  <c r="S33" i="14"/>
  <c r="T24" i="14"/>
  <c r="U21" i="14"/>
  <c r="T22" i="14"/>
  <c r="T31" i="14"/>
  <c r="T32" i="14" l="1"/>
  <c r="T33" i="14"/>
  <c r="T23" i="14"/>
  <c r="U22" i="14"/>
  <c r="U31" i="14"/>
  <c r="U24" i="14"/>
  <c r="V21" i="14"/>
  <c r="T25" i="14"/>
  <c r="U33" i="14" l="1"/>
  <c r="U23" i="14"/>
  <c r="U32" i="14"/>
  <c r="V22" i="14"/>
  <c r="V31" i="14"/>
  <c r="V24" i="14"/>
  <c r="W21" i="14"/>
  <c r="U25" i="14"/>
  <c r="V23" i="14" l="1"/>
  <c r="V25" i="14" s="1"/>
  <c r="V32" i="14"/>
  <c r="V33" i="14"/>
  <c r="W31" i="14"/>
  <c r="W24" i="14"/>
  <c r="W22" i="14"/>
  <c r="X21" i="14"/>
  <c r="X24" i="14" l="1"/>
  <c r="Y21" i="14"/>
  <c r="X22" i="14"/>
  <c r="X31" i="14"/>
  <c r="W23" i="14"/>
  <c r="W32" i="14"/>
  <c r="W33" i="14"/>
  <c r="W25" i="14"/>
  <c r="X32" i="14" l="1"/>
  <c r="X33" i="14"/>
  <c r="X23" i="14"/>
  <c r="X25" i="14" s="1"/>
  <c r="Y22" i="14"/>
  <c r="Y31" i="14"/>
  <c r="Y24" i="14"/>
  <c r="Z21" i="14"/>
  <c r="Y33" i="14" l="1"/>
  <c r="Y23" i="14"/>
  <c r="Y32" i="14"/>
  <c r="Z22" i="14"/>
  <c r="Z31" i="14"/>
  <c r="Z24" i="14"/>
  <c r="AA21" i="14"/>
  <c r="Y25" i="14"/>
  <c r="AA31" i="14" l="1"/>
  <c r="AA24" i="14"/>
  <c r="AB21" i="14"/>
  <c r="AA22" i="14"/>
  <c r="Z23" i="14"/>
  <c r="Z25" i="14" s="1"/>
  <c r="Z32" i="14"/>
  <c r="Z33" i="14"/>
  <c r="AB24" i="14" l="1"/>
  <c r="AC21" i="14"/>
  <c r="AB22" i="14"/>
  <c r="AB31" i="14"/>
  <c r="AA23" i="14"/>
  <c r="AA25" i="14" s="1"/>
  <c r="AA32" i="14"/>
  <c r="AA33" i="14"/>
  <c r="AC22" i="14" l="1"/>
  <c r="AC31" i="14"/>
  <c r="AC24" i="14"/>
  <c r="AD21" i="14"/>
  <c r="AB32" i="14"/>
  <c r="AB33" i="14"/>
  <c r="AB23" i="14"/>
  <c r="AB25" i="14" s="1"/>
  <c r="AC33" i="14" l="1"/>
  <c r="AC23" i="14"/>
  <c r="AC32" i="14"/>
  <c r="AD22" i="14"/>
  <c r="AD31" i="14"/>
  <c r="AD24" i="14"/>
  <c r="AE21" i="14"/>
  <c r="AC25" i="14"/>
  <c r="AD23" i="14" l="1"/>
  <c r="AD25" i="14" s="1"/>
  <c r="AD32" i="14"/>
  <c r="AD33" i="14"/>
  <c r="AE31" i="14"/>
  <c r="AE24" i="14"/>
  <c r="AF21" i="14"/>
  <c r="AE22" i="14"/>
  <c r="AE23" i="14" l="1"/>
  <c r="AE25" i="14" s="1"/>
  <c r="AE32" i="14"/>
  <c r="AE33" i="14"/>
  <c r="AF24" i="14"/>
  <c r="AF22" i="14"/>
  <c r="AF31" i="14"/>
  <c r="AF25" i="14" l="1"/>
  <c r="AF32" i="14"/>
  <c r="AF33" i="14"/>
  <c r="AF23" i="14"/>
  <c r="A35" i="7" l="1"/>
  <c r="B34" i="7"/>
  <c r="C34" i="7" s="1"/>
  <c r="A28" i="7"/>
  <c r="G37" i="7" s="1"/>
  <c r="A71" i="12"/>
  <c r="B70" i="12"/>
  <c r="B71" i="12" s="1"/>
  <c r="A64" i="12"/>
  <c r="O73" i="12" s="1"/>
  <c r="A62" i="12"/>
  <c r="B61" i="12"/>
  <c r="B62" i="12" s="1"/>
  <c r="A55" i="12"/>
  <c r="M73" i="12" s="1"/>
  <c r="A53" i="12"/>
  <c r="B52" i="12"/>
  <c r="B53" i="12" s="1"/>
  <c r="A46" i="12"/>
  <c r="K73" i="12" s="1"/>
  <c r="A44" i="12"/>
  <c r="B43" i="12"/>
  <c r="B44" i="12" s="1"/>
  <c r="A37" i="12"/>
  <c r="I73" i="12" s="1"/>
  <c r="A26" i="12"/>
  <c r="A35" i="12"/>
  <c r="A28" i="12"/>
  <c r="G73" i="12" s="1"/>
  <c r="B34" i="12"/>
  <c r="C34" i="12" s="1"/>
  <c r="C35" i="12" s="1"/>
  <c r="B74" i="12"/>
  <c r="C74" i="12" s="1"/>
  <c r="D74" i="12" s="1"/>
  <c r="E74" i="12" s="1"/>
  <c r="F74" i="12" s="1"/>
  <c r="G74" i="12" s="1"/>
  <c r="H74" i="12" s="1"/>
  <c r="I74" i="12" s="1"/>
  <c r="J74" i="12" s="1"/>
  <c r="K74" i="12" s="1"/>
  <c r="L74" i="12" s="1"/>
  <c r="M74" i="12" s="1"/>
  <c r="N74" i="12" s="1"/>
  <c r="O74" i="12" s="1"/>
  <c r="P74" i="12" s="1"/>
  <c r="Q74" i="12" s="1"/>
  <c r="R74" i="12" s="1"/>
  <c r="S74" i="12" s="1"/>
  <c r="T74" i="12" s="1"/>
  <c r="U74" i="12" s="1"/>
  <c r="V74" i="12" s="1"/>
  <c r="W74" i="12" s="1"/>
  <c r="B25" i="12"/>
  <c r="C25" i="12" s="1"/>
  <c r="C26" i="12" s="1"/>
  <c r="A19" i="12"/>
  <c r="E73" i="12" s="1"/>
  <c r="A17" i="12"/>
  <c r="B16" i="12"/>
  <c r="B17" i="12" s="1"/>
  <c r="A10" i="12"/>
  <c r="C73" i="12" s="1"/>
  <c r="A8" i="12"/>
  <c r="B7" i="12"/>
  <c r="B8" i="12" s="1"/>
  <c r="A1" i="12"/>
  <c r="A73" i="12" s="1"/>
  <c r="B29" i="11"/>
  <c r="C29" i="11" s="1"/>
  <c r="D29" i="11" s="1"/>
  <c r="E29" i="11" s="1"/>
  <c r="F29" i="11" s="1"/>
  <c r="G29" i="11" s="1"/>
  <c r="H29" i="11" s="1"/>
  <c r="I29" i="11" s="1"/>
  <c r="J29" i="11" s="1"/>
  <c r="K29" i="11" s="1"/>
  <c r="L29" i="11" s="1"/>
  <c r="M29" i="11" s="1"/>
  <c r="N29" i="11" s="1"/>
  <c r="O29" i="11" s="1"/>
  <c r="A26" i="11"/>
  <c r="B25" i="11"/>
  <c r="B26" i="11" s="1"/>
  <c r="A19" i="11"/>
  <c r="E28" i="11" s="1"/>
  <c r="A17" i="11"/>
  <c r="B16" i="11"/>
  <c r="C16" i="11" s="1"/>
  <c r="C17" i="11" s="1"/>
  <c r="A10" i="11"/>
  <c r="C28" i="11" s="1"/>
  <c r="A8" i="11"/>
  <c r="B7" i="11"/>
  <c r="C7" i="11" s="1"/>
  <c r="D7" i="11" s="1"/>
  <c r="A1" i="11"/>
  <c r="A28" i="11" s="1"/>
  <c r="B29" i="10"/>
  <c r="C29" i="10" s="1"/>
  <c r="D29" i="10" s="1"/>
  <c r="E29" i="10" s="1"/>
  <c r="F29" i="10" s="1"/>
  <c r="G29" i="10" s="1"/>
  <c r="H29" i="10" s="1"/>
  <c r="I29" i="10" s="1"/>
  <c r="J29" i="10" s="1"/>
  <c r="K29" i="10" s="1"/>
  <c r="L29" i="10" s="1"/>
  <c r="M29" i="10" s="1"/>
  <c r="N29" i="10" s="1"/>
  <c r="O29" i="10" s="1"/>
  <c r="A26" i="10"/>
  <c r="B25" i="10"/>
  <c r="B26" i="10" s="1"/>
  <c r="A19" i="10"/>
  <c r="E28" i="10" s="1"/>
  <c r="A17" i="10"/>
  <c r="B16" i="10"/>
  <c r="B17" i="10" s="1"/>
  <c r="A10" i="10"/>
  <c r="C28" i="10" s="1"/>
  <c r="A8" i="10"/>
  <c r="B7" i="10"/>
  <c r="B8" i="10" s="1"/>
  <c r="A1" i="10"/>
  <c r="A28" i="10" s="1"/>
  <c r="B38" i="7"/>
  <c r="C38" i="7" s="1"/>
  <c r="D38" i="7" s="1"/>
  <c r="E38" i="7" s="1"/>
  <c r="F38" i="7" s="1"/>
  <c r="G38" i="7" s="1"/>
  <c r="H38" i="7" s="1"/>
  <c r="I38" i="7" s="1"/>
  <c r="J38" i="7" s="1"/>
  <c r="K38" i="7" s="1"/>
  <c r="L38" i="7" s="1"/>
  <c r="M38" i="7" s="1"/>
  <c r="N38" i="7" s="1"/>
  <c r="O38" i="7" s="1"/>
  <c r="P38" i="7" s="1"/>
  <c r="Q38" i="7" s="1"/>
  <c r="R38" i="7" s="1"/>
  <c r="S38" i="7" s="1"/>
  <c r="T38" i="7" s="1"/>
  <c r="U38" i="7" s="1"/>
  <c r="V38" i="7" s="1"/>
  <c r="W38" i="7" s="1"/>
  <c r="A26" i="7"/>
  <c r="B25" i="7"/>
  <c r="B26" i="7" s="1"/>
  <c r="A19" i="7"/>
  <c r="E37" i="7" s="1"/>
  <c r="A17" i="7"/>
  <c r="B16" i="7"/>
  <c r="B17" i="7" s="1"/>
  <c r="A10" i="7"/>
  <c r="C37" i="7" s="1"/>
  <c r="A8" i="7"/>
  <c r="B7" i="7"/>
  <c r="B8" i="7" s="1"/>
  <c r="A1" i="7"/>
  <c r="A37" i="7" s="1"/>
  <c r="B20" i="5"/>
  <c r="C20" i="5" s="1"/>
  <c r="D20" i="5" s="1"/>
  <c r="E20" i="5" s="1"/>
  <c r="F20" i="5" s="1"/>
  <c r="G20" i="5" s="1"/>
  <c r="H20" i="5" s="1"/>
  <c r="I20" i="5" s="1"/>
  <c r="J20" i="5" s="1"/>
  <c r="K20" i="5" s="1"/>
  <c r="L20" i="5" s="1"/>
  <c r="M20" i="5" s="1"/>
  <c r="N20" i="5" s="1"/>
  <c r="O20" i="5" s="1"/>
  <c r="A17" i="5"/>
  <c r="A21" i="5" s="1"/>
  <c r="B16" i="5"/>
  <c r="B17" i="5" s="1"/>
  <c r="B21" i="5" s="1"/>
  <c r="A10" i="5"/>
  <c r="C19" i="5" s="1"/>
  <c r="A8" i="5"/>
  <c r="C7" i="5"/>
  <c r="D7" i="5" s="1"/>
  <c r="B7" i="5"/>
  <c r="B8" i="5" s="1"/>
  <c r="A1" i="5"/>
  <c r="A19" i="5" s="1"/>
  <c r="A39" i="7" l="1"/>
  <c r="B39" i="7"/>
  <c r="C43" i="12"/>
  <c r="C44" i="12" s="1"/>
  <c r="C16" i="10"/>
  <c r="C17" i="10" s="1"/>
  <c r="C35" i="7"/>
  <c r="D34" i="7"/>
  <c r="B35" i="7"/>
  <c r="A75" i="12"/>
  <c r="C70" i="12"/>
  <c r="C61" i="12"/>
  <c r="C52" i="12"/>
  <c r="C16" i="12"/>
  <c r="D16" i="12" s="1"/>
  <c r="D17" i="12" s="1"/>
  <c r="D43" i="12"/>
  <c r="B26" i="12"/>
  <c r="B35" i="12"/>
  <c r="D34" i="12"/>
  <c r="D35" i="12" s="1"/>
  <c r="C7" i="12"/>
  <c r="C8" i="12" s="1"/>
  <c r="C25" i="7"/>
  <c r="C26" i="7" s="1"/>
  <c r="C7" i="7"/>
  <c r="D7" i="7" s="1"/>
  <c r="E7" i="7" s="1"/>
  <c r="A30" i="10"/>
  <c r="A30" i="11"/>
  <c r="B8" i="11"/>
  <c r="C25" i="11"/>
  <c r="D25" i="11" s="1"/>
  <c r="B17" i="11"/>
  <c r="B30" i="10"/>
  <c r="D16" i="10"/>
  <c r="D17" i="10" s="1"/>
  <c r="C25" i="10"/>
  <c r="D8" i="11"/>
  <c r="E7" i="11"/>
  <c r="C7" i="10"/>
  <c r="D26" i="11"/>
  <c r="E25" i="11"/>
  <c r="C8" i="11"/>
  <c r="D16" i="11"/>
  <c r="D25" i="12"/>
  <c r="D26" i="12" s="1"/>
  <c r="C16" i="7"/>
  <c r="C16" i="5"/>
  <c r="D16" i="5" s="1"/>
  <c r="E16" i="5" s="1"/>
  <c r="D8" i="5"/>
  <c r="E7" i="5"/>
  <c r="C8" i="5"/>
  <c r="B21" i="4"/>
  <c r="C21" i="4" s="1"/>
  <c r="D21" i="4" s="1"/>
  <c r="E21" i="4" s="1"/>
  <c r="F21" i="4" s="1"/>
  <c r="G21" i="4" s="1"/>
  <c r="H21" i="4" s="1"/>
  <c r="I21" i="4" s="1"/>
  <c r="J21" i="4" s="1"/>
  <c r="K21" i="4" s="1"/>
  <c r="L21" i="4" s="1"/>
  <c r="M21" i="4" s="1"/>
  <c r="N21" i="4" s="1"/>
  <c r="O21" i="4" s="1"/>
  <c r="A17" i="4"/>
  <c r="B16" i="4"/>
  <c r="B17" i="4" s="1"/>
  <c r="A10" i="4"/>
  <c r="C20" i="4" s="1"/>
  <c r="A8" i="4"/>
  <c r="A22" i="4" s="1"/>
  <c r="B7" i="4"/>
  <c r="B8" i="4" s="1"/>
  <c r="A1" i="4"/>
  <c r="A20" i="4" s="1"/>
  <c r="C26" i="11" l="1"/>
  <c r="D8" i="7"/>
  <c r="C8" i="7"/>
  <c r="E34" i="7"/>
  <c r="D35" i="7"/>
  <c r="C17" i="12"/>
  <c r="B75" i="12"/>
  <c r="C71" i="12"/>
  <c r="D70" i="12"/>
  <c r="C62" i="12"/>
  <c r="D61" i="12"/>
  <c r="C53" i="12"/>
  <c r="D52" i="12"/>
  <c r="D7" i="12"/>
  <c r="E7" i="12" s="1"/>
  <c r="E16" i="12"/>
  <c r="E17" i="12" s="1"/>
  <c r="D44" i="12"/>
  <c r="E43" i="12"/>
  <c r="E34" i="12"/>
  <c r="E35" i="12" s="1"/>
  <c r="D25" i="7"/>
  <c r="E25" i="7" s="1"/>
  <c r="C30" i="11"/>
  <c r="B30" i="11"/>
  <c r="E16" i="10"/>
  <c r="E17" i="10" s="1"/>
  <c r="E16" i="11"/>
  <c r="D17" i="11"/>
  <c r="D30" i="11" s="1"/>
  <c r="E8" i="11"/>
  <c r="F7" i="11"/>
  <c r="E25" i="12"/>
  <c r="E26" i="12" s="1"/>
  <c r="E26" i="11"/>
  <c r="F25" i="11"/>
  <c r="C8" i="10"/>
  <c r="D7" i="10"/>
  <c r="C26" i="10"/>
  <c r="D25" i="10"/>
  <c r="D16" i="7"/>
  <c r="C17" i="7"/>
  <c r="C39" i="7" s="1"/>
  <c r="E8" i="7"/>
  <c r="F7" i="7"/>
  <c r="C21" i="5"/>
  <c r="D21" i="5"/>
  <c r="C17" i="5"/>
  <c r="D17" i="5"/>
  <c r="B22" i="4"/>
  <c r="C7" i="4"/>
  <c r="D7" i="4" s="1"/>
  <c r="E7" i="4" s="1"/>
  <c r="E17" i="5"/>
  <c r="F16" i="5"/>
  <c r="E8" i="5"/>
  <c r="E21" i="5" s="1"/>
  <c r="F7" i="5"/>
  <c r="C16" i="4"/>
  <c r="D8" i="12" l="1"/>
  <c r="F16" i="10"/>
  <c r="C8" i="4"/>
  <c r="D26" i="7"/>
  <c r="D39" i="7" s="1"/>
  <c r="E35" i="7"/>
  <c r="F34" i="7"/>
  <c r="F16" i="12"/>
  <c r="G16" i="12" s="1"/>
  <c r="C75" i="12"/>
  <c r="E70" i="12"/>
  <c r="D71" i="12"/>
  <c r="E61" i="12"/>
  <c r="D62" i="12"/>
  <c r="E52" i="12"/>
  <c r="D53" i="12"/>
  <c r="F43" i="12"/>
  <c r="E44" i="12"/>
  <c r="F34" i="12"/>
  <c r="F35" i="12" s="1"/>
  <c r="C30" i="10"/>
  <c r="F17" i="12"/>
  <c r="D26" i="10"/>
  <c r="E25" i="10"/>
  <c r="G25" i="11"/>
  <c r="F26" i="11"/>
  <c r="F7" i="12"/>
  <c r="E8" i="12"/>
  <c r="F25" i="12"/>
  <c r="F26" i="12" s="1"/>
  <c r="F16" i="11"/>
  <c r="E17" i="11"/>
  <c r="E30" i="11" s="1"/>
  <c r="G16" i="10"/>
  <c r="F17" i="10"/>
  <c r="G7" i="11"/>
  <c r="F8" i="11"/>
  <c r="E7" i="10"/>
  <c r="D8" i="10"/>
  <c r="F25" i="7"/>
  <c r="E26" i="7"/>
  <c r="E16" i="7"/>
  <c r="D17" i="7"/>
  <c r="G7" i="7"/>
  <c r="F8" i="7"/>
  <c r="D8" i="4"/>
  <c r="G7" i="5"/>
  <c r="F8" i="5"/>
  <c r="F17" i="5"/>
  <c r="G16" i="5"/>
  <c r="E8" i="4"/>
  <c r="F7" i="4"/>
  <c r="D16" i="4"/>
  <c r="C17" i="4"/>
  <c r="D30" i="10" l="1"/>
  <c r="C22" i="4"/>
  <c r="F21" i="5"/>
  <c r="G34" i="7"/>
  <c r="F35" i="7"/>
  <c r="D75" i="12"/>
  <c r="F70" i="12"/>
  <c r="E71" i="12"/>
  <c r="F61" i="12"/>
  <c r="E62" i="12"/>
  <c r="F52" i="12"/>
  <c r="E53" i="12"/>
  <c r="F44" i="12"/>
  <c r="G43" i="12"/>
  <c r="G34" i="12"/>
  <c r="G35" i="12" s="1"/>
  <c r="H16" i="10"/>
  <c r="G17" i="10"/>
  <c r="F17" i="11"/>
  <c r="F30" i="11" s="1"/>
  <c r="G16" i="11"/>
  <c r="F25" i="10"/>
  <c r="E26" i="10"/>
  <c r="E8" i="10"/>
  <c r="F7" i="10"/>
  <c r="H7" i="11"/>
  <c r="G8" i="11"/>
  <c r="G25" i="12"/>
  <c r="G26" i="12" s="1"/>
  <c r="H25" i="11"/>
  <c r="G26" i="11"/>
  <c r="H16" i="12"/>
  <c r="G17" i="12"/>
  <c r="F8" i="12"/>
  <c r="G7" i="12"/>
  <c r="E17" i="7"/>
  <c r="E39" i="7" s="1"/>
  <c r="F16" i="7"/>
  <c r="F26" i="7"/>
  <c r="G25" i="7"/>
  <c r="H7" i="7"/>
  <c r="G8" i="7"/>
  <c r="H7" i="5"/>
  <c r="G8" i="5"/>
  <c r="H16" i="5"/>
  <c r="G17" i="5"/>
  <c r="E16" i="4"/>
  <c r="D17" i="4"/>
  <c r="D22" i="4" s="1"/>
  <c r="G7" i="4"/>
  <c r="F8" i="4"/>
  <c r="G21" i="5" l="1"/>
  <c r="G35" i="7"/>
  <c r="H34" i="7"/>
  <c r="E75" i="12"/>
  <c r="F71" i="12"/>
  <c r="G70" i="12"/>
  <c r="F62" i="12"/>
  <c r="G61" i="12"/>
  <c r="F53" i="12"/>
  <c r="G52" i="12"/>
  <c r="G44" i="12"/>
  <c r="H43" i="12"/>
  <c r="H34" i="12"/>
  <c r="H35" i="12" s="1"/>
  <c r="E30" i="10"/>
  <c r="G8" i="12"/>
  <c r="H7" i="12"/>
  <c r="H26" i="11"/>
  <c r="I25" i="11"/>
  <c r="F26" i="10"/>
  <c r="G25" i="10"/>
  <c r="H17" i="10"/>
  <c r="I16" i="10"/>
  <c r="H25" i="12"/>
  <c r="H26" i="12" s="1"/>
  <c r="G17" i="11"/>
  <c r="G30" i="11" s="1"/>
  <c r="H16" i="11"/>
  <c r="H8" i="11"/>
  <c r="I7" i="11"/>
  <c r="H17" i="12"/>
  <c r="I16" i="12"/>
  <c r="F8" i="10"/>
  <c r="G7" i="10"/>
  <c r="G26" i="7"/>
  <c r="H25" i="7"/>
  <c r="I25" i="7" s="1"/>
  <c r="J25" i="7" s="1"/>
  <c r="H8" i="7"/>
  <c r="I7" i="7"/>
  <c r="F17" i="7"/>
  <c r="F39" i="7" s="1"/>
  <c r="G16" i="7"/>
  <c r="H8" i="5"/>
  <c r="H21" i="5" s="1"/>
  <c r="I7" i="5"/>
  <c r="I16" i="5"/>
  <c r="H17" i="5"/>
  <c r="H7" i="4"/>
  <c r="G8" i="4"/>
  <c r="E17" i="4"/>
  <c r="E22" i="4" s="1"/>
  <c r="F16" i="4"/>
  <c r="F30" i="10" l="1"/>
  <c r="I34" i="7"/>
  <c r="H35" i="7"/>
  <c r="F75" i="12"/>
  <c r="G71" i="12"/>
  <c r="H70" i="12"/>
  <c r="G62" i="12"/>
  <c r="H61" i="12"/>
  <c r="G53" i="12"/>
  <c r="H52" i="12"/>
  <c r="H44" i="12"/>
  <c r="I43" i="12"/>
  <c r="I34" i="12"/>
  <c r="I35" i="12" s="1"/>
  <c r="K25" i="7"/>
  <c r="J26" i="7"/>
  <c r="I25" i="12"/>
  <c r="I26" i="12" s="1"/>
  <c r="I17" i="10"/>
  <c r="J16" i="10"/>
  <c r="I26" i="11"/>
  <c r="J25" i="11"/>
  <c r="I8" i="11"/>
  <c r="J7" i="11"/>
  <c r="I16" i="11"/>
  <c r="H17" i="11"/>
  <c r="H30" i="11" s="1"/>
  <c r="G26" i="10"/>
  <c r="H25" i="10"/>
  <c r="I7" i="12"/>
  <c r="H8" i="12"/>
  <c r="H7" i="10"/>
  <c r="G8" i="10"/>
  <c r="I17" i="12"/>
  <c r="J16" i="12"/>
  <c r="H16" i="7"/>
  <c r="G17" i="7"/>
  <c r="G39" i="7" s="1"/>
  <c r="H26" i="7"/>
  <c r="I8" i="7"/>
  <c r="J7" i="7"/>
  <c r="I8" i="5"/>
  <c r="J7" i="5"/>
  <c r="I17" i="5"/>
  <c r="J16" i="5"/>
  <c r="F17" i="4"/>
  <c r="F22" i="4" s="1"/>
  <c r="G16" i="4"/>
  <c r="H8" i="4"/>
  <c r="I7" i="4"/>
  <c r="I35" i="7" l="1"/>
  <c r="J34" i="7"/>
  <c r="G75" i="12"/>
  <c r="I70" i="12"/>
  <c r="H71" i="12"/>
  <c r="I61" i="12"/>
  <c r="H62" i="12"/>
  <c r="I52" i="12"/>
  <c r="H53" i="12"/>
  <c r="J43" i="12"/>
  <c r="I44" i="12"/>
  <c r="J34" i="12"/>
  <c r="J35" i="12" s="1"/>
  <c r="L25" i="7"/>
  <c r="K26" i="7"/>
  <c r="G30" i="10"/>
  <c r="I25" i="10"/>
  <c r="H26" i="10"/>
  <c r="K25" i="11"/>
  <c r="J26" i="11"/>
  <c r="J16" i="11"/>
  <c r="I17" i="11"/>
  <c r="I30" i="11" s="1"/>
  <c r="J7" i="12"/>
  <c r="I8" i="12"/>
  <c r="I7" i="10"/>
  <c r="H8" i="10"/>
  <c r="H30" i="10" s="1"/>
  <c r="J25" i="12"/>
  <c r="J26" i="12" s="1"/>
  <c r="K16" i="12"/>
  <c r="J17" i="12"/>
  <c r="K7" i="11"/>
  <c r="J8" i="11"/>
  <c r="J17" i="10"/>
  <c r="K16" i="10"/>
  <c r="I16" i="7"/>
  <c r="H17" i="7"/>
  <c r="H39" i="7" s="1"/>
  <c r="I26" i="7"/>
  <c r="K7" i="7"/>
  <c r="J8" i="7"/>
  <c r="I21" i="5"/>
  <c r="J17" i="5"/>
  <c r="K16" i="5"/>
  <c r="K7" i="5"/>
  <c r="J8" i="5"/>
  <c r="J21" i="5" s="1"/>
  <c r="I8" i="4"/>
  <c r="J7" i="4"/>
  <c r="H16" i="4"/>
  <c r="G17" i="4"/>
  <c r="G22" i="4" s="1"/>
  <c r="K34" i="7" l="1"/>
  <c r="J35" i="7"/>
  <c r="H75" i="12"/>
  <c r="J70" i="12"/>
  <c r="I71" i="12"/>
  <c r="J61" i="12"/>
  <c r="I62" i="12"/>
  <c r="J52" i="12"/>
  <c r="I53" i="12"/>
  <c r="J44" i="12"/>
  <c r="K43" i="12"/>
  <c r="K34" i="12"/>
  <c r="K35" i="12" s="1"/>
  <c r="M25" i="7"/>
  <c r="L26" i="7"/>
  <c r="J7" i="10"/>
  <c r="I8" i="10"/>
  <c r="J17" i="11"/>
  <c r="J30" i="11" s="1"/>
  <c r="K16" i="11"/>
  <c r="J25" i="10"/>
  <c r="I26" i="10"/>
  <c r="L7" i="11"/>
  <c r="K8" i="11"/>
  <c r="K17" i="10"/>
  <c r="L16" i="10"/>
  <c r="L16" i="12"/>
  <c r="K17" i="12"/>
  <c r="K25" i="12"/>
  <c r="K26" i="12" s="1"/>
  <c r="J8" i="12"/>
  <c r="K7" i="12"/>
  <c r="L25" i="11"/>
  <c r="K26" i="11"/>
  <c r="L7" i="7"/>
  <c r="K8" i="7"/>
  <c r="I17" i="7"/>
  <c r="I39" i="7" s="1"/>
  <c r="J16" i="7"/>
  <c r="L7" i="5"/>
  <c r="K8" i="5"/>
  <c r="K21" i="5" s="1"/>
  <c r="L16" i="5"/>
  <c r="K17" i="5"/>
  <c r="I16" i="4"/>
  <c r="H17" i="4"/>
  <c r="H22" i="4" s="1"/>
  <c r="K7" i="4"/>
  <c r="J8" i="4"/>
  <c r="K35" i="7" l="1"/>
  <c r="L34" i="7"/>
  <c r="I75" i="12"/>
  <c r="J71" i="12"/>
  <c r="K70" i="12"/>
  <c r="J62" i="12"/>
  <c r="K61" i="12"/>
  <c r="J53" i="12"/>
  <c r="K52" i="12"/>
  <c r="K44" i="12"/>
  <c r="L43" i="12"/>
  <c r="L34" i="12"/>
  <c r="L35" i="12" s="1"/>
  <c r="N25" i="7"/>
  <c r="M26" i="7"/>
  <c r="I30" i="10"/>
  <c r="L17" i="12"/>
  <c r="M16" i="12"/>
  <c r="K17" i="11"/>
  <c r="K30" i="11" s="1"/>
  <c r="L16" i="11"/>
  <c r="L25" i="12"/>
  <c r="L26" i="12" s="1"/>
  <c r="M16" i="10"/>
  <c r="L17" i="10"/>
  <c r="L8" i="11"/>
  <c r="M7" i="11"/>
  <c r="L26" i="11"/>
  <c r="M25" i="11"/>
  <c r="K8" i="12"/>
  <c r="L7" i="12"/>
  <c r="J26" i="10"/>
  <c r="K25" i="10"/>
  <c r="J8" i="10"/>
  <c r="K7" i="10"/>
  <c r="J17" i="7"/>
  <c r="J39" i="7" s="1"/>
  <c r="K16" i="7"/>
  <c r="L8" i="7"/>
  <c r="M7" i="7"/>
  <c r="L8" i="5"/>
  <c r="L21" i="5" s="1"/>
  <c r="M7" i="5"/>
  <c r="M16" i="5"/>
  <c r="L17" i="5"/>
  <c r="L7" i="4"/>
  <c r="K8" i="4"/>
  <c r="I17" i="4"/>
  <c r="I22" i="4" s="1"/>
  <c r="J16" i="4"/>
  <c r="J30" i="10" l="1"/>
  <c r="M34" i="7"/>
  <c r="L35" i="7"/>
  <c r="J75" i="12"/>
  <c r="K71" i="12"/>
  <c r="L70" i="12"/>
  <c r="K62" i="12"/>
  <c r="L61" i="12"/>
  <c r="K53" i="12"/>
  <c r="L52" i="12"/>
  <c r="L44" i="12"/>
  <c r="M43" i="12"/>
  <c r="M34" i="12"/>
  <c r="M35" i="12" s="1"/>
  <c r="O25" i="7"/>
  <c r="N26" i="7"/>
  <c r="M26" i="11"/>
  <c r="N25" i="11"/>
  <c r="M16" i="11"/>
  <c r="L17" i="11"/>
  <c r="L30" i="11" s="1"/>
  <c r="K8" i="10"/>
  <c r="L7" i="10"/>
  <c r="M7" i="12"/>
  <c r="L8" i="12"/>
  <c r="N16" i="10"/>
  <c r="M17" i="10"/>
  <c r="M25" i="12"/>
  <c r="M26" i="12" s="1"/>
  <c r="M17" i="12"/>
  <c r="N16" i="12"/>
  <c r="M8" i="11"/>
  <c r="N7" i="11"/>
  <c r="K26" i="10"/>
  <c r="L25" i="10"/>
  <c r="M8" i="7"/>
  <c r="N7" i="7"/>
  <c r="L16" i="7"/>
  <c r="K17" i="7"/>
  <c r="K39" i="7" s="1"/>
  <c r="M17" i="5"/>
  <c r="N16" i="5"/>
  <c r="M8" i="5"/>
  <c r="N7" i="5"/>
  <c r="L8" i="4"/>
  <c r="M7" i="4"/>
  <c r="J17" i="4"/>
  <c r="J22" i="4" s="1"/>
  <c r="K16" i="4"/>
  <c r="M21" i="5" l="1"/>
  <c r="O26" i="7"/>
  <c r="P25" i="7"/>
  <c r="M35" i="7"/>
  <c r="N34" i="7"/>
  <c r="K75" i="12"/>
  <c r="M70" i="12"/>
  <c r="L71" i="12"/>
  <c r="M61" i="12"/>
  <c r="L62" i="12"/>
  <c r="M52" i="12"/>
  <c r="L53" i="12"/>
  <c r="N43" i="12"/>
  <c r="M44" i="12"/>
  <c r="N34" i="12"/>
  <c r="N35" i="12" s="1"/>
  <c r="K30" i="10"/>
  <c r="M25" i="10"/>
  <c r="L26" i="10"/>
  <c r="N25" i="12"/>
  <c r="N26" i="12" s="1"/>
  <c r="O16" i="12"/>
  <c r="N17" i="12"/>
  <c r="O7" i="11"/>
  <c r="O8" i="11" s="1"/>
  <c r="N8" i="11"/>
  <c r="N16" i="11"/>
  <c r="M17" i="11"/>
  <c r="M30" i="11" s="1"/>
  <c r="O16" i="10"/>
  <c r="O17" i="10" s="1"/>
  <c r="N17" i="10"/>
  <c r="N7" i="12"/>
  <c r="M8" i="12"/>
  <c r="M7" i="10"/>
  <c r="L8" i="10"/>
  <c r="O25" i="11"/>
  <c r="O26" i="11" s="1"/>
  <c r="N26" i="11"/>
  <c r="M16" i="7"/>
  <c r="L17" i="7"/>
  <c r="L39" i="7" s="1"/>
  <c r="O7" i="7"/>
  <c r="N8" i="7"/>
  <c r="O7" i="5"/>
  <c r="O8" i="5" s="1"/>
  <c r="O21" i="5" s="1"/>
  <c r="N8" i="5"/>
  <c r="N17" i="5"/>
  <c r="O16" i="5"/>
  <c r="O17" i="5" s="1"/>
  <c r="M8" i="4"/>
  <c r="N7" i="4"/>
  <c r="L16" i="4"/>
  <c r="K17" i="4"/>
  <c r="K22" i="4" s="1"/>
  <c r="Q25" i="7" l="1"/>
  <c r="P26" i="7"/>
  <c r="L30" i="10"/>
  <c r="O8" i="7"/>
  <c r="P7" i="7"/>
  <c r="O34" i="7"/>
  <c r="N35" i="7"/>
  <c r="L75" i="12"/>
  <c r="N70" i="12"/>
  <c r="M71" i="12"/>
  <c r="N61" i="12"/>
  <c r="M62" i="12"/>
  <c r="N52" i="12"/>
  <c r="M53" i="12"/>
  <c r="O17" i="12"/>
  <c r="P16" i="12"/>
  <c r="N44" i="12"/>
  <c r="O43" i="12"/>
  <c r="O34" i="12"/>
  <c r="O35" i="12" s="1"/>
  <c r="N8" i="12"/>
  <c r="O7" i="12"/>
  <c r="N17" i="11"/>
  <c r="N30" i="11" s="1"/>
  <c r="O16" i="11"/>
  <c r="O17" i="11" s="1"/>
  <c r="O30" i="11" s="1"/>
  <c r="N7" i="10"/>
  <c r="M8" i="10"/>
  <c r="O25" i="12"/>
  <c r="M26" i="10"/>
  <c r="N25" i="10"/>
  <c r="M17" i="7"/>
  <c r="M39" i="7" s="1"/>
  <c r="N16" i="7"/>
  <c r="N21" i="5"/>
  <c r="O7" i="4"/>
  <c r="O8" i="4" s="1"/>
  <c r="N8" i="4"/>
  <c r="M16" i="4"/>
  <c r="L17" i="4"/>
  <c r="L22" i="4" s="1"/>
  <c r="O35" i="7" l="1"/>
  <c r="P34" i="7"/>
  <c r="Q7" i="7"/>
  <c r="P8" i="7"/>
  <c r="M30" i="10"/>
  <c r="Q26" i="7"/>
  <c r="R25" i="7"/>
  <c r="M75" i="12"/>
  <c r="N71" i="12"/>
  <c r="O70" i="12"/>
  <c r="N62" i="12"/>
  <c r="O61" i="12"/>
  <c r="N53" i="12"/>
  <c r="O52" i="12"/>
  <c r="P25" i="12"/>
  <c r="O26" i="12"/>
  <c r="O44" i="12"/>
  <c r="P43" i="12"/>
  <c r="O8" i="12"/>
  <c r="P7" i="12"/>
  <c r="P17" i="12"/>
  <c r="Q16" i="12"/>
  <c r="P34" i="12"/>
  <c r="P35" i="12" s="1"/>
  <c r="N26" i="10"/>
  <c r="O25" i="10"/>
  <c r="O26" i="10" s="1"/>
  <c r="N8" i="10"/>
  <c r="N30" i="10" s="1"/>
  <c r="O7" i="10"/>
  <c r="O8" i="10" s="1"/>
  <c r="O30" i="10" s="1"/>
  <c r="N17" i="7"/>
  <c r="N39" i="7" s="1"/>
  <c r="O16" i="7"/>
  <c r="M17" i="4"/>
  <c r="M22" i="4" s="1"/>
  <c r="N16" i="4"/>
  <c r="O17" i="7" l="1"/>
  <c r="O39" i="7" s="1"/>
  <c r="P16" i="7"/>
  <c r="S25" i="7"/>
  <c r="R26" i="7"/>
  <c r="R7" i="7"/>
  <c r="Q8" i="7"/>
  <c r="Q34" i="7"/>
  <c r="P35" i="7"/>
  <c r="N75" i="12"/>
  <c r="O71" i="12"/>
  <c r="P70" i="12"/>
  <c r="O62" i="12"/>
  <c r="P61" i="12"/>
  <c r="O53" i="12"/>
  <c r="P52" i="12"/>
  <c r="P26" i="12"/>
  <c r="Q25" i="12"/>
  <c r="R16" i="12"/>
  <c r="Q17" i="12"/>
  <c r="P44" i="12"/>
  <c r="Q43" i="12"/>
  <c r="P8" i="12"/>
  <c r="Q7" i="12"/>
  <c r="Q34" i="12"/>
  <c r="Q35" i="12" s="1"/>
  <c r="N17" i="4"/>
  <c r="N22" i="4" s="1"/>
  <c r="O16" i="4"/>
  <c r="O17" i="4" s="1"/>
  <c r="O22" i="4" s="1"/>
  <c r="S26" i="7" l="1"/>
  <c r="T25" i="7"/>
  <c r="S7" i="7"/>
  <c r="R8" i="7"/>
  <c r="P17" i="7"/>
  <c r="P39" i="7" s="1"/>
  <c r="Q16" i="7"/>
  <c r="Q35" i="7"/>
  <c r="R34" i="7"/>
  <c r="O75" i="12"/>
  <c r="Q70" i="12"/>
  <c r="P71" i="12"/>
  <c r="Q61" i="12"/>
  <c r="P62" i="12"/>
  <c r="Q52" i="12"/>
  <c r="P53" i="12"/>
  <c r="Q8" i="12"/>
  <c r="R7" i="12"/>
  <c r="R17" i="12"/>
  <c r="S16" i="12"/>
  <c r="R43" i="12"/>
  <c r="Q44" i="12"/>
  <c r="Q26" i="12"/>
  <c r="R25" i="12"/>
  <c r="R34" i="12"/>
  <c r="R35" i="12" s="1"/>
  <c r="R35" i="7" l="1"/>
  <c r="S34" i="7"/>
  <c r="Q17" i="7"/>
  <c r="Q39" i="7" s="1"/>
  <c r="R16" i="7"/>
  <c r="T7" i="7"/>
  <c r="S8" i="7"/>
  <c r="T26" i="7"/>
  <c r="U25" i="7"/>
  <c r="P75" i="12"/>
  <c r="R70" i="12"/>
  <c r="Q71" i="12"/>
  <c r="R61" i="12"/>
  <c r="Q62" i="12"/>
  <c r="R52" i="12"/>
  <c r="Q53" i="12"/>
  <c r="R44" i="12"/>
  <c r="S43" i="12"/>
  <c r="R26" i="12"/>
  <c r="S25" i="12"/>
  <c r="T16" i="12"/>
  <c r="S17" i="12"/>
  <c r="S7" i="12"/>
  <c r="R8" i="12"/>
  <c r="S34" i="12"/>
  <c r="S35" i="12" s="1"/>
  <c r="V25" i="7" l="1"/>
  <c r="U26" i="7"/>
  <c r="U7" i="7"/>
  <c r="T8" i="7"/>
  <c r="S16" i="7"/>
  <c r="R17" i="7"/>
  <c r="R39" i="7" s="1"/>
  <c r="S35" i="7"/>
  <c r="T34" i="7"/>
  <c r="Q75" i="12"/>
  <c r="R71" i="12"/>
  <c r="S70" i="12"/>
  <c r="R62" i="12"/>
  <c r="S61" i="12"/>
  <c r="R53" i="12"/>
  <c r="S52" i="12"/>
  <c r="T17" i="12"/>
  <c r="U16" i="12"/>
  <c r="S26" i="12"/>
  <c r="T25" i="12"/>
  <c r="S8" i="12"/>
  <c r="T7" i="12"/>
  <c r="S44" i="12"/>
  <c r="T43" i="12"/>
  <c r="T34" i="12"/>
  <c r="T35" i="12" s="1"/>
  <c r="T35" i="7" l="1"/>
  <c r="U34" i="7"/>
  <c r="V7" i="7"/>
  <c r="U8" i="7"/>
  <c r="T16" i="7"/>
  <c r="S17" i="7"/>
  <c r="S39" i="7" s="1"/>
  <c r="V26" i="7"/>
  <c r="W25" i="7"/>
  <c r="W26" i="7" s="1"/>
  <c r="R75" i="12"/>
  <c r="S71" i="12"/>
  <c r="T70" i="12"/>
  <c r="S62" i="12"/>
  <c r="T61" i="12"/>
  <c r="S53" i="12"/>
  <c r="T52" i="12"/>
  <c r="T8" i="12"/>
  <c r="U7" i="12"/>
  <c r="T44" i="12"/>
  <c r="U43" i="12"/>
  <c r="T26" i="12"/>
  <c r="U25" i="12"/>
  <c r="V16" i="12"/>
  <c r="U17" i="12"/>
  <c r="U34" i="12"/>
  <c r="U35" i="12" s="1"/>
  <c r="T17" i="7" l="1"/>
  <c r="T39" i="7" s="1"/>
  <c r="U16" i="7"/>
  <c r="W7" i="7"/>
  <c r="W8" i="7" s="1"/>
  <c r="V8" i="7"/>
  <c r="V34" i="7"/>
  <c r="U35" i="7"/>
  <c r="S75" i="12"/>
  <c r="U70" i="12"/>
  <c r="T71" i="12"/>
  <c r="U61" i="12"/>
  <c r="T62" i="12"/>
  <c r="U52" i="12"/>
  <c r="T53" i="12"/>
  <c r="V43" i="12"/>
  <c r="U44" i="12"/>
  <c r="W16" i="12"/>
  <c r="W17" i="12" s="1"/>
  <c r="V17" i="12"/>
  <c r="U26" i="12"/>
  <c r="V25" i="12"/>
  <c r="V7" i="12"/>
  <c r="U8" i="12"/>
  <c r="V34" i="12"/>
  <c r="V35" i="7" l="1"/>
  <c r="W34" i="7"/>
  <c r="W35" i="7" s="1"/>
  <c r="V16" i="7"/>
  <c r="U17" i="7"/>
  <c r="U39" i="7" s="1"/>
  <c r="T75" i="12"/>
  <c r="V70" i="12"/>
  <c r="U71" i="12"/>
  <c r="V61" i="12"/>
  <c r="U62" i="12"/>
  <c r="V52" i="12"/>
  <c r="U53" i="12"/>
  <c r="V44" i="12"/>
  <c r="W43" i="12"/>
  <c r="W44" i="12" s="1"/>
  <c r="W34" i="12"/>
  <c r="W35" i="12" s="1"/>
  <c r="V35" i="12"/>
  <c r="W7" i="12"/>
  <c r="W8" i="12" s="1"/>
  <c r="V8" i="12"/>
  <c r="V26" i="12"/>
  <c r="W25" i="12"/>
  <c r="W26" i="12" s="1"/>
  <c r="V17" i="7" l="1"/>
  <c r="V39" i="7" s="1"/>
  <c r="W16" i="7"/>
  <c r="W17" i="7" s="1"/>
  <c r="W39" i="7" s="1"/>
  <c r="U75" i="12"/>
  <c r="V71" i="12"/>
  <c r="W70" i="12"/>
  <c r="W71" i="12" s="1"/>
  <c r="V62" i="12"/>
  <c r="W61" i="12"/>
  <c r="W62" i="12" s="1"/>
  <c r="V53" i="12"/>
  <c r="W52" i="12"/>
  <c r="W53" i="12" s="1"/>
  <c r="W75" i="12" l="1"/>
  <c r="V75" i="12"/>
</calcChain>
</file>

<file path=xl/sharedStrings.xml><?xml version="1.0" encoding="utf-8"?>
<sst xmlns="http://schemas.openxmlformats.org/spreadsheetml/2006/main" count="199" uniqueCount="31">
  <si>
    <t>Call</t>
  </si>
  <si>
    <t>Put</t>
  </si>
  <si>
    <t>Strike price (K)</t>
  </si>
  <si>
    <t>Stock price (S)</t>
  </si>
  <si>
    <t>Corto</t>
  </si>
  <si>
    <t>Largo</t>
  </si>
  <si>
    <t>Stock</t>
  </si>
  <si>
    <t>+</t>
  </si>
  <si>
    <t>Quiero que me pagues lo que está afuera de mi tolerancia al riesgo</t>
  </si>
  <si>
    <t>Stock Price (S)</t>
  </si>
  <si>
    <t>Strike Price (K)</t>
  </si>
  <si>
    <t>σ</t>
  </si>
  <si>
    <t>r</t>
  </si>
  <si>
    <t>T</t>
  </si>
  <si>
    <t>δ (continous dividend yield)</t>
  </si>
  <si>
    <t>d1</t>
  </si>
  <si>
    <t>d2</t>
  </si>
  <si>
    <t>Stock Price</t>
  </si>
  <si>
    <t>Payoff</t>
  </si>
  <si>
    <t>Option</t>
  </si>
  <si>
    <t>Call European option</t>
  </si>
  <si>
    <t>Put European option</t>
  </si>
  <si>
    <t>Greeks</t>
  </si>
  <si>
    <t>Delta</t>
  </si>
  <si>
    <t>Gamma</t>
  </si>
  <si>
    <t>DELTA</t>
  </si>
  <si>
    <t>6 months</t>
  </si>
  <si>
    <t>3months</t>
  </si>
  <si>
    <t>1 month</t>
  </si>
  <si>
    <t>10 days</t>
  </si>
  <si>
    <t>GAMMA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</si>
</sst>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$&quot;* #,##0.00_-;\-&quot;$&quot;* #,##0.00_-;_-&quot;$&quot;* &quot;-&quot;??_-;_-@_-"/>
    <numFmt numFmtId="164" formatCode="_-&quot;$&quot;* #,##0.0000_-;\-&quot;$&quot;* #,##0.0000_-;_-&quot;$&quot;* &quot;-&quot;??_-;_-@_-"/>
  </numFmts>
  <fonts count="2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b/>
      <sz val="16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sz val="11"/>
      <color theme="1" tint="0.14999847407452621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sz val="8"/>
      <color rgb="FFECECEC"/>
      <name val="Calibri"/>
      <family val="2"/>
    </font>
    <font>
      <sz val="8"/>
      <color rgb="FFECECEC"/>
      <name val="Calibri"/>
      <family val="2"/>
      <scheme val="minor"/>
    </font>
    <font>
      <sz val="11"/>
      <color theme="1" tint="0.14999847407452621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C3399"/>
        <bgColor indexed="64"/>
      </patternFill>
    </fill>
    <fill>
      <patternFill patternType="solid">
        <fgColor rgb="FF00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8" tint="-0.49998474074526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</cellStyleXfs>
  <cellXfs count="53">
    <xf numFmtId="0" fontId="0" fillId="0" borderId="0" xfId="0"/>
    <xf numFmtId="0" fontId="0" fillId="2" borderId="0" xfId="0" applyFill="1"/>
    <xf numFmtId="0" fontId="3" fillId="2" borderId="0" xfId="0" applyFont="1" applyFill="1"/>
    <xf numFmtId="0" fontId="1" fillId="2" borderId="0" xfId="0" applyFont="1" applyFill="1"/>
    <xf numFmtId="0" fontId="4" fillId="2" borderId="0" xfId="0" applyFont="1" applyFill="1"/>
    <xf numFmtId="0" fontId="2" fillId="2" borderId="0" xfId="0" applyFont="1" applyFill="1"/>
    <xf numFmtId="0" fontId="5" fillId="2" borderId="0" xfId="0" applyFont="1" applyFill="1"/>
    <xf numFmtId="0" fontId="6" fillId="7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vertical="center"/>
    </xf>
    <xf numFmtId="0" fontId="7" fillId="5" borderId="0" xfId="0" applyFont="1" applyFill="1" applyBorder="1" applyAlignment="1">
      <alignment vertical="center"/>
    </xf>
    <xf numFmtId="0" fontId="7" fillId="6" borderId="0" xfId="0" applyFont="1" applyFill="1" applyBorder="1" applyAlignment="1">
      <alignment vertical="center"/>
    </xf>
    <xf numFmtId="0" fontId="7" fillId="3" borderId="0" xfId="0" applyFont="1" applyFill="1" applyBorder="1" applyAlignment="1">
      <alignment vertical="center"/>
    </xf>
    <xf numFmtId="0" fontId="8" fillId="2" borderId="0" xfId="0" applyFont="1" applyFill="1"/>
    <xf numFmtId="0" fontId="9" fillId="2" borderId="0" xfId="0" applyFont="1" applyFill="1"/>
    <xf numFmtId="0" fontId="10" fillId="8" borderId="0" xfId="0" applyFont="1" applyFill="1" applyBorder="1" applyAlignment="1">
      <alignment vertical="center"/>
    </xf>
    <xf numFmtId="0" fontId="10" fillId="9" borderId="0" xfId="0" applyFont="1" applyFill="1" applyBorder="1" applyAlignment="1">
      <alignment vertical="center"/>
    </xf>
    <xf numFmtId="0" fontId="7" fillId="10" borderId="0" xfId="0" applyFont="1" applyFill="1" applyBorder="1" applyAlignment="1">
      <alignment vertical="center"/>
    </xf>
    <xf numFmtId="0" fontId="10" fillId="11" borderId="0" xfId="0" applyFont="1" applyFill="1" applyBorder="1" applyAlignment="1">
      <alignment vertical="center"/>
    </xf>
    <xf numFmtId="44" fontId="13" fillId="12" borderId="0" xfId="1" applyFont="1" applyFill="1"/>
    <xf numFmtId="0" fontId="13" fillId="12" borderId="0" xfId="1" applyNumberFormat="1" applyFont="1" applyFill="1"/>
    <xf numFmtId="10" fontId="13" fillId="12" borderId="0" xfId="2" applyNumberFormat="1" applyFont="1" applyFill="1"/>
    <xf numFmtId="2" fontId="13" fillId="12" borderId="0" xfId="1" applyNumberFormat="1" applyFont="1" applyFill="1"/>
    <xf numFmtId="2" fontId="13" fillId="12" borderId="0" xfId="2" applyNumberFormat="1" applyFont="1" applyFill="1"/>
    <xf numFmtId="0" fontId="14" fillId="13" borderId="0" xfId="0" applyFont="1" applyFill="1" applyBorder="1"/>
    <xf numFmtId="0" fontId="15" fillId="13" borderId="0" xfId="0" applyFont="1" applyFill="1"/>
    <xf numFmtId="44" fontId="16" fillId="2" borderId="0" xfId="1" applyFont="1" applyFill="1"/>
    <xf numFmtId="0" fontId="17" fillId="2" borderId="0" xfId="0" applyFont="1" applyFill="1"/>
    <xf numFmtId="44" fontId="18" fillId="2" borderId="0" xfId="1" applyFont="1" applyFill="1"/>
    <xf numFmtId="0" fontId="14" fillId="2" borderId="0" xfId="0" applyFont="1" applyFill="1"/>
    <xf numFmtId="0" fontId="0" fillId="3" borderId="0" xfId="0" applyFill="1" applyBorder="1"/>
    <xf numFmtId="0" fontId="0" fillId="3" borderId="0" xfId="0" applyFill="1"/>
    <xf numFmtId="0" fontId="0" fillId="2" borderId="0" xfId="0" applyFill="1" applyBorder="1"/>
    <xf numFmtId="0" fontId="19" fillId="14" borderId="1" xfId="0" applyFont="1" applyFill="1" applyBorder="1" applyAlignment="1">
      <alignment horizontal="center"/>
    </xf>
    <xf numFmtId="0" fontId="0" fillId="15" borderId="0" xfId="0" applyFill="1" applyBorder="1"/>
    <xf numFmtId="0" fontId="19" fillId="3" borderId="2" xfId="0" applyFont="1" applyFill="1" applyBorder="1"/>
    <xf numFmtId="164" fontId="19" fillId="3" borderId="3" xfId="1" applyNumberFormat="1" applyFont="1" applyFill="1" applyBorder="1"/>
    <xf numFmtId="0" fontId="20" fillId="16" borderId="2" xfId="0" applyFont="1" applyFill="1" applyBorder="1" applyAlignment="1">
      <alignment horizontal="center"/>
    </xf>
    <xf numFmtId="0" fontId="0" fillId="15" borderId="1" xfId="0" applyFill="1" applyBorder="1"/>
    <xf numFmtId="0" fontId="0" fillId="15" borderId="4" xfId="0" applyFill="1" applyBorder="1"/>
    <xf numFmtId="0" fontId="0" fillId="15" borderId="5" xfId="0" applyFill="1" applyBorder="1"/>
    <xf numFmtId="0" fontId="0" fillId="15" borderId="6" xfId="0" applyFill="1" applyBorder="1"/>
    <xf numFmtId="0" fontId="0" fillId="14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14" borderId="10" xfId="0" applyFill="1" applyBorder="1"/>
    <xf numFmtId="0" fontId="0" fillId="2" borderId="11" xfId="0" applyFill="1" applyBorder="1"/>
    <xf numFmtId="0" fontId="0" fillId="14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14" borderId="7" xfId="0" applyFill="1" applyBorder="1" applyAlignment="1">
      <alignment horizontal="center" vertical="center"/>
    </xf>
    <xf numFmtId="0" fontId="0" fillId="14" borderId="10" xfId="0" applyFill="1" applyBorder="1" applyAlignment="1">
      <alignment horizontal="center" vertical="center"/>
    </xf>
    <xf numFmtId="0" fontId="0" fillId="14" borderId="12" xfId="0" applyFill="1" applyBorder="1" applyAlignment="1">
      <alignment horizontal="center" vertical="center"/>
    </xf>
    <xf numFmtId="0" fontId="6" fillId="7" borderId="0" xfId="0" applyFont="1" applyFill="1" applyBorder="1" applyAlignment="1">
      <alignment horizontal="center" vertical="center"/>
    </xf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colors>
    <mruColors>
      <color rgb="FFFFFF00"/>
      <color rgb="FFFF66FF"/>
      <color rgb="FF3333FF"/>
      <color rgb="FFFF9933"/>
      <color rgb="FFCC3399"/>
      <color rgb="FF00FFCC"/>
      <color rgb="FF00CCFF"/>
      <color rgb="FFCC66FF"/>
      <color rgb="FF00FF00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title>
      <c:tx>
        <c:strRef>
          <c:f>'Continous dividends'!$A$7</c:f>
          <c:strCache>
            <c:ptCount val="1"/>
            <c:pt idx="0">
              <c:v>Call</c:v>
            </c:pt>
          </c:strCache>
        </c:strRef>
      </c:tx>
      <c:layout/>
      <c:overlay val="0"/>
      <c:txPr>
        <a:bodyPr rot="0" vert="horz"/>
        <a:lstStyle/>
        <a:p>
          <a:pPr>
            <a:defRPr/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Opción</c:v>
          </c:tx>
          <c:xVal>
            <c:numRef>
              <c:f>'Continous dividends'!$B$21:$AF$21</c:f>
              <c:numCache>
                <c:formatCode>General</c:formatCode>
                <c:ptCount val="31"/>
                <c:pt idx="0">
                  <c:v>0.01</c:v>
                </c:pt>
                <c:pt idx="1">
                  <c:v>10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105</c:v>
                </c:pt>
                <c:pt idx="20">
                  <c:v>110</c:v>
                </c:pt>
                <c:pt idx="21">
                  <c:v>115</c:v>
                </c:pt>
                <c:pt idx="22">
                  <c:v>120</c:v>
                </c:pt>
                <c:pt idx="23">
                  <c:v>125</c:v>
                </c:pt>
                <c:pt idx="24">
                  <c:v>130</c:v>
                </c:pt>
                <c:pt idx="25">
                  <c:v>135</c:v>
                </c:pt>
                <c:pt idx="26">
                  <c:v>140</c:v>
                </c:pt>
                <c:pt idx="27">
                  <c:v>145</c:v>
                </c:pt>
                <c:pt idx="28">
                  <c:v>150</c:v>
                </c:pt>
                <c:pt idx="29">
                  <c:v>155</c:v>
                </c:pt>
                <c:pt idx="30">
                  <c:v>160</c:v>
                </c:pt>
              </c:numCache>
            </c:numRef>
          </c:xVal>
          <c:yVal>
            <c:numRef>
              <c:f>'Continous dividends'!$B$25:$AF$25</c:f>
              <c:numCache>
                <c:formatCode>General</c:formatCode>
                <c:ptCount val="31"/>
                <c:pt idx="0">
                  <c:v>0</c:v>
                </c:pt>
                <c:pt idx="1">
                  <c:v>3.1961654693296391E-59</c:v>
                </c:pt>
                <c:pt idx="2">
                  <c:v>1.0710832045041358E-29</c:v>
                </c:pt>
                <c:pt idx="3">
                  <c:v>2.2051775732222079E-22</c:v>
                </c:pt>
                <c:pt idx="4">
                  <c:v>3.4053217960258572E-17</c:v>
                </c:pt>
                <c:pt idx="5">
                  <c:v>2.3459725879803825E-13</c:v>
                </c:pt>
                <c:pt idx="6">
                  <c:v>1.9570241472505732E-10</c:v>
                </c:pt>
                <c:pt idx="7">
                  <c:v>3.6327820859508355E-8</c:v>
                </c:pt>
                <c:pt idx="8">
                  <c:v>2.2265885075444973E-6</c:v>
                </c:pt>
                <c:pt idx="9">
                  <c:v>5.8944096398682233E-5</c:v>
                </c:pt>
                <c:pt idx="10">
                  <c:v>8.1499914904761828E-4</c:v>
                </c:pt>
                <c:pt idx="11">
                  <c:v>6.7618935745459852E-3</c:v>
                </c:pt>
                <c:pt idx="12">
                  <c:v>3.7361496892839963E-2</c:v>
                </c:pt>
                <c:pt idx="13">
                  <c:v>0.14893868979524516</c:v>
                </c:pt>
                <c:pt idx="14">
                  <c:v>0.45615479066424847</c:v>
                </c:pt>
                <c:pt idx="15">
                  <c:v>1.1286008039310769</c:v>
                </c:pt>
                <c:pt idx="16">
                  <c:v>2.3494282954139933</c:v>
                </c:pt>
                <c:pt idx="17">
                  <c:v>4.2545406481204964</c:v>
                </c:pt>
                <c:pt idx="18">
                  <c:v>6.8887285776806237</c:v>
                </c:pt>
                <c:pt idx="19">
                  <c:v>10.201257670827346</c:v>
                </c:pt>
                <c:pt idx="20">
                  <c:v>14.075384036381706</c:v>
                </c:pt>
                <c:pt idx="21">
                  <c:v>18.369819849852931</c:v>
                </c:pt>
                <c:pt idx="22">
                  <c:v>22.952452747025788</c:v>
                </c:pt>
                <c:pt idx="23">
                  <c:v>27.718201751796897</c:v>
                </c:pt>
                <c:pt idx="24">
                  <c:v>32.592819263522102</c:v>
                </c:pt>
                <c:pt idx="25">
                  <c:v>37.528508750101608</c:v>
                </c:pt>
                <c:pt idx="26">
                  <c:v>42.496757292872829</c:v>
                </c:pt>
                <c:pt idx="27">
                  <c:v>47.481605473049257</c:v>
                </c:pt>
                <c:pt idx="28">
                  <c:v>52.474590853546488</c:v>
                </c:pt>
                <c:pt idx="29">
                  <c:v>57.471429714948073</c:v>
                </c:pt>
                <c:pt idx="30">
                  <c:v>62.470038804814067</c:v>
                </c:pt>
              </c:numCache>
            </c:numRef>
          </c:yVal>
          <c:smooth val="0"/>
        </c:ser>
        <c:ser>
          <c:idx val="1"/>
          <c:order val="1"/>
          <c:tx>
            <c:v>Payoff</c:v>
          </c:tx>
          <c:xVal>
            <c:numRef>
              <c:f>'Continous dividends'!$B$21:$AF$21</c:f>
              <c:numCache>
                <c:formatCode>General</c:formatCode>
                <c:ptCount val="31"/>
                <c:pt idx="0">
                  <c:v>0.01</c:v>
                </c:pt>
                <c:pt idx="1">
                  <c:v>10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105</c:v>
                </c:pt>
                <c:pt idx="20">
                  <c:v>110</c:v>
                </c:pt>
                <c:pt idx="21">
                  <c:v>115</c:v>
                </c:pt>
                <c:pt idx="22">
                  <c:v>120</c:v>
                </c:pt>
                <c:pt idx="23">
                  <c:v>125</c:v>
                </c:pt>
                <c:pt idx="24">
                  <c:v>130</c:v>
                </c:pt>
                <c:pt idx="25">
                  <c:v>135</c:v>
                </c:pt>
                <c:pt idx="26">
                  <c:v>140</c:v>
                </c:pt>
                <c:pt idx="27">
                  <c:v>145</c:v>
                </c:pt>
                <c:pt idx="28">
                  <c:v>150</c:v>
                </c:pt>
                <c:pt idx="29">
                  <c:v>155</c:v>
                </c:pt>
                <c:pt idx="30">
                  <c:v>160</c:v>
                </c:pt>
              </c:numCache>
            </c:numRef>
          </c:xVal>
          <c:yVal>
            <c:numRef>
              <c:f>'Continous dividends'!$B$24:$AF$24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793280"/>
        <c:axId val="173795200"/>
      </c:scatterChart>
      <c:valAx>
        <c:axId val="173793280"/>
        <c:scaling>
          <c:orientation val="minMax"/>
        </c:scaling>
        <c:delete val="0"/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s-MX"/>
                  <a:t>Stock Price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s-MX"/>
          </a:p>
        </c:txPr>
        <c:crossAx val="173795200"/>
        <c:crosses val="autoZero"/>
        <c:crossBetween val="midCat"/>
      </c:valAx>
      <c:valAx>
        <c:axId val="173795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/>
                  <a:t>Valor de la opción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s-MX"/>
          </a:p>
        </c:txPr>
        <c:crossAx val="173793280"/>
        <c:crosses val="autoZero"/>
        <c:crossBetween val="midCat"/>
      </c:valAx>
    </c:plotArea>
    <c:legend>
      <c:legendPos val="r"/>
      <c:layout/>
      <c:overlay val="0"/>
      <c:txPr>
        <a:bodyPr rot="0" vert="horz"/>
        <a:lstStyle/>
        <a:p>
          <a:pPr>
            <a:defRPr/>
          </a:pPr>
          <a:endParaRPr lang="es-MX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title>
      <c:layout>
        <c:manualLayout>
          <c:xMode val="edge"/>
          <c:yMode val="edge"/>
          <c:x val="0.44055190908029263"/>
          <c:y val="1.3555490387209381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'Continous dividends'!$A$32</c:f>
              <c:strCache>
                <c:ptCount val="1"/>
                <c:pt idx="0">
                  <c:v>Delta</c:v>
                </c:pt>
              </c:strCache>
            </c:strRef>
          </c:tx>
          <c:xVal>
            <c:numRef>
              <c:f>'Continous dividends'!$B$31:$AF$31</c:f>
              <c:numCache>
                <c:formatCode>General</c:formatCode>
                <c:ptCount val="31"/>
                <c:pt idx="0">
                  <c:v>0.01</c:v>
                </c:pt>
                <c:pt idx="1">
                  <c:v>10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105</c:v>
                </c:pt>
                <c:pt idx="20">
                  <c:v>110</c:v>
                </c:pt>
                <c:pt idx="21">
                  <c:v>115</c:v>
                </c:pt>
                <c:pt idx="22">
                  <c:v>120</c:v>
                </c:pt>
                <c:pt idx="23">
                  <c:v>125</c:v>
                </c:pt>
                <c:pt idx="24">
                  <c:v>130</c:v>
                </c:pt>
                <c:pt idx="25">
                  <c:v>135</c:v>
                </c:pt>
                <c:pt idx="26">
                  <c:v>140</c:v>
                </c:pt>
                <c:pt idx="27">
                  <c:v>145</c:v>
                </c:pt>
                <c:pt idx="28">
                  <c:v>150</c:v>
                </c:pt>
                <c:pt idx="29">
                  <c:v>155</c:v>
                </c:pt>
                <c:pt idx="30">
                  <c:v>160</c:v>
                </c:pt>
              </c:numCache>
            </c:numRef>
          </c:xVal>
          <c:yVal>
            <c:numRef>
              <c:f>'Continous dividends'!$B$32:$AF$32</c:f>
              <c:numCache>
                <c:formatCode>General</c:formatCode>
                <c:ptCount val="31"/>
                <c:pt idx="0">
                  <c:v>0</c:v>
                </c:pt>
                <c:pt idx="1">
                  <c:v>3.6835008353755261E-58</c:v>
                </c:pt>
                <c:pt idx="2">
                  <c:v>4.3355097841224667E-29</c:v>
                </c:pt>
                <c:pt idx="3">
                  <c:v>6.1735854110025138E-22</c:v>
                </c:pt>
                <c:pt idx="4">
                  <c:v>6.9330523783462729E-17</c:v>
                </c:pt>
                <c:pt idx="5">
                  <c:v>3.5922810115787261E-13</c:v>
                </c:pt>
                <c:pt idx="6">
                  <c:v>2.3074952853311497E-10</c:v>
                </c:pt>
                <c:pt idx="7">
                  <c:v>3.3541308561946533E-8</c:v>
                </c:pt>
                <c:pt idx="8">
                  <c:v>1.6293380699453846E-6</c:v>
                </c:pt>
                <c:pt idx="9">
                  <c:v>3.4478135559654001E-5</c:v>
                </c:pt>
                <c:pt idx="10">
                  <c:v>3.8328009710727166E-4</c:v>
                </c:pt>
                <c:pt idx="11">
                  <c:v>2.5661714194608705E-3</c:v>
                </c:pt>
                <c:pt idx="12">
                  <c:v>1.14654081225744E-2</c:v>
                </c:pt>
                <c:pt idx="13">
                  <c:v>3.6990401643669207E-2</c:v>
                </c:pt>
                <c:pt idx="14">
                  <c:v>9.1697240337172983E-2</c:v>
                </c:pt>
                <c:pt idx="15">
                  <c:v>0.18360945549140997</c:v>
                </c:pt>
                <c:pt idx="16">
                  <c:v>0.30940979933035828</c:v>
                </c:pt>
                <c:pt idx="17">
                  <c:v>0.45413894416307565</c:v>
                </c:pt>
                <c:pt idx="18">
                  <c:v>0.59773446890843829</c:v>
                </c:pt>
                <c:pt idx="19">
                  <c:v>0.72323738106506208</c:v>
                </c:pt>
                <c:pt idx="20">
                  <c:v>0.82158756666553578</c:v>
                </c:pt>
                <c:pt idx="21">
                  <c:v>0.89172490629390699</c:v>
                </c:pt>
                <c:pt idx="22">
                  <c:v>0.937816048914623</c:v>
                </c:pt>
                <c:pt idx="23">
                  <c:v>0.96602592726214731</c:v>
                </c:pt>
                <c:pt idx="24">
                  <c:v>0.98225325016394482</c:v>
                </c:pt>
                <c:pt idx="25">
                  <c:v>0.99109506150217808</c:v>
                </c:pt>
                <c:pt idx="26">
                  <c:v>0.99568920263473215</c:v>
                </c:pt>
                <c:pt idx="27">
                  <c:v>0.99797882882883082</c:v>
                </c:pt>
                <c:pt idx="28">
                  <c:v>0.9990788983522032</c:v>
                </c:pt>
                <c:pt idx="29">
                  <c:v>0.99959068512989513</c:v>
                </c:pt>
                <c:pt idx="30">
                  <c:v>0.99982213176996426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361792"/>
        <c:axId val="173245184"/>
      </c:scatterChart>
      <c:valAx>
        <c:axId val="173361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Stock Price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s-MX"/>
          </a:p>
        </c:txPr>
        <c:crossAx val="173245184"/>
        <c:crosses val="autoZero"/>
        <c:crossBetween val="midCat"/>
      </c:valAx>
      <c:valAx>
        <c:axId val="1732451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delta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s-MX"/>
          </a:p>
        </c:txPr>
        <c:crossAx val="173361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title>
      <c:layout/>
      <c:overlay val="0"/>
      <c:txPr>
        <a:bodyPr rot="0" vert="horz"/>
        <a:lstStyle/>
        <a:p>
          <a:pPr>
            <a:defRPr/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'Continous dividends'!$A$33</c:f>
              <c:strCache>
                <c:ptCount val="1"/>
                <c:pt idx="0">
                  <c:v>Gamma</c:v>
                </c:pt>
              </c:strCache>
            </c:strRef>
          </c:tx>
          <c:xVal>
            <c:numRef>
              <c:f>'Continous dividends'!$B$31:$AF$31</c:f>
              <c:numCache>
                <c:formatCode>General</c:formatCode>
                <c:ptCount val="31"/>
                <c:pt idx="0">
                  <c:v>0.01</c:v>
                </c:pt>
                <c:pt idx="1">
                  <c:v>10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105</c:v>
                </c:pt>
                <c:pt idx="20">
                  <c:v>110</c:v>
                </c:pt>
                <c:pt idx="21">
                  <c:v>115</c:v>
                </c:pt>
                <c:pt idx="22">
                  <c:v>120</c:v>
                </c:pt>
                <c:pt idx="23">
                  <c:v>125</c:v>
                </c:pt>
                <c:pt idx="24">
                  <c:v>130</c:v>
                </c:pt>
                <c:pt idx="25">
                  <c:v>135</c:v>
                </c:pt>
                <c:pt idx="26">
                  <c:v>140</c:v>
                </c:pt>
                <c:pt idx="27">
                  <c:v>145</c:v>
                </c:pt>
                <c:pt idx="28">
                  <c:v>150</c:v>
                </c:pt>
                <c:pt idx="29">
                  <c:v>155</c:v>
                </c:pt>
                <c:pt idx="30">
                  <c:v>160</c:v>
                </c:pt>
              </c:numCache>
            </c:numRef>
          </c:xVal>
          <c:yVal>
            <c:numRef>
              <c:f>'Continous dividends'!$B$33:$AF$33</c:f>
              <c:numCache>
                <c:formatCode>General</c:formatCode>
                <c:ptCount val="31"/>
                <c:pt idx="0">
                  <c:v>0</c:v>
                </c:pt>
                <c:pt idx="1">
                  <c:v>4.1924459726087587E-57</c:v>
                </c:pt>
                <c:pt idx="2">
                  <c:v>1.7200524714938649E-28</c:v>
                </c:pt>
                <c:pt idx="3">
                  <c:v>1.6863608056373069E-21</c:v>
                </c:pt>
                <c:pt idx="4">
                  <c:v>1.3699875393187581E-16</c:v>
                </c:pt>
                <c:pt idx="5">
                  <c:v>5.3054389303900666E-13</c:v>
                </c:pt>
                <c:pt idx="6">
                  <c:v>2.604421540490966E-10</c:v>
                </c:pt>
                <c:pt idx="7">
                  <c:v>2.9373011075127804E-8</c:v>
                </c:pt>
                <c:pt idx="8">
                  <c:v>1.1180853797073049E-6</c:v>
                </c:pt>
                <c:pt idx="9">
                  <c:v>1.8645654322719618E-5</c:v>
                </c:pt>
                <c:pt idx="10">
                  <c:v>1.6369228583025595E-4</c:v>
                </c:pt>
                <c:pt idx="11">
                  <c:v>8.6444989130500429E-4</c:v>
                </c:pt>
                <c:pt idx="12">
                  <c:v>3.0327317090049957E-3</c:v>
                </c:pt>
                <c:pt idx="13">
                  <c:v>7.6227286144890261E-3</c:v>
                </c:pt>
                <c:pt idx="14">
                  <c:v>1.4553794009449532E-2</c:v>
                </c:pt>
                <c:pt idx="15">
                  <c:v>2.2101601180261467E-2</c:v>
                </c:pt>
                <c:pt idx="16">
                  <c:v>2.7695045214487474E-2</c:v>
                </c:pt>
                <c:pt idx="17">
                  <c:v>2.9497767155615372E-2</c:v>
                </c:pt>
                <c:pt idx="18">
                  <c:v>2.7358658565220986E-2</c:v>
                </c:pt>
                <c:pt idx="19">
                  <c:v>2.254127578734361E-2</c:v>
                </c:pt>
                <c:pt idx="20">
                  <c:v>1.6773987253794732E-2</c:v>
                </c:pt>
                <c:pt idx="21">
                  <c:v>1.1431271426787E-2</c:v>
                </c:pt>
                <c:pt idx="22">
                  <c:v>7.2183040524206911E-3</c:v>
                </c:pt>
                <c:pt idx="23">
                  <c:v>4.2655118440082136E-3</c:v>
                </c:pt>
                <c:pt idx="24">
                  <c:v>2.3789427195030884E-3</c:v>
                </c:pt>
                <c:pt idx="25">
                  <c:v>1.2613420498060698E-3</c:v>
                </c:pt>
                <c:pt idx="26">
                  <c:v>6.3979674524317976E-4</c:v>
                </c:pt>
                <c:pt idx="27">
                  <c:v>3.1215555883843055E-4</c:v>
                </c:pt>
                <c:pt idx="28">
                  <c:v>1.4718796550302688E-4</c:v>
                </c:pt>
                <c:pt idx="29">
                  <c:v>6.7349984269179678E-5</c:v>
                </c:pt>
                <c:pt idx="30">
                  <c:v>3.0014874440071924E-5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390080"/>
        <c:axId val="173396352"/>
      </c:scatterChart>
      <c:valAx>
        <c:axId val="173390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Stock Price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s-MX"/>
          </a:p>
        </c:txPr>
        <c:crossAx val="173396352"/>
        <c:crosses val="autoZero"/>
        <c:crossBetween val="midCat"/>
      </c:valAx>
      <c:valAx>
        <c:axId val="1733963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Gamma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s-MX"/>
          </a:p>
        </c:txPr>
        <c:crossAx val="17339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title>
      <c:tx>
        <c:rich>
          <a:bodyPr/>
          <a:lstStyle/>
          <a:p>
            <a:pPr algn="ctr" rtl="0">
              <a:defRPr lang="en-US"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Gamma</a:t>
            </a:r>
          </a:p>
        </c:rich>
      </c:tx>
      <c:layout>
        <c:manualLayout>
          <c:xMode val="edge"/>
          <c:yMode val="edge"/>
          <c:x val="0.45853477690288713"/>
          <c:y val="2.6946104608172875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'Continous dividends'!$B$42</c:f>
              <c:strCache>
                <c:ptCount val="1"/>
                <c:pt idx="0">
                  <c:v>3months</c:v>
                </c:pt>
              </c:strCache>
            </c:strRef>
          </c:tx>
          <c:marker>
            <c:symbol val="none"/>
          </c:marker>
          <c:xVal>
            <c:numRef>
              <c:f>'Continous dividends'!$C$36:$AQ$36</c:f>
              <c:numCache>
                <c:formatCode>General</c:formatCode>
                <c:ptCount val="41"/>
                <c:pt idx="0">
                  <c:v>90</c:v>
                </c:pt>
                <c:pt idx="1">
                  <c:v>90.5</c:v>
                </c:pt>
                <c:pt idx="2">
                  <c:v>91</c:v>
                </c:pt>
                <c:pt idx="3">
                  <c:v>91.5</c:v>
                </c:pt>
                <c:pt idx="4">
                  <c:v>92</c:v>
                </c:pt>
                <c:pt idx="5">
                  <c:v>92.5</c:v>
                </c:pt>
                <c:pt idx="6">
                  <c:v>93</c:v>
                </c:pt>
                <c:pt idx="7">
                  <c:v>93.5</c:v>
                </c:pt>
                <c:pt idx="8">
                  <c:v>94</c:v>
                </c:pt>
                <c:pt idx="9">
                  <c:v>94.5</c:v>
                </c:pt>
                <c:pt idx="10">
                  <c:v>95</c:v>
                </c:pt>
                <c:pt idx="11">
                  <c:v>95.5</c:v>
                </c:pt>
                <c:pt idx="12">
                  <c:v>96</c:v>
                </c:pt>
                <c:pt idx="13">
                  <c:v>96.5</c:v>
                </c:pt>
                <c:pt idx="14">
                  <c:v>97</c:v>
                </c:pt>
                <c:pt idx="15">
                  <c:v>97.5</c:v>
                </c:pt>
                <c:pt idx="16">
                  <c:v>98</c:v>
                </c:pt>
                <c:pt idx="17">
                  <c:v>98.5</c:v>
                </c:pt>
                <c:pt idx="18">
                  <c:v>99</c:v>
                </c:pt>
                <c:pt idx="19">
                  <c:v>99.5</c:v>
                </c:pt>
                <c:pt idx="20">
                  <c:v>100</c:v>
                </c:pt>
                <c:pt idx="21">
                  <c:v>100.5</c:v>
                </c:pt>
                <c:pt idx="22">
                  <c:v>101</c:v>
                </c:pt>
                <c:pt idx="23">
                  <c:v>101.5</c:v>
                </c:pt>
                <c:pt idx="24">
                  <c:v>102</c:v>
                </c:pt>
                <c:pt idx="25">
                  <c:v>102.5</c:v>
                </c:pt>
                <c:pt idx="26">
                  <c:v>103</c:v>
                </c:pt>
                <c:pt idx="27">
                  <c:v>103.5</c:v>
                </c:pt>
                <c:pt idx="28">
                  <c:v>104</c:v>
                </c:pt>
                <c:pt idx="29">
                  <c:v>104.5</c:v>
                </c:pt>
                <c:pt idx="30">
                  <c:v>105</c:v>
                </c:pt>
                <c:pt idx="31">
                  <c:v>105.5</c:v>
                </c:pt>
                <c:pt idx="32">
                  <c:v>106</c:v>
                </c:pt>
                <c:pt idx="33">
                  <c:v>106.5</c:v>
                </c:pt>
                <c:pt idx="34">
                  <c:v>107</c:v>
                </c:pt>
                <c:pt idx="35">
                  <c:v>107.5</c:v>
                </c:pt>
                <c:pt idx="36">
                  <c:v>108</c:v>
                </c:pt>
                <c:pt idx="37">
                  <c:v>108.5</c:v>
                </c:pt>
                <c:pt idx="38">
                  <c:v>109</c:v>
                </c:pt>
                <c:pt idx="39">
                  <c:v>109.5</c:v>
                </c:pt>
                <c:pt idx="40">
                  <c:v>110</c:v>
                </c:pt>
              </c:numCache>
            </c:numRef>
          </c:xVal>
          <c:yVal>
            <c:numRef>
              <c:f>'Continous dividends'!$C$41:$AQ$41</c:f>
              <c:numCache>
                <c:formatCode>General</c:formatCode>
                <c:ptCount val="41"/>
                <c:pt idx="0">
                  <c:v>2.7905389824944782E-2</c:v>
                </c:pt>
                <c:pt idx="1">
                  <c:v>2.9036945759512114E-2</c:v>
                </c:pt>
                <c:pt idx="2">
                  <c:v>3.0126143513533817E-2</c:v>
                </c:pt>
                <c:pt idx="3">
                  <c:v>3.1166372539175476E-2</c:v>
                </c:pt>
                <c:pt idx="4">
                  <c:v>3.2151335971609692E-2</c:v>
                </c:pt>
                <c:pt idx="5">
                  <c:v>3.3075116758536957E-2</c:v>
                </c:pt>
                <c:pt idx="6">
                  <c:v>3.3932238310121564E-2</c:v>
                </c:pt>
                <c:pt idx="7">
                  <c:v>3.4717718824193743E-2</c:v>
                </c:pt>
                <c:pt idx="8">
                  <c:v>3.5427118578176861E-2</c:v>
                </c:pt>
                <c:pt idx="9">
                  <c:v>3.6056579625453382E-2</c:v>
                </c:pt>
                <c:pt idx="10">
                  <c:v>3.6602857485993623E-2</c:v>
                </c:pt>
                <c:pt idx="11">
                  <c:v>3.7063344575301679E-2</c:v>
                </c:pt>
                <c:pt idx="12">
                  <c:v>3.743608526849742E-2</c:v>
                </c:pt>
                <c:pt idx="13">
                  <c:v>3.7719782644315747E-2</c:v>
                </c:pt>
                <c:pt idx="14">
                  <c:v>3.7913797093941583E-2</c:v>
                </c:pt>
                <c:pt idx="15">
                  <c:v>3.801813710926942E-2</c:v>
                </c:pt>
                <c:pt idx="16">
                  <c:v>3.8033442682161189E-2</c:v>
                </c:pt>
                <c:pt idx="17">
                  <c:v>3.7960961848806839E-2</c:v>
                </c:pt>
                <c:pt idx="18">
                  <c:v>3.7802521000066855E-2</c:v>
                </c:pt>
                <c:pt idx="19">
                  <c:v>3.7560489648854001E-2</c:v>
                </c:pt>
                <c:pt idx="20">
                  <c:v>3.7237740398804065E-2</c:v>
                </c:pt>
                <c:pt idx="21">
                  <c:v>3.6837604894725158E-2</c:v>
                </c:pt>
                <c:pt idx="22">
                  <c:v>3.6363826555023002E-2</c:v>
                </c:pt>
                <c:pt idx="23">
                  <c:v>3.5820510890244704E-2</c:v>
                </c:pt>
                <c:pt idx="24">
                  <c:v>3.5212074201126223E-2</c:v>
                </c:pt>
                <c:pt idx="25">
                  <c:v>3.4543191425382334E-2</c:v>
                </c:pt>
                <c:pt idx="26">
                  <c:v>3.3818743866436463E-2</c:v>
                </c:pt>
                <c:pt idx="27">
                  <c:v>3.3043767490993782E-2</c:v>
                </c:pt>
                <c:pt idx="28">
                  <c:v>3.222340242753155E-2</c:v>
                </c:pt>
                <c:pt idx="29">
                  <c:v>3.1362844236177786E-2</c:v>
                </c:pt>
                <c:pt idx="30">
                  <c:v>3.0467297453817384E-2</c:v>
                </c:pt>
                <c:pt idx="31">
                  <c:v>2.9541931848306818E-2</c:v>
                </c:pt>
                <c:pt idx="32">
                  <c:v>2.8591841744002887E-2</c:v>
                </c:pt>
                <c:pt idx="33">
                  <c:v>2.7622008708924051E-2</c:v>
                </c:pt>
                <c:pt idx="34">
                  <c:v>2.6637267823119998E-2</c:v>
                </c:pt>
                <c:pt idx="35">
                  <c:v>2.5642277679442559E-2</c:v>
                </c:pt>
                <c:pt idx="36">
                  <c:v>2.46414942029234E-2</c:v>
                </c:pt>
                <c:pt idx="37">
                  <c:v>2.3639148314249781E-2</c:v>
                </c:pt>
                <c:pt idx="38">
                  <c:v>2.2639227407077498E-2</c:v>
                </c:pt>
                <c:pt idx="39">
                  <c:v>2.1645460558666459E-2</c:v>
                </c:pt>
                <c:pt idx="40">
                  <c:v>2.0661307348922194E-2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'Continous dividends'!$B$41</c:f>
              <c:strCache>
                <c:ptCount val="1"/>
                <c:pt idx="0">
                  <c:v>6 months</c:v>
                </c:pt>
              </c:strCache>
            </c:strRef>
          </c:tx>
          <c:marker>
            <c:symbol val="none"/>
          </c:marker>
          <c:xVal>
            <c:numRef>
              <c:f>'Continous dividends'!$C$36:$AQ$36</c:f>
              <c:numCache>
                <c:formatCode>General</c:formatCode>
                <c:ptCount val="41"/>
                <c:pt idx="0">
                  <c:v>90</c:v>
                </c:pt>
                <c:pt idx="1">
                  <c:v>90.5</c:v>
                </c:pt>
                <c:pt idx="2">
                  <c:v>91</c:v>
                </c:pt>
                <c:pt idx="3">
                  <c:v>91.5</c:v>
                </c:pt>
                <c:pt idx="4">
                  <c:v>92</c:v>
                </c:pt>
                <c:pt idx="5">
                  <c:v>92.5</c:v>
                </c:pt>
                <c:pt idx="6">
                  <c:v>93</c:v>
                </c:pt>
                <c:pt idx="7">
                  <c:v>93.5</c:v>
                </c:pt>
                <c:pt idx="8">
                  <c:v>94</c:v>
                </c:pt>
                <c:pt idx="9">
                  <c:v>94.5</c:v>
                </c:pt>
                <c:pt idx="10">
                  <c:v>95</c:v>
                </c:pt>
                <c:pt idx="11">
                  <c:v>95.5</c:v>
                </c:pt>
                <c:pt idx="12">
                  <c:v>96</c:v>
                </c:pt>
                <c:pt idx="13">
                  <c:v>96.5</c:v>
                </c:pt>
                <c:pt idx="14">
                  <c:v>97</c:v>
                </c:pt>
                <c:pt idx="15">
                  <c:v>97.5</c:v>
                </c:pt>
                <c:pt idx="16">
                  <c:v>98</c:v>
                </c:pt>
                <c:pt idx="17">
                  <c:v>98.5</c:v>
                </c:pt>
                <c:pt idx="18">
                  <c:v>99</c:v>
                </c:pt>
                <c:pt idx="19">
                  <c:v>99.5</c:v>
                </c:pt>
                <c:pt idx="20">
                  <c:v>100</c:v>
                </c:pt>
                <c:pt idx="21">
                  <c:v>100.5</c:v>
                </c:pt>
                <c:pt idx="22">
                  <c:v>101</c:v>
                </c:pt>
                <c:pt idx="23">
                  <c:v>101.5</c:v>
                </c:pt>
                <c:pt idx="24">
                  <c:v>102</c:v>
                </c:pt>
                <c:pt idx="25">
                  <c:v>102.5</c:v>
                </c:pt>
                <c:pt idx="26">
                  <c:v>103</c:v>
                </c:pt>
                <c:pt idx="27">
                  <c:v>103.5</c:v>
                </c:pt>
                <c:pt idx="28">
                  <c:v>104</c:v>
                </c:pt>
                <c:pt idx="29">
                  <c:v>104.5</c:v>
                </c:pt>
                <c:pt idx="30">
                  <c:v>105</c:v>
                </c:pt>
                <c:pt idx="31">
                  <c:v>105.5</c:v>
                </c:pt>
                <c:pt idx="32">
                  <c:v>106</c:v>
                </c:pt>
                <c:pt idx="33">
                  <c:v>106.5</c:v>
                </c:pt>
                <c:pt idx="34">
                  <c:v>107</c:v>
                </c:pt>
                <c:pt idx="35">
                  <c:v>107.5</c:v>
                </c:pt>
                <c:pt idx="36">
                  <c:v>108</c:v>
                </c:pt>
                <c:pt idx="37">
                  <c:v>108.5</c:v>
                </c:pt>
                <c:pt idx="38">
                  <c:v>109</c:v>
                </c:pt>
                <c:pt idx="39">
                  <c:v>109.5</c:v>
                </c:pt>
                <c:pt idx="40">
                  <c:v>110</c:v>
                </c:pt>
              </c:numCache>
            </c:numRef>
          </c:xVal>
          <c:yVal>
            <c:numRef>
              <c:f>'Continous dividends'!$C$42:$AQ$42</c:f>
              <c:numCache>
                <c:formatCode>General</c:formatCode>
                <c:ptCount val="41"/>
                <c:pt idx="0">
                  <c:v>2.4216435011810439E-2</c:v>
                </c:pt>
                <c:pt idx="1">
                  <c:v>2.6504179096657778E-2</c:v>
                </c:pt>
                <c:pt idx="2">
                  <c:v>2.8837145209623067E-2</c:v>
                </c:pt>
                <c:pt idx="3">
                  <c:v>3.119355670675307E-2</c:v>
                </c:pt>
                <c:pt idx="4">
                  <c:v>3.3549991129303285E-2</c:v>
                </c:pt>
                <c:pt idx="5">
                  <c:v>3.5881795976306051E-2</c:v>
                </c:pt>
                <c:pt idx="6">
                  <c:v>3.8163551337738182E-2</c:v>
                </c:pt>
                <c:pt idx="7">
                  <c:v>4.0369566157976267E-2</c:v>
                </c:pt>
                <c:pt idx="8">
                  <c:v>4.2474393512962144E-2</c:v>
                </c:pt>
                <c:pt idx="9">
                  <c:v>4.4453349490529794E-2</c:v>
                </c:pt>
                <c:pt idx="10">
                  <c:v>4.6283020093083785E-2</c:v>
                </c:pt>
                <c:pt idx="11">
                  <c:v>4.7941741034813128E-2</c:v>
                </c:pt>
                <c:pt idx="12">
                  <c:v>4.9410036350472405E-2</c:v>
                </c:pt>
                <c:pt idx="13">
                  <c:v>5.0671003309872155E-2</c:v>
                </c:pt>
                <c:pt idx="14">
                  <c:v>5.1710633158058808E-2</c:v>
                </c:pt>
                <c:pt idx="15">
                  <c:v>5.2518059573728862E-2</c:v>
                </c:pt>
                <c:pt idx="16">
                  <c:v>5.3085729343468502E-2</c:v>
                </c:pt>
                <c:pt idx="17">
                  <c:v>5.340949246703143E-2</c:v>
                </c:pt>
                <c:pt idx="18">
                  <c:v>5.3488611619989725E-2</c:v>
                </c:pt>
                <c:pt idx="19">
                  <c:v>5.332569349249567E-2</c:v>
                </c:pt>
                <c:pt idx="20">
                  <c:v>5.2926546896443473E-2</c:v>
                </c:pt>
                <c:pt idx="21">
                  <c:v>5.2299974604150375E-2</c:v>
                </c:pt>
                <c:pt idx="22">
                  <c:v>5.1457507585162994E-2</c:v>
                </c:pt>
                <c:pt idx="23">
                  <c:v>5.0413091600261618E-2</c:v>
                </c:pt>
                <c:pt idx="24">
                  <c:v>4.9182736970894404E-2</c:v>
                </c:pt>
                <c:pt idx="25">
                  <c:v>4.7784142766512668E-2</c:v>
                </c:pt>
                <c:pt idx="26">
                  <c:v>4.6236306658912457E-2</c:v>
                </c:pt>
                <c:pt idx="27">
                  <c:v>4.4559131315435499E-2</c:v>
                </c:pt>
                <c:pt idx="28">
                  <c:v>4.277303748870856E-2</c:v>
                </c:pt>
                <c:pt idx="29">
                  <c:v>4.0898592966268639E-2</c:v>
                </c:pt>
                <c:pt idx="30">
                  <c:v>3.8956165331852886E-2</c:v>
                </c:pt>
                <c:pt idx="31">
                  <c:v>3.6965605126937487E-2</c:v>
                </c:pt>
                <c:pt idx="32">
                  <c:v>3.4945964551289996E-2</c:v>
                </c:pt>
                <c:pt idx="33">
                  <c:v>3.2915255366459777E-2</c:v>
                </c:pt>
                <c:pt idx="34">
                  <c:v>3.0890248222081737E-2</c:v>
                </c:pt>
                <c:pt idx="35">
                  <c:v>2.8886314259919846E-2</c:v>
                </c:pt>
                <c:pt idx="36">
                  <c:v>2.6917308604273622E-2</c:v>
                </c:pt>
                <c:pt idx="37">
                  <c:v>2.4995494249941377E-2</c:v>
                </c:pt>
                <c:pt idx="38">
                  <c:v>2.3131503931104042E-2</c:v>
                </c:pt>
                <c:pt idx="39">
                  <c:v>2.1334336807915494E-2</c:v>
                </c:pt>
                <c:pt idx="40">
                  <c:v>1.9611386245469951E-2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'Continous dividends'!$B$43</c:f>
              <c:strCache>
                <c:ptCount val="1"/>
                <c:pt idx="0">
                  <c:v>1 month</c:v>
                </c:pt>
              </c:strCache>
            </c:strRef>
          </c:tx>
          <c:marker>
            <c:symbol val="none"/>
          </c:marker>
          <c:xVal>
            <c:numRef>
              <c:f>'Continous dividends'!$C$36:$AQ$36</c:f>
              <c:numCache>
                <c:formatCode>General</c:formatCode>
                <c:ptCount val="41"/>
                <c:pt idx="0">
                  <c:v>90</c:v>
                </c:pt>
                <c:pt idx="1">
                  <c:v>90.5</c:v>
                </c:pt>
                <c:pt idx="2">
                  <c:v>91</c:v>
                </c:pt>
                <c:pt idx="3">
                  <c:v>91.5</c:v>
                </c:pt>
                <c:pt idx="4">
                  <c:v>92</c:v>
                </c:pt>
                <c:pt idx="5">
                  <c:v>92.5</c:v>
                </c:pt>
                <c:pt idx="6">
                  <c:v>93</c:v>
                </c:pt>
                <c:pt idx="7">
                  <c:v>93.5</c:v>
                </c:pt>
                <c:pt idx="8">
                  <c:v>94</c:v>
                </c:pt>
                <c:pt idx="9">
                  <c:v>94.5</c:v>
                </c:pt>
                <c:pt idx="10">
                  <c:v>95</c:v>
                </c:pt>
                <c:pt idx="11">
                  <c:v>95.5</c:v>
                </c:pt>
                <c:pt idx="12">
                  <c:v>96</c:v>
                </c:pt>
                <c:pt idx="13">
                  <c:v>96.5</c:v>
                </c:pt>
                <c:pt idx="14">
                  <c:v>97</c:v>
                </c:pt>
                <c:pt idx="15">
                  <c:v>97.5</c:v>
                </c:pt>
                <c:pt idx="16">
                  <c:v>98</c:v>
                </c:pt>
                <c:pt idx="17">
                  <c:v>98.5</c:v>
                </c:pt>
                <c:pt idx="18">
                  <c:v>99</c:v>
                </c:pt>
                <c:pt idx="19">
                  <c:v>99.5</c:v>
                </c:pt>
                <c:pt idx="20">
                  <c:v>100</c:v>
                </c:pt>
                <c:pt idx="21">
                  <c:v>100.5</c:v>
                </c:pt>
                <c:pt idx="22">
                  <c:v>101</c:v>
                </c:pt>
                <c:pt idx="23">
                  <c:v>101.5</c:v>
                </c:pt>
                <c:pt idx="24">
                  <c:v>102</c:v>
                </c:pt>
                <c:pt idx="25">
                  <c:v>102.5</c:v>
                </c:pt>
                <c:pt idx="26">
                  <c:v>103</c:v>
                </c:pt>
                <c:pt idx="27">
                  <c:v>103.5</c:v>
                </c:pt>
                <c:pt idx="28">
                  <c:v>104</c:v>
                </c:pt>
                <c:pt idx="29">
                  <c:v>104.5</c:v>
                </c:pt>
                <c:pt idx="30">
                  <c:v>105</c:v>
                </c:pt>
                <c:pt idx="31">
                  <c:v>105.5</c:v>
                </c:pt>
                <c:pt idx="32">
                  <c:v>106</c:v>
                </c:pt>
                <c:pt idx="33">
                  <c:v>106.5</c:v>
                </c:pt>
                <c:pt idx="34">
                  <c:v>107</c:v>
                </c:pt>
                <c:pt idx="35">
                  <c:v>107.5</c:v>
                </c:pt>
                <c:pt idx="36">
                  <c:v>108</c:v>
                </c:pt>
                <c:pt idx="37">
                  <c:v>108.5</c:v>
                </c:pt>
                <c:pt idx="38">
                  <c:v>109</c:v>
                </c:pt>
                <c:pt idx="39">
                  <c:v>109.5</c:v>
                </c:pt>
                <c:pt idx="40">
                  <c:v>110</c:v>
                </c:pt>
              </c:numCache>
            </c:numRef>
          </c:xVal>
          <c:yVal>
            <c:numRef>
              <c:f>'Continous dividends'!$C$43:$AQ$43</c:f>
              <c:numCache>
                <c:formatCode>General</c:formatCode>
                <c:ptCount val="41"/>
                <c:pt idx="0">
                  <c:v>5.8485539508753518E-3</c:v>
                </c:pt>
                <c:pt idx="1">
                  <c:v>7.8346190224428264E-3</c:v>
                </c:pt>
                <c:pt idx="2">
                  <c:v>1.0309485387312845E-2</c:v>
                </c:pt>
                <c:pt idx="3">
                  <c:v>1.3329973262993943E-2</c:v>
                </c:pt>
                <c:pt idx="4">
                  <c:v>1.6940092672667793E-2</c:v>
                </c:pt>
                <c:pt idx="5">
                  <c:v>2.1164847655865907E-2</c:v>
                </c:pt>
                <c:pt idx="6">
                  <c:v>2.600421224412432E-2</c:v>
                </c:pt>
                <c:pt idx="7">
                  <c:v>3.1427910889222151E-2</c:v>
                </c:pt>
                <c:pt idx="8">
                  <c:v>3.7371664054152751E-2</c:v>
                </c:pt>
                <c:pt idx="9">
                  <c:v>4.3735507628326654E-2</c:v>
                </c:pt>
                <c:pt idx="10">
                  <c:v>5.038465801431917E-2</c:v>
                </c:pt>
                <c:pt idx="11">
                  <c:v>5.7153181067260944E-2</c:v>
                </c:pt>
                <c:pt idx="12">
                  <c:v>6.3850453183268721E-2</c:v>
                </c:pt>
                <c:pt idx="13">
                  <c:v>7.0270107888072114E-2</c:v>
                </c:pt>
                <c:pt idx="14">
                  <c:v>7.6200878690752372E-2</c:v>
                </c:pt>
                <c:pt idx="15">
                  <c:v>8.1438516776207281E-2</c:v>
                </c:pt>
                <c:pt idx="16">
                  <c:v>8.5797812937925169E-2</c:v>
                </c:pt>
                <c:pt idx="17">
                  <c:v>8.9123708911668584E-2</c:v>
                </c:pt>
                <c:pt idx="18">
                  <c:v>9.1300551571757274E-2</c:v>
                </c:pt>
                <c:pt idx="19">
                  <c:v>9.2258716384508138E-2</c:v>
                </c:pt>
                <c:pt idx="20">
                  <c:v>9.1978081986103355E-2</c:v>
                </c:pt>
                <c:pt idx="21">
                  <c:v>9.0488143093546344E-2</c:v>
                </c:pt>
                <c:pt idx="22">
                  <c:v>8.7864866073290221E-2</c:v>
                </c:pt>
                <c:pt idx="23">
                  <c:v>8.4224682616547572E-2</c:v>
                </c:pt>
                <c:pt idx="24">
                  <c:v>7.9716250005163608E-2</c:v>
                </c:pt>
                <c:pt idx="25">
                  <c:v>7.451075904007412E-2</c:v>
                </c:pt>
                <c:pt idx="26">
                  <c:v>6.8791632478658368E-2</c:v>
                </c:pt>
                <c:pt idx="27">
                  <c:v>6.2744429653272996E-2</c:v>
                </c:pt>
                <c:pt idx="28">
                  <c:v>5.6547669337330866E-2</c:v>
                </c:pt>
                <c:pt idx="29">
                  <c:v>5.0365123119111156E-2</c:v>
                </c:pt>
                <c:pt idx="30">
                  <c:v>4.4339939828521462E-2</c:v>
                </c:pt>
                <c:pt idx="31">
                  <c:v>3.8590762578052176E-2</c:v>
                </c:pt>
                <c:pt idx="32">
                  <c:v>3.3209815516321635E-2</c:v>
                </c:pt>
                <c:pt idx="33">
                  <c:v>2.8262784102654433E-2</c:v>
                </c:pt>
                <c:pt idx="34">
                  <c:v>2.3790200908464298E-2</c:v>
                </c:pt>
                <c:pt idx="35">
                  <c:v>1.9809982481944401E-2</c:v>
                </c:pt>
                <c:pt idx="36">
                  <c:v>1.6320739806237848E-2</c:v>
                </c:pt>
                <c:pt idx="37">
                  <c:v>1.330549910324069E-2</c:v>
                </c:pt>
                <c:pt idx="38">
                  <c:v>1.0735512223996371E-2</c:v>
                </c:pt>
                <c:pt idx="39">
                  <c:v>8.573896567929078E-3</c:v>
                </c:pt>
                <c:pt idx="40">
                  <c:v>6.7789136462154823E-3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'Continous dividends'!$B$44</c:f>
              <c:strCache>
                <c:ptCount val="1"/>
                <c:pt idx="0">
                  <c:v>10 days</c:v>
                </c:pt>
              </c:strCache>
            </c:strRef>
          </c:tx>
          <c:marker>
            <c:symbol val="none"/>
          </c:marker>
          <c:xVal>
            <c:numRef>
              <c:f>'Continous dividends'!$C$36:$AQ$36</c:f>
              <c:numCache>
                <c:formatCode>General</c:formatCode>
                <c:ptCount val="41"/>
                <c:pt idx="0">
                  <c:v>90</c:v>
                </c:pt>
                <c:pt idx="1">
                  <c:v>90.5</c:v>
                </c:pt>
                <c:pt idx="2">
                  <c:v>91</c:v>
                </c:pt>
                <c:pt idx="3">
                  <c:v>91.5</c:v>
                </c:pt>
                <c:pt idx="4">
                  <c:v>92</c:v>
                </c:pt>
                <c:pt idx="5">
                  <c:v>92.5</c:v>
                </c:pt>
                <c:pt idx="6">
                  <c:v>93</c:v>
                </c:pt>
                <c:pt idx="7">
                  <c:v>93.5</c:v>
                </c:pt>
                <c:pt idx="8">
                  <c:v>94</c:v>
                </c:pt>
                <c:pt idx="9">
                  <c:v>94.5</c:v>
                </c:pt>
                <c:pt idx="10">
                  <c:v>95</c:v>
                </c:pt>
                <c:pt idx="11">
                  <c:v>95.5</c:v>
                </c:pt>
                <c:pt idx="12">
                  <c:v>96</c:v>
                </c:pt>
                <c:pt idx="13">
                  <c:v>96.5</c:v>
                </c:pt>
                <c:pt idx="14">
                  <c:v>97</c:v>
                </c:pt>
                <c:pt idx="15">
                  <c:v>97.5</c:v>
                </c:pt>
                <c:pt idx="16">
                  <c:v>98</c:v>
                </c:pt>
                <c:pt idx="17">
                  <c:v>98.5</c:v>
                </c:pt>
                <c:pt idx="18">
                  <c:v>99</c:v>
                </c:pt>
                <c:pt idx="19">
                  <c:v>99.5</c:v>
                </c:pt>
                <c:pt idx="20">
                  <c:v>100</c:v>
                </c:pt>
                <c:pt idx="21">
                  <c:v>100.5</c:v>
                </c:pt>
                <c:pt idx="22">
                  <c:v>101</c:v>
                </c:pt>
                <c:pt idx="23">
                  <c:v>101.5</c:v>
                </c:pt>
                <c:pt idx="24">
                  <c:v>102</c:v>
                </c:pt>
                <c:pt idx="25">
                  <c:v>102.5</c:v>
                </c:pt>
                <c:pt idx="26">
                  <c:v>103</c:v>
                </c:pt>
                <c:pt idx="27">
                  <c:v>103.5</c:v>
                </c:pt>
                <c:pt idx="28">
                  <c:v>104</c:v>
                </c:pt>
                <c:pt idx="29">
                  <c:v>104.5</c:v>
                </c:pt>
                <c:pt idx="30">
                  <c:v>105</c:v>
                </c:pt>
                <c:pt idx="31">
                  <c:v>105.5</c:v>
                </c:pt>
                <c:pt idx="32">
                  <c:v>106</c:v>
                </c:pt>
                <c:pt idx="33">
                  <c:v>106.5</c:v>
                </c:pt>
                <c:pt idx="34">
                  <c:v>107</c:v>
                </c:pt>
                <c:pt idx="35">
                  <c:v>107.5</c:v>
                </c:pt>
                <c:pt idx="36">
                  <c:v>108</c:v>
                </c:pt>
                <c:pt idx="37">
                  <c:v>108.5</c:v>
                </c:pt>
                <c:pt idx="38">
                  <c:v>109</c:v>
                </c:pt>
                <c:pt idx="39">
                  <c:v>109.5</c:v>
                </c:pt>
                <c:pt idx="40">
                  <c:v>110</c:v>
                </c:pt>
              </c:numCache>
            </c:numRef>
          </c:xVal>
          <c:yVal>
            <c:numRef>
              <c:f>'Continous dividends'!$C$44:$AQ$44</c:f>
              <c:numCache>
                <c:formatCode>General</c:formatCode>
                <c:ptCount val="41"/>
                <c:pt idx="0">
                  <c:v>2.7219178980656252E-5</c:v>
                </c:pt>
                <c:pt idx="1">
                  <c:v>6.685595639815293E-5</c:v>
                </c:pt>
                <c:pt idx="2">
                  <c:v>1.556333996958364E-4</c:v>
                </c:pt>
                <c:pt idx="3">
                  <c:v>3.4366402545675745E-4</c:v>
                </c:pt>
                <c:pt idx="4">
                  <c:v>7.2043954987886132E-4</c:v>
                </c:pt>
                <c:pt idx="5">
                  <c:v>1.4349927850594523E-3</c:v>
                </c:pt>
                <c:pt idx="6">
                  <c:v>2.7179415413475568E-3</c:v>
                </c:pt>
                <c:pt idx="7">
                  <c:v>4.8990452809763736E-3</c:v>
                </c:pt>
                <c:pt idx="8">
                  <c:v>8.4100743164964905E-3</c:v>
                </c:pt>
                <c:pt idx="9">
                  <c:v>1.3760520591815928E-2</c:v>
                </c:pt>
                <c:pt idx="10">
                  <c:v>2.1475329600357872E-2</c:v>
                </c:pt>
                <c:pt idx="11">
                  <c:v>3.1991298888267024E-2</c:v>
                </c:pt>
                <c:pt idx="12">
                  <c:v>4.55220764508147E-2</c:v>
                </c:pt>
                <c:pt idx="13">
                  <c:v>6.1917814432620288E-2</c:v>
                </c:pt>
                <c:pt idx="14">
                  <c:v>8.0558616452679435E-2</c:v>
                </c:pt>
                <c:pt idx="15">
                  <c:v>0.10032404971262353</c:v>
                </c:pt>
                <c:pt idx="16">
                  <c:v>0.11966941061432274</c:v>
                </c:pt>
                <c:pt idx="17">
                  <c:v>0.13681360946507379</c:v>
                </c:pt>
                <c:pt idx="18">
                  <c:v>0.15001036818520319</c:v>
                </c:pt>
                <c:pt idx="19">
                  <c:v>0.15784533205190016</c:v>
                </c:pt>
                <c:pt idx="20">
                  <c:v>0.15948812911463162</c:v>
                </c:pt>
                <c:pt idx="21">
                  <c:v>0.15483670418672194</c:v>
                </c:pt>
                <c:pt idx="22">
                  <c:v>0.14451948764055556</c:v>
                </c:pt>
                <c:pt idx="23">
                  <c:v>0.12975950665786426</c:v>
                </c:pt>
                <c:pt idx="24">
                  <c:v>0.11214011844787831</c:v>
                </c:pt>
                <c:pt idx="25">
                  <c:v>9.3333209455791197E-2</c:v>
                </c:pt>
                <c:pt idx="26">
                  <c:v>7.485222324337272E-2</c:v>
                </c:pt>
                <c:pt idx="27">
                  <c:v>5.7876492628421844E-2</c:v>
                </c:pt>
                <c:pt idx="28">
                  <c:v>4.3167829219813159E-2</c:v>
                </c:pt>
                <c:pt idx="29">
                  <c:v>3.1074642847744485E-2</c:v>
                </c:pt>
                <c:pt idx="30">
                  <c:v>2.1600482111863044E-2</c:v>
                </c:pt>
                <c:pt idx="31">
                  <c:v>1.4506132172058475E-2</c:v>
                </c:pt>
                <c:pt idx="32">
                  <c:v>9.4164326377557776E-3</c:v>
                </c:pt>
                <c:pt idx="33">
                  <c:v>5.9112554203970815E-3</c:v>
                </c:pt>
                <c:pt idx="34">
                  <c:v>3.5903756684775691E-3</c:v>
                </c:pt>
                <c:pt idx="35">
                  <c:v>2.1109192416437022E-3</c:v>
                </c:pt>
                <c:pt idx="36">
                  <c:v>1.2019215199521734E-3</c:v>
                </c:pt>
                <c:pt idx="37">
                  <c:v>6.630574235942713E-4</c:v>
                </c:pt>
                <c:pt idx="38">
                  <c:v>3.5456112838255625E-4</c:v>
                </c:pt>
                <c:pt idx="39">
                  <c:v>1.8385996232896023E-4</c:v>
                </c:pt>
                <c:pt idx="40">
                  <c:v>9.249689937978262E-5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937984"/>
        <c:axId val="174940160"/>
      </c:scatterChart>
      <c:valAx>
        <c:axId val="174937984"/>
        <c:scaling>
          <c:orientation val="minMax"/>
          <c:max val="110"/>
          <c:min val="90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s-MX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Stock price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s-MX"/>
          </a:p>
        </c:txPr>
        <c:crossAx val="174940160"/>
        <c:crosses val="autoZero"/>
        <c:crossBetween val="midCat"/>
      </c:valAx>
      <c:valAx>
        <c:axId val="1749401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lang="es-MX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Gamma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s-MX"/>
          </a:p>
        </c:txPr>
        <c:crossAx val="1749379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title>
      <c:tx>
        <c:rich>
          <a:bodyPr/>
          <a:lstStyle/>
          <a:p>
            <a:pPr algn="ctr" rtl="0">
              <a:defRPr lang="en-US"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Delta</a:t>
            </a:r>
          </a:p>
        </c:rich>
      </c:tx>
      <c:layout>
        <c:manualLayout>
          <c:xMode val="edge"/>
          <c:yMode val="edge"/>
          <c:x val="0.45853477690288713"/>
          <c:y val="2.6946104608172875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'Continous dividends'!$B$41</c:f>
              <c:strCache>
                <c:ptCount val="1"/>
                <c:pt idx="0">
                  <c:v>6 months</c:v>
                </c:pt>
              </c:strCache>
            </c:strRef>
          </c:tx>
          <c:marker>
            <c:symbol val="none"/>
          </c:marker>
          <c:xVal>
            <c:numRef>
              <c:f>'Continous dividends'!$C$36:$AQ$36</c:f>
              <c:numCache>
                <c:formatCode>General</c:formatCode>
                <c:ptCount val="41"/>
                <c:pt idx="0">
                  <c:v>90</c:v>
                </c:pt>
                <c:pt idx="1">
                  <c:v>90.5</c:v>
                </c:pt>
                <c:pt idx="2">
                  <c:v>91</c:v>
                </c:pt>
                <c:pt idx="3">
                  <c:v>91.5</c:v>
                </c:pt>
                <c:pt idx="4">
                  <c:v>92</c:v>
                </c:pt>
                <c:pt idx="5">
                  <c:v>92.5</c:v>
                </c:pt>
                <c:pt idx="6">
                  <c:v>93</c:v>
                </c:pt>
                <c:pt idx="7">
                  <c:v>93.5</c:v>
                </c:pt>
                <c:pt idx="8">
                  <c:v>94</c:v>
                </c:pt>
                <c:pt idx="9">
                  <c:v>94.5</c:v>
                </c:pt>
                <c:pt idx="10">
                  <c:v>95</c:v>
                </c:pt>
                <c:pt idx="11">
                  <c:v>95.5</c:v>
                </c:pt>
                <c:pt idx="12">
                  <c:v>96</c:v>
                </c:pt>
                <c:pt idx="13">
                  <c:v>96.5</c:v>
                </c:pt>
                <c:pt idx="14">
                  <c:v>97</c:v>
                </c:pt>
                <c:pt idx="15">
                  <c:v>97.5</c:v>
                </c:pt>
                <c:pt idx="16">
                  <c:v>98</c:v>
                </c:pt>
                <c:pt idx="17">
                  <c:v>98.5</c:v>
                </c:pt>
                <c:pt idx="18">
                  <c:v>99</c:v>
                </c:pt>
                <c:pt idx="19">
                  <c:v>99.5</c:v>
                </c:pt>
                <c:pt idx="20">
                  <c:v>100</c:v>
                </c:pt>
                <c:pt idx="21">
                  <c:v>100.5</c:v>
                </c:pt>
                <c:pt idx="22">
                  <c:v>101</c:v>
                </c:pt>
                <c:pt idx="23">
                  <c:v>101.5</c:v>
                </c:pt>
                <c:pt idx="24">
                  <c:v>102</c:v>
                </c:pt>
                <c:pt idx="25">
                  <c:v>102.5</c:v>
                </c:pt>
                <c:pt idx="26">
                  <c:v>103</c:v>
                </c:pt>
                <c:pt idx="27">
                  <c:v>103.5</c:v>
                </c:pt>
                <c:pt idx="28">
                  <c:v>104</c:v>
                </c:pt>
                <c:pt idx="29">
                  <c:v>104.5</c:v>
                </c:pt>
                <c:pt idx="30">
                  <c:v>105</c:v>
                </c:pt>
                <c:pt idx="31">
                  <c:v>105.5</c:v>
                </c:pt>
                <c:pt idx="32">
                  <c:v>106</c:v>
                </c:pt>
                <c:pt idx="33">
                  <c:v>106.5</c:v>
                </c:pt>
                <c:pt idx="34">
                  <c:v>107</c:v>
                </c:pt>
                <c:pt idx="35">
                  <c:v>107.5</c:v>
                </c:pt>
                <c:pt idx="36">
                  <c:v>108</c:v>
                </c:pt>
                <c:pt idx="37">
                  <c:v>108.5</c:v>
                </c:pt>
                <c:pt idx="38">
                  <c:v>109</c:v>
                </c:pt>
                <c:pt idx="39">
                  <c:v>109.5</c:v>
                </c:pt>
                <c:pt idx="40">
                  <c:v>110</c:v>
                </c:pt>
              </c:numCache>
            </c:numRef>
          </c:xVal>
          <c:yVal>
            <c:numRef>
              <c:f>'Continous dividends'!$C$37:$AQ$37</c:f>
              <c:numCache>
                <c:formatCode>General</c:formatCode>
                <c:ptCount val="41"/>
                <c:pt idx="0">
                  <c:v>0.18495464101214598</c:v>
                </c:pt>
                <c:pt idx="1">
                  <c:v>0.199191848627497</c:v>
                </c:pt>
                <c:pt idx="2">
                  <c:v>0.21398452572238402</c:v>
                </c:pt>
                <c:pt idx="3">
                  <c:v>0.2293098289406231</c:v>
                </c:pt>
                <c:pt idx="4">
                  <c:v>0.24514168521565199</c:v>
                </c:pt>
                <c:pt idx="5">
                  <c:v>0.2614509653534377</c:v>
                </c:pt>
                <c:pt idx="6">
                  <c:v>0.27820568934814494</c:v>
                </c:pt>
                <c:pt idx="7">
                  <c:v>0.29537126047404821</c:v>
                </c:pt>
                <c:pt idx="8">
                  <c:v>0.31291072480825771</c:v>
                </c:pt>
                <c:pt idx="9">
                  <c:v>0.33078505252081292</c:v>
                </c:pt>
                <c:pt idx="10">
                  <c:v>0.34895343702539922</c:v>
                </c:pt>
                <c:pt idx="11">
                  <c:v>0.3673736079174198</c:v>
                </c:pt>
                <c:pt idx="12">
                  <c:v>0.38600215353649076</c:v>
                </c:pt>
                <c:pt idx="13">
                  <c:v>0.40479484897610091</c:v>
                </c:pt>
                <c:pt idx="14">
                  <c:v>0.42370698542098428</c:v>
                </c:pt>
                <c:pt idx="15">
                  <c:v>0.44269369681811727</c:v>
                </c:pt>
                <c:pt idx="16">
                  <c:v>0.46171028007436021</c:v>
                </c:pt>
                <c:pt idx="17">
                  <c:v>0.48071250521581788</c:v>
                </c:pt>
                <c:pt idx="18">
                  <c:v>0.49965691223341396</c:v>
                </c:pt>
                <c:pt idx="19">
                  <c:v>0.51850109166786462</c:v>
                </c:pt>
                <c:pt idx="20">
                  <c:v>0.53720394634677104</c:v>
                </c:pt>
                <c:pt idx="21">
                  <c:v>0.55572593206843701</c:v>
                </c:pt>
                <c:pt idx="22">
                  <c:v>0.57402927542286675</c:v>
                </c:pt>
                <c:pt idx="23">
                  <c:v>0.59207816734210916</c:v>
                </c:pt>
                <c:pt idx="24">
                  <c:v>0.60983893137210943</c:v>
                </c:pt>
                <c:pt idx="25">
                  <c:v>0.62728016604937031</c:v>
                </c:pt>
                <c:pt idx="26">
                  <c:v>0.64437286114185155</c:v>
                </c:pt>
                <c:pt idx="27">
                  <c:v>0.66109048786889246</c:v>
                </c:pt>
                <c:pt idx="28">
                  <c:v>0.67740906354506691</c:v>
                </c:pt>
                <c:pt idx="29">
                  <c:v>0.69330719139370367</c:v>
                </c:pt>
                <c:pt idx="30">
                  <c:v>0.7087660765446101</c:v>
                </c:pt>
                <c:pt idx="31">
                  <c:v>0.72376951946502388</c:v>
                </c:pt>
                <c:pt idx="32">
                  <c:v>0.73830388827191773</c:v>
                </c:pt>
                <c:pt idx="33">
                  <c:v>0.75235807153686129</c:v>
                </c:pt>
                <c:pt idx="34">
                  <c:v>0.76592341332207026</c:v>
                </c:pt>
                <c:pt idx="35">
                  <c:v>0.77899363227881613</c:v>
                </c:pt>
                <c:pt idx="36">
                  <c:v>0.7915647266985909</c:v>
                </c:pt>
                <c:pt idx="37">
                  <c:v>0.80363486743511547</c:v>
                </c:pt>
                <c:pt idx="38">
                  <c:v>0.81520428061390571</c:v>
                </c:pt>
                <c:pt idx="39">
                  <c:v>0.82627512201814257</c:v>
                </c:pt>
                <c:pt idx="40">
                  <c:v>0.8368513449880195</c:v>
                </c:pt>
              </c:numCache>
            </c:numRef>
          </c:yVal>
          <c:smooth val="0"/>
        </c:ser>
        <c:ser>
          <c:idx val="5"/>
          <c:order val="1"/>
          <c:tx>
            <c:strRef>
              <c:f>'Continous dividends'!$B$38</c:f>
              <c:strCache>
                <c:ptCount val="1"/>
                <c:pt idx="0">
                  <c:v>3months</c:v>
                </c:pt>
              </c:strCache>
            </c:strRef>
          </c:tx>
          <c:marker>
            <c:symbol val="none"/>
          </c:marker>
          <c:xVal>
            <c:numRef>
              <c:f>'Continous dividends'!$C$36:$AQ$36</c:f>
              <c:numCache>
                <c:formatCode>General</c:formatCode>
                <c:ptCount val="41"/>
                <c:pt idx="0">
                  <c:v>90</c:v>
                </c:pt>
                <c:pt idx="1">
                  <c:v>90.5</c:v>
                </c:pt>
                <c:pt idx="2">
                  <c:v>91</c:v>
                </c:pt>
                <c:pt idx="3">
                  <c:v>91.5</c:v>
                </c:pt>
                <c:pt idx="4">
                  <c:v>92</c:v>
                </c:pt>
                <c:pt idx="5">
                  <c:v>92.5</c:v>
                </c:pt>
                <c:pt idx="6">
                  <c:v>93</c:v>
                </c:pt>
                <c:pt idx="7">
                  <c:v>93.5</c:v>
                </c:pt>
                <c:pt idx="8">
                  <c:v>94</c:v>
                </c:pt>
                <c:pt idx="9">
                  <c:v>94.5</c:v>
                </c:pt>
                <c:pt idx="10">
                  <c:v>95</c:v>
                </c:pt>
                <c:pt idx="11">
                  <c:v>95.5</c:v>
                </c:pt>
                <c:pt idx="12">
                  <c:v>96</c:v>
                </c:pt>
                <c:pt idx="13">
                  <c:v>96.5</c:v>
                </c:pt>
                <c:pt idx="14">
                  <c:v>97</c:v>
                </c:pt>
                <c:pt idx="15">
                  <c:v>97.5</c:v>
                </c:pt>
                <c:pt idx="16">
                  <c:v>98</c:v>
                </c:pt>
                <c:pt idx="17">
                  <c:v>98.5</c:v>
                </c:pt>
                <c:pt idx="18">
                  <c:v>99</c:v>
                </c:pt>
                <c:pt idx="19">
                  <c:v>99.5</c:v>
                </c:pt>
                <c:pt idx="20">
                  <c:v>100</c:v>
                </c:pt>
                <c:pt idx="21">
                  <c:v>100.5</c:v>
                </c:pt>
                <c:pt idx="22">
                  <c:v>101</c:v>
                </c:pt>
                <c:pt idx="23">
                  <c:v>101.5</c:v>
                </c:pt>
                <c:pt idx="24">
                  <c:v>102</c:v>
                </c:pt>
                <c:pt idx="25">
                  <c:v>102.5</c:v>
                </c:pt>
                <c:pt idx="26">
                  <c:v>103</c:v>
                </c:pt>
                <c:pt idx="27">
                  <c:v>103.5</c:v>
                </c:pt>
                <c:pt idx="28">
                  <c:v>104</c:v>
                </c:pt>
                <c:pt idx="29">
                  <c:v>104.5</c:v>
                </c:pt>
                <c:pt idx="30">
                  <c:v>105</c:v>
                </c:pt>
                <c:pt idx="31">
                  <c:v>105.5</c:v>
                </c:pt>
                <c:pt idx="32">
                  <c:v>106</c:v>
                </c:pt>
                <c:pt idx="33">
                  <c:v>106.5</c:v>
                </c:pt>
                <c:pt idx="34">
                  <c:v>107</c:v>
                </c:pt>
                <c:pt idx="35">
                  <c:v>107.5</c:v>
                </c:pt>
                <c:pt idx="36">
                  <c:v>108</c:v>
                </c:pt>
                <c:pt idx="37">
                  <c:v>108.5</c:v>
                </c:pt>
                <c:pt idx="38">
                  <c:v>109</c:v>
                </c:pt>
                <c:pt idx="39">
                  <c:v>109.5</c:v>
                </c:pt>
                <c:pt idx="40">
                  <c:v>110</c:v>
                </c:pt>
              </c:numCache>
            </c:numRef>
          </c:xVal>
          <c:yVal>
            <c:numRef>
              <c:f>'Continous dividends'!$C$38:$AQ$38</c:f>
              <c:numCache>
                <c:formatCode>General</c:formatCode>
                <c:ptCount val="41"/>
                <c:pt idx="0">
                  <c:v>9.0878782657201868E-2</c:v>
                </c:pt>
                <c:pt idx="1">
                  <c:v>0.10355662346564019</c:v>
                </c:pt>
                <c:pt idx="2">
                  <c:v>0.11739050993329098</c:v>
                </c:pt>
                <c:pt idx="3">
                  <c:v>0.1323976854214225</c:v>
                </c:pt>
                <c:pt idx="4">
                  <c:v>0.14858407732570367</c:v>
                </c:pt>
                <c:pt idx="5">
                  <c:v>0.16594357590723555</c:v>
                </c:pt>
                <c:pt idx="6">
                  <c:v>0.18445753324010208</c:v>
                </c:pt>
                <c:pt idx="7">
                  <c:v>0.20409450246755523</c:v>
                </c:pt>
                <c:pt idx="8">
                  <c:v>0.22481023057361271</c:v>
                </c:pt>
                <c:pt idx="9">
                  <c:v>0.24654791034449899</c:v>
                </c:pt>
                <c:pt idx="10">
                  <c:v>0.26923868942028345</c:v>
                </c:pt>
                <c:pt idx="11">
                  <c:v>0.2928024266343896</c:v>
                </c:pt>
                <c:pt idx="12">
                  <c:v>0.31714867851231526</c:v>
                </c:pt>
                <c:pt idx="13">
                  <c:v>0.34217789213310679</c:v>
                </c:pt>
                <c:pt idx="14">
                  <c:v>0.36778277479396498</c:v>
                </c:pt>
                <c:pt idx="15">
                  <c:v>0.39384980625936139</c:v>
                </c:pt>
                <c:pt idx="16">
                  <c:v>0.42026085596636598</c:v>
                </c:pt>
                <c:pt idx="17">
                  <c:v>0.44689486548391227</c:v>
                </c:pt>
                <c:pt idx="18">
                  <c:v>0.47362955581179317</c:v>
                </c:pt>
                <c:pt idx="19">
                  <c:v>0.50034311972359291</c:v>
                </c:pt>
                <c:pt idx="20">
                  <c:v>0.52691586122152112</c:v>
                </c:pt>
                <c:pt idx="21">
                  <c:v>0.55323174714908074</c:v>
                </c:pt>
                <c:pt idx="22">
                  <c:v>0.57917983993131805</c:v>
                </c:pt>
                <c:pt idx="23">
                  <c:v>0.60465558508655726</c:v>
                </c:pt>
                <c:pt idx="24">
                  <c:v>0.62956193236612834</c:v>
                </c:pt>
                <c:pt idx="25">
                  <c:v>0.65381027491160948</c:v>
                </c:pt>
                <c:pt idx="26">
                  <c:v>0.67732119645888245</c:v>
                </c:pt>
                <c:pt idx="27">
                  <c:v>0.70002502216357099</c:v>
                </c:pt>
                <c:pt idx="28">
                  <c:v>0.7218621738928036</c:v>
                </c:pt>
                <c:pt idx="29">
                  <c:v>0.74278333566882493</c:v>
                </c:pt>
                <c:pt idx="30">
                  <c:v>0.76274943923652172</c:v>
                </c:pt>
                <c:pt idx="31">
                  <c:v>0.78173148336690146</c:v>
                </c:pt>
                <c:pt idx="32">
                  <c:v>0.79971020344275134</c:v>
                </c:pt>
                <c:pt idx="33">
                  <c:v>0.81667561007314893</c:v>
                </c:pt>
                <c:pt idx="34">
                  <c:v>0.83262641695214457</c:v>
                </c:pt>
                <c:pt idx="35">
                  <c:v>0.84756937894139817</c:v>
                </c:pt>
                <c:pt idx="36">
                  <c:v>0.86151856146684302</c:v>
                </c:pt>
                <c:pt idx="37">
                  <c:v>0.87449456184264562</c:v>
                </c:pt>
                <c:pt idx="38">
                  <c:v>0.88652370215204701</c:v>
                </c:pt>
                <c:pt idx="39">
                  <c:v>0.89763721191197665</c:v>
                </c:pt>
                <c:pt idx="40">
                  <c:v>0.90787041701858739</c:v>
                </c:pt>
              </c:numCache>
            </c:numRef>
          </c:yVal>
          <c:smooth val="0"/>
        </c:ser>
        <c:ser>
          <c:idx val="6"/>
          <c:order val="2"/>
          <c:tx>
            <c:strRef>
              <c:f>'Continous dividends'!$B$39</c:f>
              <c:strCache>
                <c:ptCount val="1"/>
                <c:pt idx="0">
                  <c:v>1 month</c:v>
                </c:pt>
              </c:strCache>
            </c:strRef>
          </c:tx>
          <c:marker>
            <c:symbol val="none"/>
          </c:marker>
          <c:xVal>
            <c:numRef>
              <c:f>'Continous dividends'!$C$36:$AQ$36</c:f>
              <c:numCache>
                <c:formatCode>General</c:formatCode>
                <c:ptCount val="41"/>
                <c:pt idx="0">
                  <c:v>90</c:v>
                </c:pt>
                <c:pt idx="1">
                  <c:v>90.5</c:v>
                </c:pt>
                <c:pt idx="2">
                  <c:v>91</c:v>
                </c:pt>
                <c:pt idx="3">
                  <c:v>91.5</c:v>
                </c:pt>
                <c:pt idx="4">
                  <c:v>92</c:v>
                </c:pt>
                <c:pt idx="5">
                  <c:v>92.5</c:v>
                </c:pt>
                <c:pt idx="6">
                  <c:v>93</c:v>
                </c:pt>
                <c:pt idx="7">
                  <c:v>93.5</c:v>
                </c:pt>
                <c:pt idx="8">
                  <c:v>94</c:v>
                </c:pt>
                <c:pt idx="9">
                  <c:v>94.5</c:v>
                </c:pt>
                <c:pt idx="10">
                  <c:v>95</c:v>
                </c:pt>
                <c:pt idx="11">
                  <c:v>95.5</c:v>
                </c:pt>
                <c:pt idx="12">
                  <c:v>96</c:v>
                </c:pt>
                <c:pt idx="13">
                  <c:v>96.5</c:v>
                </c:pt>
                <c:pt idx="14">
                  <c:v>97</c:v>
                </c:pt>
                <c:pt idx="15">
                  <c:v>97.5</c:v>
                </c:pt>
                <c:pt idx="16">
                  <c:v>98</c:v>
                </c:pt>
                <c:pt idx="17">
                  <c:v>98.5</c:v>
                </c:pt>
                <c:pt idx="18">
                  <c:v>99</c:v>
                </c:pt>
                <c:pt idx="19">
                  <c:v>99.5</c:v>
                </c:pt>
                <c:pt idx="20">
                  <c:v>100</c:v>
                </c:pt>
                <c:pt idx="21">
                  <c:v>100.5</c:v>
                </c:pt>
                <c:pt idx="22">
                  <c:v>101</c:v>
                </c:pt>
                <c:pt idx="23">
                  <c:v>101.5</c:v>
                </c:pt>
                <c:pt idx="24">
                  <c:v>102</c:v>
                </c:pt>
                <c:pt idx="25">
                  <c:v>102.5</c:v>
                </c:pt>
                <c:pt idx="26">
                  <c:v>103</c:v>
                </c:pt>
                <c:pt idx="27">
                  <c:v>103.5</c:v>
                </c:pt>
                <c:pt idx="28">
                  <c:v>104</c:v>
                </c:pt>
                <c:pt idx="29">
                  <c:v>104.5</c:v>
                </c:pt>
                <c:pt idx="30">
                  <c:v>105</c:v>
                </c:pt>
                <c:pt idx="31">
                  <c:v>105.5</c:v>
                </c:pt>
                <c:pt idx="32">
                  <c:v>106</c:v>
                </c:pt>
                <c:pt idx="33">
                  <c:v>106.5</c:v>
                </c:pt>
                <c:pt idx="34">
                  <c:v>107</c:v>
                </c:pt>
                <c:pt idx="35">
                  <c:v>107.5</c:v>
                </c:pt>
                <c:pt idx="36">
                  <c:v>108</c:v>
                </c:pt>
                <c:pt idx="37">
                  <c:v>108.5</c:v>
                </c:pt>
                <c:pt idx="38">
                  <c:v>109</c:v>
                </c:pt>
                <c:pt idx="39">
                  <c:v>109.5</c:v>
                </c:pt>
                <c:pt idx="40">
                  <c:v>110</c:v>
                </c:pt>
              </c:numCache>
            </c:numRef>
          </c:xVal>
          <c:yVal>
            <c:numRef>
              <c:f>'Continous dividends'!$C$39:$AQ$39</c:f>
              <c:numCache>
                <c:formatCode>General</c:formatCode>
                <c:ptCount val="41"/>
                <c:pt idx="0">
                  <c:v>8.364573619611038E-3</c:v>
                </c:pt>
                <c:pt idx="1">
                  <c:v>1.176629680622049E-2</c:v>
                </c:pt>
                <c:pt idx="2">
                  <c:v>1.6280697788660637E-2</c:v>
                </c:pt>
                <c:pt idx="3">
                  <c:v>2.2166790022161476E-2</c:v>
                </c:pt>
                <c:pt idx="4">
                  <c:v>2.9709048666557498E-2</c:v>
                </c:pt>
                <c:pt idx="5">
                  <c:v>3.9209461541608863E-2</c:v>
                </c:pt>
                <c:pt idx="6">
                  <c:v>5.0976500284032215E-2</c:v>
                </c:pt>
                <c:pt idx="7">
                  <c:v>6.5311253091845115E-2</c:v>
                </c:pt>
                <c:pt idx="8">
                  <c:v>8.2491286879873657E-2</c:v>
                </c:pt>
                <c:pt idx="9">
                  <c:v>0.10275312753812922</c:v>
                </c:pt>
                <c:pt idx="10">
                  <c:v>0.12627452057934707</c:v>
                </c:pt>
                <c:pt idx="11">
                  <c:v>0.15315781983379664</c:v>
                </c:pt>
                <c:pt idx="12">
                  <c:v>0.18341591522912495</c:v>
                </c:pt>
                <c:pt idx="13">
                  <c:v>0.21696203139724304</c:v>
                </c:pt>
                <c:pt idx="14">
                  <c:v>0.2536045035533217</c:v>
                </c:pt>
                <c:pt idx="15">
                  <c:v>0.29304728158353655</c:v>
                </c:pt>
                <c:pt idx="16">
                  <c:v>0.33489646125746825</c:v>
                </c:pt>
                <c:pt idx="17">
                  <c:v>0.3786726404729544</c:v>
                </c:pt>
                <c:pt idx="18">
                  <c:v>0.42382840345488437</c:v>
                </c:pt>
                <c:pt idx="19">
                  <c:v>0.46976980179637978</c:v>
                </c:pt>
                <c:pt idx="20">
                  <c:v>0.51588037547487875</c:v>
                </c:pt>
                <c:pt idx="21">
                  <c:v>0.56154607294080738</c:v>
                </c:pt>
                <c:pt idx="22">
                  <c:v>0.60617940258033598</c:v>
                </c:pt>
                <c:pt idx="23">
                  <c:v>0.64924127461019066</c:v>
                </c:pt>
                <c:pt idx="24">
                  <c:v>0.69025925141810929</c:v>
                </c:pt>
                <c:pt idx="25">
                  <c:v>0.72884128041499441</c:v>
                </c:pt>
                <c:pt idx="26">
                  <c:v>0.7646843932795534</c:v>
                </c:pt>
                <c:pt idx="27">
                  <c:v>0.79757827362298472</c:v>
                </c:pt>
                <c:pt idx="28">
                  <c:v>0.82740397984478997</c:v>
                </c:pt>
                <c:pt idx="29">
                  <c:v>0.85412842788435217</c:v>
                </c:pt>
                <c:pt idx="30">
                  <c:v>0.8777954675798274</c:v>
                </c:pt>
                <c:pt idx="31">
                  <c:v>0.89851451668917615</c:v>
                </c:pt>
                <c:pt idx="32">
                  <c:v>0.91644775029558745</c:v>
                </c:pt>
                <c:pt idx="33">
                  <c:v>0.93179679198194454</c:v>
                </c:pt>
                <c:pt idx="34">
                  <c:v>0.94478973525609222</c:v>
                </c:pt>
                <c:pt idx="35">
                  <c:v>0.95566916120506218</c:v>
                </c:pt>
                <c:pt idx="36">
                  <c:v>0.96468163366476567</c:v>
                </c:pt>
                <c:pt idx="37">
                  <c:v>0.97206896663334663</c:v>
                </c:pt>
                <c:pt idx="38">
                  <c:v>0.97806138668390086</c:v>
                </c:pt>
                <c:pt idx="39">
                  <c:v>0.9828725673791413</c:v>
                </c:pt>
                <c:pt idx="40">
                  <c:v>0.98669639979010304</c:v>
                </c:pt>
              </c:numCache>
            </c:numRef>
          </c:yVal>
          <c:smooth val="0"/>
        </c:ser>
        <c:ser>
          <c:idx val="7"/>
          <c:order val="3"/>
          <c:tx>
            <c:strRef>
              <c:f>'Continous dividends'!$B$40</c:f>
              <c:strCache>
                <c:ptCount val="1"/>
                <c:pt idx="0">
                  <c:v>10 days</c:v>
                </c:pt>
              </c:strCache>
            </c:strRef>
          </c:tx>
          <c:marker>
            <c:symbol val="none"/>
          </c:marker>
          <c:xVal>
            <c:numRef>
              <c:f>'Continous dividends'!$C$36:$AQ$36</c:f>
              <c:numCache>
                <c:formatCode>General</c:formatCode>
                <c:ptCount val="41"/>
                <c:pt idx="0">
                  <c:v>90</c:v>
                </c:pt>
                <c:pt idx="1">
                  <c:v>90.5</c:v>
                </c:pt>
                <c:pt idx="2">
                  <c:v>91</c:v>
                </c:pt>
                <c:pt idx="3">
                  <c:v>91.5</c:v>
                </c:pt>
                <c:pt idx="4">
                  <c:v>92</c:v>
                </c:pt>
                <c:pt idx="5">
                  <c:v>92.5</c:v>
                </c:pt>
                <c:pt idx="6">
                  <c:v>93</c:v>
                </c:pt>
                <c:pt idx="7">
                  <c:v>93.5</c:v>
                </c:pt>
                <c:pt idx="8">
                  <c:v>94</c:v>
                </c:pt>
                <c:pt idx="9">
                  <c:v>94.5</c:v>
                </c:pt>
                <c:pt idx="10">
                  <c:v>95</c:v>
                </c:pt>
                <c:pt idx="11">
                  <c:v>95.5</c:v>
                </c:pt>
                <c:pt idx="12">
                  <c:v>96</c:v>
                </c:pt>
                <c:pt idx="13">
                  <c:v>96.5</c:v>
                </c:pt>
                <c:pt idx="14">
                  <c:v>97</c:v>
                </c:pt>
                <c:pt idx="15">
                  <c:v>97.5</c:v>
                </c:pt>
                <c:pt idx="16">
                  <c:v>98</c:v>
                </c:pt>
                <c:pt idx="17">
                  <c:v>98.5</c:v>
                </c:pt>
                <c:pt idx="18">
                  <c:v>99</c:v>
                </c:pt>
                <c:pt idx="19">
                  <c:v>99.5</c:v>
                </c:pt>
                <c:pt idx="20">
                  <c:v>100</c:v>
                </c:pt>
                <c:pt idx="21">
                  <c:v>100.5</c:v>
                </c:pt>
                <c:pt idx="22">
                  <c:v>101</c:v>
                </c:pt>
                <c:pt idx="23">
                  <c:v>101.5</c:v>
                </c:pt>
                <c:pt idx="24">
                  <c:v>102</c:v>
                </c:pt>
                <c:pt idx="25">
                  <c:v>102.5</c:v>
                </c:pt>
                <c:pt idx="26">
                  <c:v>103</c:v>
                </c:pt>
                <c:pt idx="27">
                  <c:v>103.5</c:v>
                </c:pt>
                <c:pt idx="28">
                  <c:v>104</c:v>
                </c:pt>
                <c:pt idx="29">
                  <c:v>104.5</c:v>
                </c:pt>
                <c:pt idx="30">
                  <c:v>105</c:v>
                </c:pt>
                <c:pt idx="31">
                  <c:v>105.5</c:v>
                </c:pt>
                <c:pt idx="32">
                  <c:v>106</c:v>
                </c:pt>
                <c:pt idx="33">
                  <c:v>106.5</c:v>
                </c:pt>
                <c:pt idx="34">
                  <c:v>107</c:v>
                </c:pt>
                <c:pt idx="35">
                  <c:v>107.5</c:v>
                </c:pt>
                <c:pt idx="36">
                  <c:v>108</c:v>
                </c:pt>
                <c:pt idx="37">
                  <c:v>108.5</c:v>
                </c:pt>
                <c:pt idx="38">
                  <c:v>109</c:v>
                </c:pt>
                <c:pt idx="39">
                  <c:v>109.5</c:v>
                </c:pt>
                <c:pt idx="40">
                  <c:v>110</c:v>
                </c:pt>
              </c:numCache>
            </c:numRef>
          </c:xVal>
          <c:yVal>
            <c:numRef>
              <c:f>'Continous dividends'!$C$40:$AQ$40</c:f>
              <c:numCache>
                <c:formatCode>General</c:formatCode>
                <c:ptCount val="41"/>
                <c:pt idx="0">
                  <c:v>1.3894187448604035E-5</c:v>
                </c:pt>
                <c:pt idx="1">
                  <c:v>3.6046805499522999E-5</c:v>
                </c:pt>
                <c:pt idx="2">
                  <c:v>8.8810989418205716E-5</c:v>
                </c:pt>
                <c:pt idx="3">
                  <c:v>2.0800696463284447E-4</c:v>
                </c:pt>
                <c:pt idx="4">
                  <c:v>4.6360333720797832E-4</c:v>
                </c:pt>
                <c:pt idx="5">
                  <c:v>9.8428700320454137E-4</c:v>
                </c:pt>
                <c:pt idx="6">
                  <c:v>1.9927684834970356E-3</c:v>
                </c:pt>
                <c:pt idx="7">
                  <c:v>3.8513362239535227E-3</c:v>
                </c:pt>
                <c:pt idx="8">
                  <c:v>7.1130103225951558E-3</c:v>
                </c:pt>
                <c:pt idx="9">
                  <c:v>1.2567865490486664E-2</c:v>
                </c:pt>
                <c:pt idx="10">
                  <c:v>2.1268058569057065E-2</c:v>
                </c:pt>
                <c:pt idx="11">
                  <c:v>3.451128986268788E-2</c:v>
                </c:pt>
                <c:pt idx="12">
                  <c:v>5.3763866861881476E-2</c:v>
                </c:pt>
                <c:pt idx="13">
                  <c:v>8.0513522583003594E-2</c:v>
                </c:pt>
                <c:pt idx="14">
                  <c:v>0.11605871274253121</c:v>
                </c:pt>
                <c:pt idx="15">
                  <c:v>0.16126201203877999</c:v>
                </c:pt>
                <c:pt idx="16">
                  <c:v>0.21631412192285907</c:v>
                </c:pt>
                <c:pt idx="17">
                  <c:v>0.28056438755107271</c:v>
                </c:pt>
                <c:pt idx="18">
                  <c:v>0.35246795000761172</c:v>
                </c:pt>
                <c:pt idx="19">
                  <c:v>0.4296778046180082</c:v>
                </c:pt>
                <c:pt idx="20">
                  <c:v>0.50927710986737762</c:v>
                </c:pt>
                <c:pt idx="21">
                  <c:v>0.58811274334944685</c:v>
                </c:pt>
                <c:pt idx="22">
                  <c:v>0.66316614482796121</c:v>
                </c:pt>
                <c:pt idx="23">
                  <c:v>0.73188974348575409</c:v>
                </c:pt>
                <c:pt idx="24">
                  <c:v>0.79244860996818833</c:v>
                </c:pt>
                <c:pt idx="25">
                  <c:v>0.8438328719684498</c:v>
                </c:pt>
                <c:pt idx="26">
                  <c:v>0.88583805981736696</c:v>
                </c:pt>
                <c:pt idx="27">
                  <c:v>0.91893835051936479</c:v>
                </c:pt>
                <c:pt idx="28">
                  <c:v>0.94409473702930335</c:v>
                </c:pt>
                <c:pt idx="29">
                  <c:v>0.96254403039356184</c:v>
                </c:pt>
                <c:pt idx="30">
                  <c:v>0.97560723503806357</c:v>
                </c:pt>
                <c:pt idx="31">
                  <c:v>0.98454189130975633</c:v>
                </c:pt>
                <c:pt idx="32">
                  <c:v>0.99044770722708075</c:v>
                </c:pt>
                <c:pt idx="33">
                  <c:v>0.99422228169424143</c:v>
                </c:pt>
                <c:pt idx="34">
                  <c:v>0.9965560115648342</c:v>
                </c:pt>
                <c:pt idx="35">
                  <c:v>0.99795248464281294</c:v>
                </c:pt>
                <c:pt idx="36">
                  <c:v>0.99876160915824108</c:v>
                </c:pt>
                <c:pt idx="37">
                  <c:v>0.99921575669610019</c:v>
                </c:pt>
                <c:pt idx="38">
                  <c:v>0.99946279940448901</c:v>
                </c:pt>
                <c:pt idx="39">
                  <c:v>0.99959309567212629</c:v>
                </c:pt>
                <c:pt idx="40">
                  <c:v>0.99965975561746478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982656"/>
        <c:axId val="174984576"/>
      </c:scatterChart>
      <c:valAx>
        <c:axId val="174982656"/>
        <c:scaling>
          <c:orientation val="minMax"/>
          <c:max val="110"/>
          <c:min val="90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s-MX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Stock price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s-MX"/>
          </a:p>
        </c:txPr>
        <c:crossAx val="174984576"/>
        <c:crosses val="autoZero"/>
        <c:crossBetween val="midCat"/>
      </c:valAx>
      <c:valAx>
        <c:axId val="1749845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lang="es-MX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Delta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s-MX"/>
          </a:p>
        </c:txPr>
        <c:crossAx val="1749826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Long Straddle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'Long Straddle'!$A$1</c:f>
              <c:strCache>
                <c:ptCount val="1"/>
                <c:pt idx="0">
                  <c:v>Put Largo</c:v>
                </c:pt>
              </c:strCache>
            </c:strRef>
          </c:tx>
          <c:spPr>
            <a:ln>
              <a:solidFill>
                <a:srgbClr val="00CCFF"/>
              </a:solidFill>
            </a:ln>
          </c:spPr>
          <c:marker>
            <c:spPr>
              <a:solidFill>
                <a:srgbClr val="00CCFF"/>
              </a:solidFill>
              <a:ln>
                <a:solidFill>
                  <a:srgbClr val="00CCFF"/>
                </a:solidFill>
              </a:ln>
            </c:spPr>
          </c:marker>
          <c:cat>
            <c:numRef>
              <c:f>'Long Straddle'!$A$21:$O$21</c:f>
              <c:numCache>
                <c:formatCode>General</c:formatCode>
                <c:ptCount val="15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</c:numCache>
            </c:numRef>
          </c:cat>
          <c:val>
            <c:numRef>
              <c:f>'Long Straddle'!$A$8:$O$8</c:f>
              <c:numCache>
                <c:formatCode>General</c:formatCode>
                <c:ptCount val="15"/>
                <c:pt idx="0">
                  <c:v>29.99</c:v>
                </c:pt>
                <c:pt idx="1">
                  <c:v>25</c:v>
                </c:pt>
                <c:pt idx="2">
                  <c:v>20</c:v>
                </c:pt>
                <c:pt idx="3">
                  <c:v>15</c:v>
                </c:pt>
                <c:pt idx="4">
                  <c:v>10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'Long Straddle'!$A$10</c:f>
              <c:strCache>
                <c:ptCount val="1"/>
                <c:pt idx="0">
                  <c:v>Call Largo</c:v>
                </c:pt>
              </c:strCache>
            </c:strRef>
          </c:tx>
          <c:spPr>
            <a:ln>
              <a:solidFill>
                <a:srgbClr val="FF0066"/>
              </a:solidFill>
            </a:ln>
          </c:spPr>
          <c:marker>
            <c:spPr>
              <a:solidFill>
                <a:srgbClr val="FF0066"/>
              </a:solidFill>
              <a:ln>
                <a:solidFill>
                  <a:srgbClr val="FF0066"/>
                </a:solidFill>
              </a:ln>
            </c:spPr>
          </c:marker>
          <c:cat>
            <c:numRef>
              <c:f>'Long Straddle'!$A$21:$O$21</c:f>
              <c:numCache>
                <c:formatCode>General</c:formatCode>
                <c:ptCount val="15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</c:numCache>
            </c:numRef>
          </c:cat>
          <c:val>
            <c:numRef>
              <c:f>'Long Straddle'!$A$17:$O$17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10</c:v>
                </c:pt>
                <c:pt idx="9">
                  <c:v>15</c:v>
                </c:pt>
                <c:pt idx="10">
                  <c:v>20</c:v>
                </c:pt>
                <c:pt idx="11">
                  <c:v>25</c:v>
                </c:pt>
                <c:pt idx="12">
                  <c:v>30</c:v>
                </c:pt>
                <c:pt idx="13">
                  <c:v>35</c:v>
                </c:pt>
                <c:pt idx="14">
                  <c:v>40</c:v>
                </c:pt>
              </c:numCache>
            </c:numRef>
          </c:val>
          <c:smooth val="0"/>
        </c:ser>
        <c:ser>
          <c:idx val="4"/>
          <c:order val="2"/>
          <c:tx>
            <c:strRef>
              <c:f>'Long Straddle'!$A$20:$F$20</c:f>
              <c:strCache>
                <c:ptCount val="1"/>
                <c:pt idx="0">
                  <c:v>Put Largo + Call Largo</c:v>
                </c:pt>
              </c:strCache>
            </c:strRef>
          </c:tx>
          <c:spPr>
            <a:ln w="44450">
              <a:solidFill>
                <a:srgbClr val="002060"/>
              </a:solidFill>
            </a:ln>
          </c:spPr>
          <c:marker>
            <c:spPr>
              <a:solidFill>
                <a:schemeClr val="accent5">
                  <a:lumMod val="50000"/>
                </a:schemeClr>
              </a:solidFill>
              <a:ln>
                <a:solidFill>
                  <a:srgbClr val="002060"/>
                </a:solidFill>
              </a:ln>
            </c:spPr>
          </c:marker>
          <c:dPt>
            <c:idx val="0"/>
            <c:bubble3D val="0"/>
            <c:spPr>
              <a:ln w="38100">
                <a:solidFill>
                  <a:srgbClr val="002060"/>
                </a:solidFill>
              </a:ln>
            </c:spPr>
          </c:dPt>
          <c:cat>
            <c:numRef>
              <c:f>'Long Straddle'!$A$21:$O$21</c:f>
              <c:numCache>
                <c:formatCode>General</c:formatCode>
                <c:ptCount val="15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</c:numCache>
            </c:numRef>
          </c:cat>
          <c:val>
            <c:numRef>
              <c:f>'Long Straddle'!$A$22:$O$22</c:f>
              <c:numCache>
                <c:formatCode>General</c:formatCode>
                <c:ptCount val="15"/>
                <c:pt idx="0">
                  <c:v>29.99</c:v>
                </c:pt>
                <c:pt idx="1">
                  <c:v>25</c:v>
                </c:pt>
                <c:pt idx="2">
                  <c:v>20</c:v>
                </c:pt>
                <c:pt idx="3">
                  <c:v>15</c:v>
                </c:pt>
                <c:pt idx="4">
                  <c:v>10</c:v>
                </c:pt>
                <c:pt idx="5">
                  <c:v>5</c:v>
                </c:pt>
                <c:pt idx="6">
                  <c:v>0</c:v>
                </c:pt>
                <c:pt idx="7">
                  <c:v>5</c:v>
                </c:pt>
                <c:pt idx="8">
                  <c:v>10</c:v>
                </c:pt>
                <c:pt idx="9">
                  <c:v>15</c:v>
                </c:pt>
                <c:pt idx="10">
                  <c:v>20</c:v>
                </c:pt>
                <c:pt idx="11">
                  <c:v>25</c:v>
                </c:pt>
                <c:pt idx="12">
                  <c:v>30</c:v>
                </c:pt>
                <c:pt idx="13">
                  <c:v>35</c:v>
                </c:pt>
                <c:pt idx="14">
                  <c:v>40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199744"/>
        <c:axId val="175201280"/>
      </c:lineChart>
      <c:catAx>
        <c:axId val="175199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75201280"/>
        <c:crosses val="autoZero"/>
        <c:auto val="1"/>
        <c:lblAlgn val="ctr"/>
        <c:lblOffset val="100"/>
        <c:noMultiLvlLbl val="0"/>
      </c:catAx>
      <c:valAx>
        <c:axId val="1752012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Payoff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751997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Strangle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'Long Strangle'!$A$1</c:f>
              <c:strCache>
                <c:ptCount val="1"/>
                <c:pt idx="0">
                  <c:v>Put Largo</c:v>
                </c:pt>
              </c:strCache>
            </c:strRef>
          </c:tx>
          <c:spPr>
            <a:ln>
              <a:solidFill>
                <a:srgbClr val="00CCFF"/>
              </a:solidFill>
            </a:ln>
          </c:spPr>
          <c:marker>
            <c:spPr>
              <a:solidFill>
                <a:srgbClr val="00CCFF"/>
              </a:solidFill>
              <a:ln>
                <a:solidFill>
                  <a:srgbClr val="00CCFF"/>
                </a:solidFill>
              </a:ln>
            </c:spPr>
          </c:marker>
          <c:cat>
            <c:numRef>
              <c:f>'Long Strangle'!$A$20:$O$20</c:f>
              <c:numCache>
                <c:formatCode>General</c:formatCode>
                <c:ptCount val="15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</c:numCache>
            </c:numRef>
          </c:cat>
          <c:val>
            <c:numRef>
              <c:f>'Long Strangle'!$A$8:$O$8</c:f>
              <c:numCache>
                <c:formatCode>General</c:formatCode>
                <c:ptCount val="15"/>
                <c:pt idx="0">
                  <c:v>19.989999999999998</c:v>
                </c:pt>
                <c:pt idx="1">
                  <c:v>15</c:v>
                </c:pt>
                <c:pt idx="2">
                  <c:v>10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'Long Strangle'!$A$10</c:f>
              <c:strCache>
                <c:ptCount val="1"/>
                <c:pt idx="0">
                  <c:v>Call Largo</c:v>
                </c:pt>
              </c:strCache>
            </c:strRef>
          </c:tx>
          <c:spPr>
            <a:ln>
              <a:solidFill>
                <a:srgbClr val="FF0066"/>
              </a:solidFill>
            </a:ln>
          </c:spPr>
          <c:marker>
            <c:spPr>
              <a:solidFill>
                <a:srgbClr val="FF0066"/>
              </a:solidFill>
              <a:ln>
                <a:solidFill>
                  <a:srgbClr val="FF0066"/>
                </a:solidFill>
              </a:ln>
            </c:spPr>
          </c:marker>
          <c:cat>
            <c:numRef>
              <c:f>'Long Strangle'!$A$20:$O$20</c:f>
              <c:numCache>
                <c:formatCode>General</c:formatCode>
                <c:ptCount val="15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</c:numCache>
            </c:numRef>
          </c:cat>
          <c:val>
            <c:numRef>
              <c:f>'Long Strangle'!$A$17:$O$17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10</c:v>
                </c:pt>
                <c:pt idx="11">
                  <c:v>15</c:v>
                </c:pt>
                <c:pt idx="12">
                  <c:v>20</c:v>
                </c:pt>
                <c:pt idx="13">
                  <c:v>25</c:v>
                </c:pt>
                <c:pt idx="14">
                  <c:v>30</c:v>
                </c:pt>
              </c:numCache>
            </c:numRef>
          </c:val>
          <c:smooth val="0"/>
        </c:ser>
        <c:ser>
          <c:idx val="4"/>
          <c:order val="2"/>
          <c:tx>
            <c:strRef>
              <c:f>'Long Strangle'!$A$19:$G$19</c:f>
              <c:strCache>
                <c:ptCount val="1"/>
                <c:pt idx="0">
                  <c:v>Put Largo + Call Largo</c:v>
                </c:pt>
              </c:strCache>
            </c:strRef>
          </c:tx>
          <c:spPr>
            <a:ln w="38100">
              <a:solidFill>
                <a:srgbClr val="002060"/>
              </a:solidFill>
            </a:ln>
          </c:spPr>
          <c:marker>
            <c:spPr>
              <a:solidFill>
                <a:schemeClr val="accent5">
                  <a:lumMod val="50000"/>
                </a:schemeClr>
              </a:solidFill>
              <a:ln>
                <a:solidFill>
                  <a:srgbClr val="002060"/>
                </a:solidFill>
              </a:ln>
            </c:spPr>
          </c:marker>
          <c:cat>
            <c:numRef>
              <c:f>'Long Strangle'!$A$20:$O$20</c:f>
              <c:numCache>
                <c:formatCode>General</c:formatCode>
                <c:ptCount val="15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</c:numCache>
            </c:numRef>
          </c:cat>
          <c:val>
            <c:numRef>
              <c:f>'Long Strangle'!$A$21:$O$21</c:f>
              <c:numCache>
                <c:formatCode>General</c:formatCode>
                <c:ptCount val="15"/>
                <c:pt idx="0">
                  <c:v>19.989999999999998</c:v>
                </c:pt>
                <c:pt idx="1">
                  <c:v>15</c:v>
                </c:pt>
                <c:pt idx="2">
                  <c:v>10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10</c:v>
                </c:pt>
                <c:pt idx="11">
                  <c:v>15</c:v>
                </c:pt>
                <c:pt idx="12">
                  <c:v>20</c:v>
                </c:pt>
                <c:pt idx="13">
                  <c:v>25</c:v>
                </c:pt>
                <c:pt idx="14">
                  <c:v>30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052480"/>
        <c:axId val="174054400"/>
      </c:lineChart>
      <c:catAx>
        <c:axId val="17405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74054400"/>
        <c:crosses val="autoZero"/>
        <c:auto val="1"/>
        <c:lblAlgn val="ctr"/>
        <c:lblOffset val="100"/>
        <c:noMultiLvlLbl val="0"/>
      </c:catAx>
      <c:valAx>
        <c:axId val="1740544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Payoff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740524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Collar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Collar!$A$1</c:f>
              <c:strCache>
                <c:ptCount val="1"/>
                <c:pt idx="0">
                  <c:v>Put Largo</c:v>
                </c:pt>
              </c:strCache>
            </c:strRef>
          </c:tx>
          <c:spPr>
            <a:ln>
              <a:solidFill>
                <a:srgbClr val="00CCFF"/>
              </a:solidFill>
            </a:ln>
          </c:spPr>
          <c:marker>
            <c:spPr>
              <a:solidFill>
                <a:srgbClr val="00CCFF"/>
              </a:solidFill>
              <a:ln>
                <a:solidFill>
                  <a:srgbClr val="00CCFF"/>
                </a:solidFill>
              </a:ln>
            </c:spPr>
          </c:marker>
          <c:cat>
            <c:numRef>
              <c:f>Collar!$A$29:$O$29</c:f>
              <c:numCache>
                <c:formatCode>General</c:formatCode>
                <c:ptCount val="15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</c:numCache>
            </c:numRef>
          </c:cat>
          <c:val>
            <c:numRef>
              <c:f>Collar!$A$8:$O$8</c:f>
              <c:numCache>
                <c:formatCode>General</c:formatCode>
                <c:ptCount val="15"/>
                <c:pt idx="0">
                  <c:v>19.989999999999998</c:v>
                </c:pt>
                <c:pt idx="1">
                  <c:v>15</c:v>
                </c:pt>
                <c:pt idx="2">
                  <c:v>10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Collar!$A$10</c:f>
              <c:strCache>
                <c:ptCount val="1"/>
                <c:pt idx="0">
                  <c:v>Stock Largo</c:v>
                </c:pt>
              </c:strCache>
            </c:strRef>
          </c:tx>
          <c:spPr>
            <a:ln>
              <a:solidFill>
                <a:srgbClr val="FF0066"/>
              </a:solidFill>
            </a:ln>
          </c:spPr>
          <c:marker>
            <c:spPr>
              <a:solidFill>
                <a:srgbClr val="FF0066"/>
              </a:solidFill>
              <a:ln>
                <a:solidFill>
                  <a:srgbClr val="FF0066"/>
                </a:solidFill>
              </a:ln>
            </c:spPr>
          </c:marker>
          <c:cat>
            <c:numRef>
              <c:f>Collar!$A$29:$O$29</c:f>
              <c:numCache>
                <c:formatCode>General</c:formatCode>
                <c:ptCount val="15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</c:numCache>
            </c:numRef>
          </c:cat>
          <c:val>
            <c:numRef>
              <c:f>Collar!$A$17:$O$17</c:f>
              <c:numCache>
                <c:formatCode>General</c:formatCode>
                <c:ptCount val="15"/>
                <c:pt idx="0">
                  <c:v>-19.989999999999998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  <c:pt idx="11">
                  <c:v>35</c:v>
                </c:pt>
                <c:pt idx="12">
                  <c:v>40</c:v>
                </c:pt>
                <c:pt idx="13">
                  <c:v>45</c:v>
                </c:pt>
                <c:pt idx="14">
                  <c:v>50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Collar!$A$19</c:f>
              <c:strCache>
                <c:ptCount val="1"/>
                <c:pt idx="0">
                  <c:v>Call Corto</c:v>
                </c:pt>
              </c:strCache>
            </c:strRef>
          </c:tx>
          <c:spPr>
            <a:ln>
              <a:solidFill>
                <a:srgbClr val="00FF00"/>
              </a:solidFill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</a:ln>
            </c:spPr>
          </c:marker>
          <c:cat>
            <c:numRef>
              <c:f>Collar!$A$29:$O$29</c:f>
              <c:numCache>
                <c:formatCode>General</c:formatCode>
                <c:ptCount val="15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</c:numCache>
            </c:numRef>
          </c:cat>
          <c:val>
            <c:numRef>
              <c:f>Collar!$A$26:$O$26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-5</c:v>
                </c:pt>
                <c:pt idx="12">
                  <c:v>-10</c:v>
                </c:pt>
                <c:pt idx="13">
                  <c:v>-15</c:v>
                </c:pt>
                <c:pt idx="14">
                  <c:v>-20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Collar!$A$28:$G$28</c:f>
              <c:strCache>
                <c:ptCount val="1"/>
                <c:pt idx="0">
                  <c:v>Put Largo + Stock Largo + Call Corto</c:v>
                </c:pt>
              </c:strCache>
            </c:strRef>
          </c:tx>
          <c:spPr>
            <a:ln w="38100">
              <a:solidFill>
                <a:srgbClr val="002060"/>
              </a:solidFill>
            </a:ln>
          </c:spPr>
          <c:marker>
            <c:spPr>
              <a:solidFill>
                <a:schemeClr val="accent5">
                  <a:lumMod val="50000"/>
                </a:schemeClr>
              </a:solidFill>
              <a:ln>
                <a:solidFill>
                  <a:srgbClr val="002060"/>
                </a:solidFill>
              </a:ln>
            </c:spPr>
          </c:marker>
          <c:dPt>
            <c:idx val="8"/>
            <c:bubble3D val="0"/>
          </c:dPt>
          <c:cat>
            <c:numRef>
              <c:f>Collar!$A$29:$O$29</c:f>
              <c:numCache>
                <c:formatCode>General</c:formatCode>
                <c:ptCount val="15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</c:numCache>
            </c:numRef>
          </c:cat>
          <c:val>
            <c:numRef>
              <c:f>Collar!$A$30:$O$30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  <c:pt idx="11">
                  <c:v>30</c:v>
                </c:pt>
                <c:pt idx="12">
                  <c:v>30</c:v>
                </c:pt>
                <c:pt idx="13">
                  <c:v>30</c:v>
                </c:pt>
                <c:pt idx="14">
                  <c:v>30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613440"/>
        <c:axId val="175615360"/>
      </c:lineChart>
      <c:catAx>
        <c:axId val="175613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75615360"/>
        <c:crosses val="autoZero"/>
        <c:auto val="1"/>
        <c:lblAlgn val="ctr"/>
        <c:lblOffset val="100"/>
        <c:noMultiLvlLbl val="0"/>
      </c:catAx>
      <c:valAx>
        <c:axId val="1756153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Payoff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756134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Opciones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'Long Stock Collar'!$A$1</c:f>
              <c:strCache>
                <c:ptCount val="1"/>
                <c:pt idx="0">
                  <c:v>Put Largo</c:v>
                </c:pt>
              </c:strCache>
            </c:strRef>
          </c:tx>
          <c:spPr>
            <a:ln>
              <a:solidFill>
                <a:srgbClr val="00CCFF"/>
              </a:solidFill>
            </a:ln>
          </c:spPr>
          <c:marker>
            <c:spPr>
              <a:solidFill>
                <a:srgbClr val="00CCFF"/>
              </a:solidFill>
              <a:ln>
                <a:solidFill>
                  <a:srgbClr val="00CCFF"/>
                </a:solidFill>
              </a:ln>
            </c:spPr>
          </c:marker>
          <c:cat>
            <c:numRef>
              <c:f>'Long Stock Collar'!$A$29:$O$29</c:f>
              <c:numCache>
                <c:formatCode>General</c:formatCode>
                <c:ptCount val="15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</c:numCache>
            </c:numRef>
          </c:cat>
          <c:val>
            <c:numRef>
              <c:f>'Long Stock Collar'!$A$8:$O$8</c:f>
              <c:numCache>
                <c:formatCode>General</c:formatCode>
                <c:ptCount val="15"/>
                <c:pt idx="0">
                  <c:v>49.99</c:v>
                </c:pt>
                <c:pt idx="1">
                  <c:v>45</c:v>
                </c:pt>
                <c:pt idx="2">
                  <c:v>40</c:v>
                </c:pt>
                <c:pt idx="3">
                  <c:v>35</c:v>
                </c:pt>
                <c:pt idx="4">
                  <c:v>30</c:v>
                </c:pt>
                <c:pt idx="5">
                  <c:v>25</c:v>
                </c:pt>
                <c:pt idx="6">
                  <c:v>20</c:v>
                </c:pt>
                <c:pt idx="7">
                  <c:v>15</c:v>
                </c:pt>
                <c:pt idx="8">
                  <c:v>10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'Long Stock Collar'!$A$10</c:f>
              <c:strCache>
                <c:ptCount val="1"/>
                <c:pt idx="0">
                  <c:v>Stock Largo</c:v>
                </c:pt>
              </c:strCache>
            </c:strRef>
          </c:tx>
          <c:spPr>
            <a:ln>
              <a:solidFill>
                <a:srgbClr val="FF0066"/>
              </a:solidFill>
            </a:ln>
          </c:spPr>
          <c:marker>
            <c:spPr>
              <a:solidFill>
                <a:srgbClr val="FF0066"/>
              </a:solidFill>
              <a:ln>
                <a:solidFill>
                  <a:srgbClr val="FF0066"/>
                </a:solidFill>
              </a:ln>
            </c:spPr>
          </c:marker>
          <c:cat>
            <c:numRef>
              <c:f>'Long Stock Collar'!$A$29:$O$29</c:f>
              <c:numCache>
                <c:formatCode>General</c:formatCode>
                <c:ptCount val="15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</c:numCache>
            </c:numRef>
          </c:cat>
          <c:val>
            <c:numRef>
              <c:f>'Long Stock Collar'!$A$17:$O$17</c:f>
              <c:numCache>
                <c:formatCode>General</c:formatCode>
                <c:ptCount val="15"/>
                <c:pt idx="0">
                  <c:v>-39.99</c:v>
                </c:pt>
                <c:pt idx="1">
                  <c:v>-35</c:v>
                </c:pt>
                <c:pt idx="2">
                  <c:v>-30</c:v>
                </c:pt>
                <c:pt idx="3">
                  <c:v>-25</c:v>
                </c:pt>
                <c:pt idx="4">
                  <c:v>-20</c:v>
                </c:pt>
                <c:pt idx="5">
                  <c:v>-15</c:v>
                </c:pt>
                <c:pt idx="6">
                  <c:v>-10</c:v>
                </c:pt>
                <c:pt idx="7">
                  <c:v>-5</c:v>
                </c:pt>
                <c:pt idx="8">
                  <c:v>0</c:v>
                </c:pt>
                <c:pt idx="9">
                  <c:v>5</c:v>
                </c:pt>
                <c:pt idx="10">
                  <c:v>10</c:v>
                </c:pt>
                <c:pt idx="11">
                  <c:v>15</c:v>
                </c:pt>
                <c:pt idx="12">
                  <c:v>20</c:v>
                </c:pt>
                <c:pt idx="13">
                  <c:v>25</c:v>
                </c:pt>
                <c:pt idx="14">
                  <c:v>30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'Long Stock Collar'!$A$19</c:f>
              <c:strCache>
                <c:ptCount val="1"/>
                <c:pt idx="0">
                  <c:v>Call Corto</c:v>
                </c:pt>
              </c:strCache>
            </c:strRef>
          </c:tx>
          <c:spPr>
            <a:ln>
              <a:solidFill>
                <a:srgbClr val="00FF00"/>
              </a:solidFill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</a:ln>
            </c:spPr>
          </c:marker>
          <c:cat>
            <c:numRef>
              <c:f>'Long Stock Collar'!$A$29:$O$29</c:f>
              <c:numCache>
                <c:formatCode>General</c:formatCode>
                <c:ptCount val="15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</c:numCache>
            </c:numRef>
          </c:cat>
          <c:val>
            <c:numRef>
              <c:f>'Long Stock Collar'!$A$26:$O$26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-5</c:v>
                </c:pt>
                <c:pt idx="6">
                  <c:v>-10</c:v>
                </c:pt>
                <c:pt idx="7">
                  <c:v>-15</c:v>
                </c:pt>
                <c:pt idx="8">
                  <c:v>-20</c:v>
                </c:pt>
                <c:pt idx="9">
                  <c:v>-25</c:v>
                </c:pt>
                <c:pt idx="10">
                  <c:v>-30</c:v>
                </c:pt>
                <c:pt idx="11">
                  <c:v>-35</c:v>
                </c:pt>
                <c:pt idx="12">
                  <c:v>-40</c:v>
                </c:pt>
                <c:pt idx="13">
                  <c:v>-45</c:v>
                </c:pt>
                <c:pt idx="14">
                  <c:v>-50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'Long Stock Collar'!$A$28:$G$28</c:f>
              <c:strCache>
                <c:ptCount val="1"/>
                <c:pt idx="0">
                  <c:v>Put Largo + Stock Largo + Call Corto</c:v>
                </c:pt>
              </c:strCache>
            </c:strRef>
          </c:tx>
          <c:spPr>
            <a:ln w="38100">
              <a:solidFill>
                <a:srgbClr val="002060"/>
              </a:solidFill>
            </a:ln>
          </c:spPr>
          <c:marker>
            <c:spPr>
              <a:solidFill>
                <a:schemeClr val="accent5">
                  <a:lumMod val="50000"/>
                </a:schemeClr>
              </a:solidFill>
              <a:ln>
                <a:solidFill>
                  <a:srgbClr val="002060"/>
                </a:solidFill>
              </a:ln>
            </c:spPr>
          </c:marker>
          <c:dPt>
            <c:idx val="8"/>
            <c:bubble3D val="0"/>
          </c:dPt>
          <c:cat>
            <c:numRef>
              <c:f>'Long Stock Collar'!$A$29:$O$29</c:f>
              <c:numCache>
                <c:formatCode>General</c:formatCode>
                <c:ptCount val="15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</c:numCache>
            </c:numRef>
          </c:cat>
          <c:val>
            <c:numRef>
              <c:f>'Long Stock Collar'!$A$30:$O$30</c:f>
              <c:numCache>
                <c:formatCode>General</c:formatCode>
                <c:ptCount val="1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5</c:v>
                </c:pt>
                <c:pt idx="6">
                  <c:v>0</c:v>
                </c:pt>
                <c:pt idx="7">
                  <c:v>-5</c:v>
                </c:pt>
                <c:pt idx="8">
                  <c:v>-10</c:v>
                </c:pt>
                <c:pt idx="9">
                  <c:v>-15</c:v>
                </c:pt>
                <c:pt idx="10">
                  <c:v>-20</c:v>
                </c:pt>
                <c:pt idx="11">
                  <c:v>-20</c:v>
                </c:pt>
                <c:pt idx="12">
                  <c:v>-20</c:v>
                </c:pt>
                <c:pt idx="13">
                  <c:v>-20</c:v>
                </c:pt>
                <c:pt idx="14">
                  <c:v>-20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400832"/>
        <c:axId val="175411200"/>
      </c:lineChart>
      <c:catAx>
        <c:axId val="175400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75411200"/>
        <c:crosses val="autoZero"/>
        <c:auto val="1"/>
        <c:lblAlgn val="ctr"/>
        <c:lblOffset val="100"/>
        <c:noMultiLvlLbl val="0"/>
      </c:catAx>
      <c:valAx>
        <c:axId val="1754112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Payoff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754008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Short Condor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'Short Condor'!$A$1</c:f>
              <c:strCache>
                <c:ptCount val="1"/>
                <c:pt idx="0">
                  <c:v>Stock Corto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cat>
            <c:numRef>
              <c:f>'Short Condor'!$A$7:$W$7</c:f>
              <c:numCache>
                <c:formatCode>General</c:formatCode>
                <c:ptCount val="23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</c:numCache>
            </c:numRef>
          </c:cat>
          <c:val>
            <c:numRef>
              <c:f>'Short Condor'!$A$8:$W$8</c:f>
              <c:numCache>
                <c:formatCode>General</c:formatCode>
                <c:ptCount val="23"/>
                <c:pt idx="0">
                  <c:v>59.99</c:v>
                </c:pt>
                <c:pt idx="1">
                  <c:v>55</c:v>
                </c:pt>
                <c:pt idx="2">
                  <c:v>50</c:v>
                </c:pt>
                <c:pt idx="3">
                  <c:v>45</c:v>
                </c:pt>
                <c:pt idx="4">
                  <c:v>40</c:v>
                </c:pt>
                <c:pt idx="5">
                  <c:v>35</c:v>
                </c:pt>
                <c:pt idx="6">
                  <c:v>30</c:v>
                </c:pt>
                <c:pt idx="7">
                  <c:v>25</c:v>
                </c:pt>
                <c:pt idx="8">
                  <c:v>20</c:v>
                </c:pt>
                <c:pt idx="9">
                  <c:v>15</c:v>
                </c:pt>
                <c:pt idx="10">
                  <c:v>10</c:v>
                </c:pt>
                <c:pt idx="11">
                  <c:v>5</c:v>
                </c:pt>
                <c:pt idx="12">
                  <c:v>0</c:v>
                </c:pt>
                <c:pt idx="13">
                  <c:v>-5</c:v>
                </c:pt>
                <c:pt idx="14">
                  <c:v>-10</c:v>
                </c:pt>
                <c:pt idx="15">
                  <c:v>-15</c:v>
                </c:pt>
                <c:pt idx="16">
                  <c:v>-20</c:v>
                </c:pt>
                <c:pt idx="17">
                  <c:v>-25</c:v>
                </c:pt>
                <c:pt idx="18">
                  <c:v>-30</c:v>
                </c:pt>
                <c:pt idx="19">
                  <c:v>-35</c:v>
                </c:pt>
                <c:pt idx="20">
                  <c:v>-40</c:v>
                </c:pt>
                <c:pt idx="21">
                  <c:v>-45</c:v>
                </c:pt>
                <c:pt idx="22">
                  <c:v>-50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'Short Condor'!$A$10</c:f>
              <c:strCache>
                <c:ptCount val="1"/>
                <c:pt idx="0">
                  <c:v>Stock Largo</c:v>
                </c:pt>
              </c:strCache>
            </c:strRef>
          </c:tx>
          <c:spPr>
            <a:ln>
              <a:solidFill>
                <a:srgbClr val="FF0066"/>
              </a:solidFill>
            </a:ln>
          </c:spPr>
          <c:marker>
            <c:spPr>
              <a:solidFill>
                <a:srgbClr val="FF0066"/>
              </a:solidFill>
              <a:ln>
                <a:solidFill>
                  <a:srgbClr val="FF0066"/>
                </a:solidFill>
              </a:ln>
            </c:spPr>
          </c:marker>
          <c:cat>
            <c:numRef>
              <c:f>'Short Condor'!$A$7:$W$7</c:f>
              <c:numCache>
                <c:formatCode>General</c:formatCode>
                <c:ptCount val="23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</c:numCache>
            </c:numRef>
          </c:cat>
          <c:val>
            <c:numRef>
              <c:f>'Short Condor'!$A$17:$W$17</c:f>
              <c:numCache>
                <c:formatCode>General</c:formatCode>
                <c:ptCount val="23"/>
                <c:pt idx="0">
                  <c:v>-49.99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5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'Short Condor'!$A$19</c:f>
              <c:strCache>
                <c:ptCount val="1"/>
                <c:pt idx="0">
                  <c:v>Put Corto</c:v>
                </c:pt>
              </c:strCache>
            </c:strRef>
          </c:tx>
          <c:spPr>
            <a:ln>
              <a:solidFill>
                <a:srgbClr val="00FF00"/>
              </a:solidFill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</a:ln>
            </c:spPr>
          </c:marker>
          <c:cat>
            <c:numRef>
              <c:f>'Short Condor'!$A$7:$W$7</c:f>
              <c:numCache>
                <c:formatCode>General</c:formatCode>
                <c:ptCount val="23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</c:numCache>
            </c:numRef>
          </c:cat>
          <c:val>
            <c:numRef>
              <c:f>'Short Condor'!$A$26:$W$26</c:f>
              <c:numCache>
                <c:formatCode>General</c:formatCode>
                <c:ptCount val="23"/>
                <c:pt idx="0">
                  <c:v>-49.99</c:v>
                </c:pt>
                <c:pt idx="1">
                  <c:v>-45</c:v>
                </c:pt>
                <c:pt idx="2">
                  <c:v>-40</c:v>
                </c:pt>
                <c:pt idx="3">
                  <c:v>-35</c:v>
                </c:pt>
                <c:pt idx="4">
                  <c:v>-30</c:v>
                </c:pt>
                <c:pt idx="5">
                  <c:v>-25</c:v>
                </c:pt>
                <c:pt idx="6">
                  <c:v>-20</c:v>
                </c:pt>
                <c:pt idx="7">
                  <c:v>-15</c:v>
                </c:pt>
                <c:pt idx="8">
                  <c:v>-10</c:v>
                </c:pt>
                <c:pt idx="9">
                  <c:v>-5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'Short Condor'!$A$28</c:f>
              <c:strCache>
                <c:ptCount val="1"/>
                <c:pt idx="0">
                  <c:v>Call Corto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cat>
            <c:numRef>
              <c:f>'Short Condor'!$A$7:$W$7</c:f>
              <c:numCache>
                <c:formatCode>General</c:formatCode>
                <c:ptCount val="23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</c:numCache>
            </c:numRef>
          </c:cat>
          <c:val>
            <c:numRef>
              <c:f>'Short Condor'!$A$35:$W$35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-5</c:v>
                </c:pt>
                <c:pt idx="14">
                  <c:v>-10</c:v>
                </c:pt>
                <c:pt idx="15">
                  <c:v>-15</c:v>
                </c:pt>
                <c:pt idx="16">
                  <c:v>-20</c:v>
                </c:pt>
                <c:pt idx="17">
                  <c:v>-25</c:v>
                </c:pt>
                <c:pt idx="18">
                  <c:v>-30</c:v>
                </c:pt>
                <c:pt idx="19">
                  <c:v>-35</c:v>
                </c:pt>
                <c:pt idx="20">
                  <c:v>-40</c:v>
                </c:pt>
                <c:pt idx="21">
                  <c:v>-45</c:v>
                </c:pt>
                <c:pt idx="22">
                  <c:v>-50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'Short Condor'!$A$37</c:f>
              <c:strCache>
                <c:ptCount val="1"/>
                <c:pt idx="0">
                  <c:v>Call Corto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cat>
            <c:numRef>
              <c:f>'Short Condor'!$A$7:$W$7</c:f>
              <c:numCache>
                <c:formatCode>General</c:formatCode>
                <c:ptCount val="23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</c:numCache>
            </c:numRef>
          </c:cat>
          <c:val>
            <c:numRef>
              <c:f>'Short Condor'!$A$44:$W$44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-5</c:v>
                </c:pt>
                <c:pt idx="18">
                  <c:v>-10</c:v>
                </c:pt>
                <c:pt idx="19">
                  <c:v>-15</c:v>
                </c:pt>
                <c:pt idx="20">
                  <c:v>-20</c:v>
                </c:pt>
                <c:pt idx="21">
                  <c:v>-25</c:v>
                </c:pt>
                <c:pt idx="22">
                  <c:v>-30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'Short Condor'!$A$46</c:f>
              <c:strCache>
                <c:ptCount val="1"/>
                <c:pt idx="0">
                  <c:v>Call Largo</c:v>
                </c:pt>
              </c:strCache>
            </c:strRef>
          </c:tx>
          <c:spPr>
            <a:ln>
              <a:solidFill>
                <a:srgbClr val="CC3399"/>
              </a:solidFill>
            </a:ln>
          </c:spPr>
          <c:marker>
            <c:spPr>
              <a:solidFill>
                <a:srgbClr val="CC3399"/>
              </a:solidFill>
              <a:ln>
                <a:solidFill>
                  <a:srgbClr val="CC3399"/>
                </a:solidFill>
              </a:ln>
            </c:spPr>
          </c:marker>
          <c:cat>
            <c:numRef>
              <c:f>'Short Condor'!$A$7:$W$7</c:f>
              <c:numCache>
                <c:formatCode>General</c:formatCode>
                <c:ptCount val="23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</c:numCache>
            </c:numRef>
          </c:cat>
          <c:val>
            <c:numRef>
              <c:f>'Short Condor'!$A$53:$W$53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</c:v>
                </c:pt>
                <c:pt idx="18">
                  <c:v>10</c:v>
                </c:pt>
                <c:pt idx="19">
                  <c:v>15</c:v>
                </c:pt>
                <c:pt idx="20">
                  <c:v>20</c:v>
                </c:pt>
                <c:pt idx="21">
                  <c:v>25</c:v>
                </c:pt>
                <c:pt idx="22">
                  <c:v>30</c:v>
                </c:pt>
              </c:numCache>
            </c:numRef>
          </c:val>
          <c:smooth val="0"/>
        </c:ser>
        <c:ser>
          <c:idx val="7"/>
          <c:order val="6"/>
          <c:tx>
            <c:strRef>
              <c:f>'Short Condor'!$A$55</c:f>
              <c:strCache>
                <c:ptCount val="1"/>
                <c:pt idx="0">
                  <c:v>Call Largo</c:v>
                </c:pt>
              </c:strCache>
            </c:strRef>
          </c:tx>
          <c:spPr>
            <a:ln>
              <a:solidFill>
                <a:srgbClr val="00FFCC"/>
              </a:solidFill>
            </a:ln>
          </c:spPr>
          <c:marker>
            <c:spPr>
              <a:solidFill>
                <a:srgbClr val="00FFCC"/>
              </a:solidFill>
              <a:ln>
                <a:solidFill>
                  <a:srgbClr val="00FFCC"/>
                </a:solidFill>
              </a:ln>
            </c:spPr>
          </c:marker>
          <c:cat>
            <c:numRef>
              <c:f>'Short Condor'!$A$7:$W$7</c:f>
              <c:numCache>
                <c:formatCode>General</c:formatCode>
                <c:ptCount val="23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</c:numCache>
            </c:numRef>
          </c:cat>
          <c:val>
            <c:numRef>
              <c:f>'Short Condor'!$A$62:$W$62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</c:v>
                </c:pt>
                <c:pt idx="18">
                  <c:v>10</c:v>
                </c:pt>
                <c:pt idx="19">
                  <c:v>15</c:v>
                </c:pt>
                <c:pt idx="20">
                  <c:v>20</c:v>
                </c:pt>
                <c:pt idx="21">
                  <c:v>25</c:v>
                </c:pt>
                <c:pt idx="22">
                  <c:v>30</c:v>
                </c:pt>
              </c:numCache>
            </c:numRef>
          </c:val>
          <c:smooth val="0"/>
        </c:ser>
        <c:ser>
          <c:idx val="4"/>
          <c:order val="7"/>
          <c:tx>
            <c:strRef>
              <c:f>'Short Condor'!$A$64</c:f>
              <c:strCache>
                <c:ptCount val="1"/>
                <c:pt idx="0">
                  <c:v>Put Largo</c:v>
                </c:pt>
              </c:strCache>
            </c:strRef>
          </c:tx>
          <c:spPr>
            <a:ln>
              <a:solidFill>
                <a:srgbClr val="FF66FF"/>
              </a:solidFill>
            </a:ln>
          </c:spPr>
          <c:marker>
            <c:spPr>
              <a:solidFill>
                <a:srgbClr val="FF66FF"/>
              </a:solidFill>
              <a:ln>
                <a:solidFill>
                  <a:srgbClr val="FF66FF"/>
                </a:solidFill>
              </a:ln>
            </c:spPr>
          </c:marker>
          <c:dPt>
            <c:idx val="15"/>
            <c:bubble3D val="0"/>
            <c:spPr>
              <a:ln w="38100">
                <a:solidFill>
                  <a:srgbClr val="FF66FF"/>
                </a:solidFill>
              </a:ln>
            </c:spPr>
          </c:dPt>
          <c:cat>
            <c:numRef>
              <c:f>'Short Condor'!$A$7:$W$7</c:f>
              <c:numCache>
                <c:formatCode>General</c:formatCode>
                <c:ptCount val="23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</c:numCache>
            </c:numRef>
          </c:cat>
          <c:val>
            <c:numRef>
              <c:f>'Short Condor'!$A$71:$W$71</c:f>
              <c:numCache>
                <c:formatCode>General</c:formatCode>
                <c:ptCount val="23"/>
                <c:pt idx="0">
                  <c:v>29.99</c:v>
                </c:pt>
                <c:pt idx="1">
                  <c:v>25</c:v>
                </c:pt>
                <c:pt idx="2">
                  <c:v>20</c:v>
                </c:pt>
                <c:pt idx="3">
                  <c:v>15</c:v>
                </c:pt>
                <c:pt idx="4">
                  <c:v>10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'Short Condor'!$A$73:$O$73</c:f>
              <c:strCache>
                <c:ptCount val="1"/>
                <c:pt idx="0">
                  <c:v>Stock Corto + Stock Largo + Put Corto + Call Corto + Call Corto + Call Largo + Call Largo + Put Largo</c:v>
                </c:pt>
              </c:strCache>
            </c:strRef>
          </c:tx>
          <c:spPr>
            <a:ln w="38100">
              <a:solidFill>
                <a:srgbClr val="002060"/>
              </a:solidFill>
            </a:ln>
          </c:spPr>
          <c:marker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cat>
            <c:numRef>
              <c:f>'Short Condor'!$A$7:$W$7</c:f>
              <c:numCache>
                <c:formatCode>General</c:formatCode>
                <c:ptCount val="23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</c:numCache>
            </c:numRef>
          </c:cat>
          <c:val>
            <c:numRef>
              <c:f>'Short Condor'!$A$75:$W$75</c:f>
              <c:numCache>
                <c:formatCode>General</c:formatCode>
                <c:ptCount val="23"/>
                <c:pt idx="0">
                  <c:v>-10.000000000000004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-5</c:v>
                </c:pt>
                <c:pt idx="8">
                  <c:v>0</c:v>
                </c:pt>
                <c:pt idx="9">
                  <c:v>5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5</c:v>
                </c:pt>
                <c:pt idx="14">
                  <c:v>0</c:v>
                </c:pt>
                <c:pt idx="15">
                  <c:v>-5</c:v>
                </c:pt>
                <c:pt idx="16">
                  <c:v>-10</c:v>
                </c:pt>
                <c:pt idx="17">
                  <c:v>-10</c:v>
                </c:pt>
                <c:pt idx="18">
                  <c:v>-10</c:v>
                </c:pt>
                <c:pt idx="19">
                  <c:v>-10</c:v>
                </c:pt>
                <c:pt idx="20">
                  <c:v>-10</c:v>
                </c:pt>
                <c:pt idx="21">
                  <c:v>-10</c:v>
                </c:pt>
                <c:pt idx="22">
                  <c:v>-10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794432"/>
        <c:axId val="175821184"/>
      </c:lineChart>
      <c:catAx>
        <c:axId val="175794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75821184"/>
        <c:crosses val="autoZero"/>
        <c:auto val="1"/>
        <c:lblAlgn val="ctr"/>
        <c:lblOffset val="100"/>
        <c:noMultiLvlLbl val="0"/>
      </c:catAx>
      <c:valAx>
        <c:axId val="175821184"/>
        <c:scaling>
          <c:orientation val="minMax"/>
        </c:scaling>
        <c:delete val="0"/>
        <c:axPos val="l"/>
        <c:majorGridlines>
          <c:spPr>
            <a:ln>
              <a:solidFill>
                <a:schemeClr val="tx1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Payoff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757944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Short Condor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'Short Condor (Simplificado)'!$A$1</c:f>
              <c:strCache>
                <c:ptCount val="1"/>
                <c:pt idx="0">
                  <c:v>Put Largo</c:v>
                </c:pt>
              </c:strCache>
            </c:strRef>
          </c:tx>
          <c:spPr>
            <a:ln>
              <a:solidFill>
                <a:srgbClr val="00CCFF"/>
              </a:solidFill>
            </a:ln>
          </c:spPr>
          <c:marker>
            <c:spPr>
              <a:solidFill>
                <a:srgbClr val="00CCFF"/>
              </a:solidFill>
              <a:ln>
                <a:solidFill>
                  <a:srgbClr val="00CCFF"/>
                </a:solidFill>
              </a:ln>
            </c:spPr>
          </c:marker>
          <c:cat>
            <c:numRef>
              <c:f>'Short Condor (Simplificado)'!$A$7:$W$7</c:f>
              <c:numCache>
                <c:formatCode>General</c:formatCode>
                <c:ptCount val="23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</c:numCache>
            </c:numRef>
          </c:cat>
          <c:val>
            <c:numRef>
              <c:f>'Short Condor (Simplificado)'!$A$8:$W$8</c:f>
              <c:numCache>
                <c:formatCode>General</c:formatCode>
                <c:ptCount val="23"/>
                <c:pt idx="0">
                  <c:v>19.989999999999998</c:v>
                </c:pt>
                <c:pt idx="1">
                  <c:v>15</c:v>
                </c:pt>
                <c:pt idx="2">
                  <c:v>10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'Short Condor (Simplificado)'!$A$10</c:f>
              <c:strCache>
                <c:ptCount val="1"/>
                <c:pt idx="0">
                  <c:v>Put Corto</c:v>
                </c:pt>
              </c:strCache>
            </c:strRef>
          </c:tx>
          <c:spPr>
            <a:ln>
              <a:solidFill>
                <a:srgbClr val="FF0066"/>
              </a:solidFill>
            </a:ln>
          </c:spPr>
          <c:marker>
            <c:spPr>
              <a:solidFill>
                <a:srgbClr val="FF0066"/>
              </a:solidFill>
              <a:ln>
                <a:solidFill>
                  <a:srgbClr val="FF0066"/>
                </a:solidFill>
              </a:ln>
            </c:spPr>
          </c:marker>
          <c:cat>
            <c:numRef>
              <c:f>'Short Condor (Simplificado)'!$A$7:$W$7</c:f>
              <c:numCache>
                <c:formatCode>General</c:formatCode>
                <c:ptCount val="23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</c:numCache>
            </c:numRef>
          </c:cat>
          <c:val>
            <c:numRef>
              <c:f>'Short Condor (Simplificado)'!$A$17:$W$17</c:f>
              <c:numCache>
                <c:formatCode>General</c:formatCode>
                <c:ptCount val="23"/>
                <c:pt idx="0">
                  <c:v>-39.99</c:v>
                </c:pt>
                <c:pt idx="1">
                  <c:v>-35</c:v>
                </c:pt>
                <c:pt idx="2">
                  <c:v>-30</c:v>
                </c:pt>
                <c:pt idx="3">
                  <c:v>-25</c:v>
                </c:pt>
                <c:pt idx="4">
                  <c:v>-20</c:v>
                </c:pt>
                <c:pt idx="5">
                  <c:v>-15</c:v>
                </c:pt>
                <c:pt idx="6">
                  <c:v>-10</c:v>
                </c:pt>
                <c:pt idx="7">
                  <c:v>-5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'Short Condor (Simplificado)'!$A$19</c:f>
              <c:strCache>
                <c:ptCount val="1"/>
                <c:pt idx="0">
                  <c:v>Call Largo</c:v>
                </c:pt>
              </c:strCache>
            </c:strRef>
          </c:tx>
          <c:spPr>
            <a:ln>
              <a:solidFill>
                <a:srgbClr val="00FF00"/>
              </a:solidFill>
            </a:ln>
          </c:spPr>
          <c:marker>
            <c:spPr>
              <a:solidFill>
                <a:srgbClr val="00FF00"/>
              </a:solidFill>
              <a:ln>
                <a:solidFill>
                  <a:srgbClr val="00FF00"/>
                </a:solidFill>
              </a:ln>
            </c:spPr>
          </c:marker>
          <c:cat>
            <c:numRef>
              <c:f>'Short Condor (Simplificado)'!$A$7:$W$7</c:f>
              <c:numCache>
                <c:formatCode>General</c:formatCode>
                <c:ptCount val="23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</c:numCache>
            </c:numRef>
          </c:cat>
          <c:val>
            <c:numRef>
              <c:f>'Short Condor (Simplificado)'!$A$26:$W$26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'Short Condor (Simplificado)'!$A$28</c:f>
              <c:strCache>
                <c:ptCount val="1"/>
                <c:pt idx="0">
                  <c:v>Call Corto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dPt>
            <c:idx val="2"/>
            <c:bubble3D val="0"/>
            <c:spPr>
              <a:ln w="38100">
                <a:solidFill>
                  <a:srgbClr val="FFFF00"/>
                </a:solidFill>
              </a:ln>
            </c:spPr>
          </c:dPt>
          <c:cat>
            <c:numRef>
              <c:f>'Short Condor (Simplificado)'!$A$7:$W$7</c:f>
              <c:numCache>
                <c:formatCode>General</c:formatCode>
                <c:ptCount val="23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</c:numCache>
            </c:numRef>
          </c:cat>
          <c:val>
            <c:numRef>
              <c:f>'Short Condor (Simplificado)'!$A$35:$W$35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-5</c:v>
                </c:pt>
                <c:pt idx="16">
                  <c:v>-10</c:v>
                </c:pt>
                <c:pt idx="17">
                  <c:v>-15</c:v>
                </c:pt>
                <c:pt idx="18">
                  <c:v>-20</c:v>
                </c:pt>
                <c:pt idx="19">
                  <c:v>-25</c:v>
                </c:pt>
                <c:pt idx="20">
                  <c:v>-30</c:v>
                </c:pt>
                <c:pt idx="21">
                  <c:v>-35</c:v>
                </c:pt>
                <c:pt idx="22">
                  <c:v>-40</c:v>
                </c:pt>
              </c:numCache>
            </c:numRef>
          </c:val>
          <c:smooth val="0"/>
        </c:ser>
        <c:ser>
          <c:idx val="6"/>
          <c:order val="4"/>
          <c:tx>
            <c:strRef>
              <c:f>'Short Condor (Simplificado)'!$A$37:$K$37</c:f>
              <c:strCache>
                <c:ptCount val="1"/>
                <c:pt idx="0">
                  <c:v>Put Largo + Put Corto + Call Largo + Call Corto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cat>
            <c:numRef>
              <c:f>'Short Condor (Simplificado)'!$A$7:$W$7</c:f>
              <c:numCache>
                <c:formatCode>General</c:formatCode>
                <c:ptCount val="23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</c:numCache>
            </c:numRef>
          </c:cat>
          <c:val>
            <c:numRef>
              <c:f>'Short Condor (Simplificado)'!$A$39:$W$39</c:f>
              <c:numCache>
                <c:formatCode>General</c:formatCode>
                <c:ptCount val="23"/>
                <c:pt idx="0">
                  <c:v>-20.000000000000004</c:v>
                </c:pt>
                <c:pt idx="1">
                  <c:v>-20</c:v>
                </c:pt>
                <c:pt idx="2">
                  <c:v>-20</c:v>
                </c:pt>
                <c:pt idx="3">
                  <c:v>-20</c:v>
                </c:pt>
                <c:pt idx="4">
                  <c:v>-20</c:v>
                </c:pt>
                <c:pt idx="5">
                  <c:v>-15</c:v>
                </c:pt>
                <c:pt idx="6">
                  <c:v>-10</c:v>
                </c:pt>
                <c:pt idx="7">
                  <c:v>-5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-5</c:v>
                </c:pt>
                <c:pt idx="16">
                  <c:v>-10</c:v>
                </c:pt>
                <c:pt idx="17">
                  <c:v>-15</c:v>
                </c:pt>
                <c:pt idx="18">
                  <c:v>-20</c:v>
                </c:pt>
                <c:pt idx="19">
                  <c:v>-20</c:v>
                </c:pt>
                <c:pt idx="20">
                  <c:v>-20</c:v>
                </c:pt>
                <c:pt idx="21">
                  <c:v>-20</c:v>
                </c:pt>
                <c:pt idx="22">
                  <c:v>-20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002944"/>
        <c:axId val="176004480"/>
      </c:lineChart>
      <c:catAx>
        <c:axId val="17600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76004480"/>
        <c:crosses val="autoZero"/>
        <c:auto val="1"/>
        <c:lblAlgn val="ctr"/>
        <c:lblOffset val="100"/>
        <c:noMultiLvlLbl val="0"/>
      </c:catAx>
      <c:valAx>
        <c:axId val="1760044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Payoff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1760029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Radio" checked="Checked" firstButton="1" fmlaLink="$B$7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Drop" dropStyle="combo" dx="16" fmlaLink="$I$1" fmlaRange="$H$1:$H$3" noThreeD="1" sel="2" val="0"/>
</file>

<file path=xl/ctrlProps/ctrlProp5.xml><?xml version="1.0" encoding="utf-8"?>
<formControlPr xmlns="http://schemas.microsoft.com/office/spreadsheetml/2009/9/main" objectType="Drop" dropStyle="combo" dx="16" fmlaLink="$I$4" fmlaRange="$H$4:$H$5" noThreeD="1" val="0"/>
</file>

<file path=xl/ctrlProps/ctrlProp6.xml><?xml version="1.0" encoding="utf-8"?>
<formControlPr xmlns="http://schemas.microsoft.com/office/spreadsheetml/2009/9/main" objectType="Drop" dropStyle="combo" dx="16" fmlaLink="$I$11" fmlaRange="$H$11:$H$12" noThreeD="1" sel="0" val="0"/>
</file>

<file path=xl/ctrlProps/ctrlProp7.xml><?xml version="1.0" encoding="utf-8"?>
<formControlPr xmlns="http://schemas.microsoft.com/office/spreadsheetml/2009/9/main" objectType="Drop" dropStyle="combo" dx="16" fmlaLink="$I$14" fmlaRange="$H$14:$H$15" noThreeD="1" sel="0" val="0"/>
</file>

<file path=xl/ctrlProps/ctrlProp8.xml><?xml version="1.0" encoding="utf-8"?>
<formControlPr xmlns="http://schemas.microsoft.com/office/spreadsheetml/2009/9/main" objectType="Drop" dropStyle="combo" dx="16" fmlaLink="$I$10" fmlaRange="$H$10:$H$12" noThreeD="1" val="0"/>
</file>

<file path=xl/ctrlProps/ctrlProp9.xml><?xml version="1.0" encoding="utf-8"?>
<formControlPr xmlns="http://schemas.microsoft.com/office/spreadsheetml/2009/9/main" objectType="Drop" dropStyle="combo" dx="16" fmlaLink="$I$13" fmlaRange="$H$13:$H$14" noThreeD="1" val="0"/>
</file>

<file path=xl/ctrlProps/ctrlProp10.xml><?xml version="1.0" encoding="utf-8"?>
<formControlPr xmlns="http://schemas.microsoft.com/office/spreadsheetml/2009/9/main" objectType="Drop" dropStyle="combo" dx="16" fmlaLink="$I$1" fmlaRange="$H$1:$H$3" noThreeD="1" sel="2" val="0"/>
</file>

<file path=xl/ctrlProps/ctrlProp11.xml><?xml version="1.0" encoding="utf-8"?>
<formControlPr xmlns="http://schemas.microsoft.com/office/spreadsheetml/2009/9/main" objectType="Drop" dropStyle="combo" dx="16" fmlaLink="$I$4" fmlaRange="$H$4:$H$5" noThreeD="1" val="0"/>
</file>

<file path=xl/ctrlProps/ctrlProp12.xml><?xml version="1.0" encoding="utf-8"?>
<formControlPr xmlns="http://schemas.microsoft.com/office/spreadsheetml/2009/9/main" objectType="Drop" dropStyle="combo" dx="16" fmlaLink="$I$11" fmlaRange="$H$11:$H$12" noThreeD="1" sel="0" val="0"/>
</file>

<file path=xl/ctrlProps/ctrlProp13.xml><?xml version="1.0" encoding="utf-8"?>
<formControlPr xmlns="http://schemas.microsoft.com/office/spreadsheetml/2009/9/main" objectType="Drop" dropStyle="combo" dx="16" fmlaLink="$I$14" fmlaRange="$H$14:$H$15" noThreeD="1" sel="0" val="0"/>
</file>

<file path=xl/ctrlProps/ctrlProp14.xml><?xml version="1.0" encoding="utf-8"?>
<formControlPr xmlns="http://schemas.microsoft.com/office/spreadsheetml/2009/9/main" objectType="Drop" dropStyle="combo" dx="16" fmlaLink="$I$10" fmlaRange="$H$10:$H$12" noThreeD="1" val="0"/>
</file>

<file path=xl/ctrlProps/ctrlProp15.xml><?xml version="1.0" encoding="utf-8"?>
<formControlPr xmlns="http://schemas.microsoft.com/office/spreadsheetml/2009/9/main" objectType="Drop" dropStyle="combo" dx="16" fmlaLink="$I$13" fmlaRange="$H$13:$H$14" noThreeD="1" val="0"/>
</file>

<file path=xl/ctrlProps/ctrlProp16.xml><?xml version="1.0" encoding="utf-8"?>
<formControlPr xmlns="http://schemas.microsoft.com/office/spreadsheetml/2009/9/main" objectType="Drop" dropStyle="combo" dx="16" fmlaLink="$I$1" fmlaRange="$H$1:$H$3" noThreeD="1" sel="2" val="0"/>
</file>

<file path=xl/ctrlProps/ctrlProp17.xml><?xml version="1.0" encoding="utf-8"?>
<formControlPr xmlns="http://schemas.microsoft.com/office/spreadsheetml/2009/9/main" objectType="Drop" dropStyle="combo" dx="16" fmlaLink="$I$4" fmlaRange="$H$4:$H$5" noThreeD="1" val="0"/>
</file>

<file path=xl/ctrlProps/ctrlProp18.xml><?xml version="1.0" encoding="utf-8"?>
<formControlPr xmlns="http://schemas.microsoft.com/office/spreadsheetml/2009/9/main" objectType="Drop" dropStyle="combo" dx="16" fmlaLink="$I$11" fmlaRange="$H$11:$H$12" noThreeD="1" sel="0" val="0"/>
</file>

<file path=xl/ctrlProps/ctrlProp19.xml><?xml version="1.0" encoding="utf-8"?>
<formControlPr xmlns="http://schemas.microsoft.com/office/spreadsheetml/2009/9/main" objectType="Drop" dropStyle="combo" dx="16" fmlaLink="$I$14" fmlaRange="$H$14:$H$15" noThreeD="1" sel="0" val="0"/>
</file>

<file path=xl/ctrlProps/ctrlProp20.xml><?xml version="1.0" encoding="utf-8"?>
<formControlPr xmlns="http://schemas.microsoft.com/office/spreadsheetml/2009/9/main" objectType="Drop" dropStyle="combo" dx="16" fmlaLink="$I$10" fmlaRange="$H$10:$H$12" noThreeD="1" sel="3" val="0"/>
</file>

<file path=xl/ctrlProps/ctrlProp21.xml><?xml version="1.0" encoding="utf-8"?>
<formControlPr xmlns="http://schemas.microsoft.com/office/spreadsheetml/2009/9/main" objectType="Drop" dropStyle="combo" dx="16" fmlaLink="$I$13" fmlaRange="$H$13:$H$14" noThreeD="1" val="0"/>
</file>

<file path=xl/ctrlProps/ctrlProp22.xml><?xml version="1.0" encoding="utf-8"?>
<formControlPr xmlns="http://schemas.microsoft.com/office/spreadsheetml/2009/9/main" objectType="Drop" dropStyle="combo" dx="16" fmlaLink="$I$11" fmlaRange="$H$11:$H$12" noThreeD="1" sel="0" val="0"/>
</file>

<file path=xl/ctrlProps/ctrlProp23.xml><?xml version="1.0" encoding="utf-8"?>
<formControlPr xmlns="http://schemas.microsoft.com/office/spreadsheetml/2009/9/main" objectType="Drop" dropStyle="combo" dx="16" fmlaLink="$I$14" fmlaRange="$H$14:$H$15" noThreeD="1" sel="0" val="0"/>
</file>

<file path=xl/ctrlProps/ctrlProp24.xml><?xml version="1.0" encoding="utf-8"?>
<formControlPr xmlns="http://schemas.microsoft.com/office/spreadsheetml/2009/9/main" objectType="Drop" dropStyle="combo" dx="16" fmlaLink="$I$19" fmlaRange="$H$19:$H$21" noThreeD="1" val="0"/>
</file>

<file path=xl/ctrlProps/ctrlProp25.xml><?xml version="1.0" encoding="utf-8"?>
<formControlPr xmlns="http://schemas.microsoft.com/office/spreadsheetml/2009/9/main" objectType="Drop" dropStyle="combo" dx="16" fmlaLink="$I$22" fmlaRange="$H$22:$H$23" noThreeD="1" sel="2" val="0"/>
</file>

<file path=xl/ctrlProps/ctrlProp26.xml><?xml version="1.0" encoding="utf-8"?>
<formControlPr xmlns="http://schemas.microsoft.com/office/spreadsheetml/2009/9/main" objectType="Drop" dropStyle="combo" dx="16" fmlaLink="$I$1" fmlaRange="$H$1:$H$3" noThreeD="1" sel="2" val="0"/>
</file>

<file path=xl/ctrlProps/ctrlProp27.xml><?xml version="1.0" encoding="utf-8"?>
<formControlPr xmlns="http://schemas.microsoft.com/office/spreadsheetml/2009/9/main" objectType="Drop" dropStyle="combo" dx="16" fmlaLink="$I$4" fmlaRange="$H$4:$H$5" noThreeD="1" val="0"/>
</file>

<file path=xl/ctrlProps/ctrlProp28.xml><?xml version="1.0" encoding="utf-8"?>
<formControlPr xmlns="http://schemas.microsoft.com/office/spreadsheetml/2009/9/main" objectType="Drop" dropStyle="combo" dx="16" fmlaLink="$I$11" fmlaRange="$H$11:$H$12" noThreeD="1" sel="0" val="0"/>
</file>

<file path=xl/ctrlProps/ctrlProp29.xml><?xml version="1.0" encoding="utf-8"?>
<formControlPr xmlns="http://schemas.microsoft.com/office/spreadsheetml/2009/9/main" objectType="Drop" dropStyle="combo" dx="16" fmlaLink="$I$14" fmlaRange="$H$14:$H$15" noThreeD="1" sel="0" val="0"/>
</file>

<file path=xl/ctrlProps/ctrlProp30.xml><?xml version="1.0" encoding="utf-8"?>
<formControlPr xmlns="http://schemas.microsoft.com/office/spreadsheetml/2009/9/main" objectType="Drop" dropStyle="combo" dx="16" fmlaLink="$I$10" fmlaRange="$H$10:$H$12" noThreeD="1" sel="3" val="0"/>
</file>

<file path=xl/ctrlProps/ctrlProp31.xml><?xml version="1.0" encoding="utf-8"?>
<formControlPr xmlns="http://schemas.microsoft.com/office/spreadsheetml/2009/9/main" objectType="Drop" dropStyle="combo" dx="16" fmlaLink="$I$13" fmlaRange="$H$13:$H$14" noThreeD="1" val="0"/>
</file>

<file path=xl/ctrlProps/ctrlProp32.xml><?xml version="1.0" encoding="utf-8"?>
<formControlPr xmlns="http://schemas.microsoft.com/office/spreadsheetml/2009/9/main" objectType="Drop" dropStyle="combo" dx="16" fmlaLink="$I$11" fmlaRange="$H$11:$H$12" noThreeD="1" sel="0" val="0"/>
</file>

<file path=xl/ctrlProps/ctrlProp33.xml><?xml version="1.0" encoding="utf-8"?>
<formControlPr xmlns="http://schemas.microsoft.com/office/spreadsheetml/2009/9/main" objectType="Drop" dropStyle="combo" dx="16" fmlaLink="$I$14" fmlaRange="$H$14:$H$15" noThreeD="1" sel="0" val="0"/>
</file>

<file path=xl/ctrlProps/ctrlProp34.xml><?xml version="1.0" encoding="utf-8"?>
<formControlPr xmlns="http://schemas.microsoft.com/office/spreadsheetml/2009/9/main" objectType="Drop" dropStyle="combo" dx="16" fmlaLink="$I$19" fmlaRange="$H$19:$H$21" noThreeD="1" val="0"/>
</file>

<file path=xl/ctrlProps/ctrlProp35.xml><?xml version="1.0" encoding="utf-8"?>
<formControlPr xmlns="http://schemas.microsoft.com/office/spreadsheetml/2009/9/main" objectType="Drop" dropStyle="combo" dx="16" fmlaLink="$I$22" fmlaRange="$H$22:$H$23" noThreeD="1" sel="2" val="0"/>
</file>

<file path=xl/ctrlProps/ctrlProp36.xml><?xml version="1.0" encoding="utf-8"?>
<formControlPr xmlns="http://schemas.microsoft.com/office/spreadsheetml/2009/9/main" objectType="Drop" dropStyle="combo" dx="16" fmlaLink="$I$1" fmlaRange="$H$1:$H$3" noThreeD="1" sel="3" val="0"/>
</file>

<file path=xl/ctrlProps/ctrlProp37.xml><?xml version="1.0" encoding="utf-8"?>
<formControlPr xmlns="http://schemas.microsoft.com/office/spreadsheetml/2009/9/main" objectType="Drop" dropStyle="combo" dx="16" fmlaLink="$I$4" fmlaRange="$H$4:$H$5" noThreeD="1" sel="2" val="0"/>
</file>

<file path=xl/ctrlProps/ctrlProp38.xml><?xml version="1.0" encoding="utf-8"?>
<formControlPr xmlns="http://schemas.microsoft.com/office/spreadsheetml/2009/9/main" objectType="Drop" dropStyle="combo" dx="16" fmlaLink="$I$11" fmlaRange="$H$11:$H$12" noThreeD="1" sel="0" val="0"/>
</file>

<file path=xl/ctrlProps/ctrlProp39.xml><?xml version="1.0" encoding="utf-8"?>
<formControlPr xmlns="http://schemas.microsoft.com/office/spreadsheetml/2009/9/main" objectType="Drop" dropStyle="combo" dx="16" fmlaLink="$I$14" fmlaRange="$H$14:$H$15" noThreeD="1" sel="0" val="0"/>
</file>

<file path=xl/ctrlProps/ctrlProp40.xml><?xml version="1.0" encoding="utf-8"?>
<formControlPr xmlns="http://schemas.microsoft.com/office/spreadsheetml/2009/9/main" objectType="Drop" dropStyle="combo" dx="16" fmlaLink="$I$10" fmlaRange="$H$10:$H$12" noThreeD="1" sel="3" val="0"/>
</file>

<file path=xl/ctrlProps/ctrlProp41.xml><?xml version="1.0" encoding="utf-8"?>
<formControlPr xmlns="http://schemas.microsoft.com/office/spreadsheetml/2009/9/main" objectType="Drop" dropStyle="combo" dx="16" fmlaLink="$I$13" fmlaRange="$H$13:$H$14" noThreeD="1" val="0"/>
</file>

<file path=xl/ctrlProps/ctrlProp42.xml><?xml version="1.0" encoding="utf-8"?>
<formControlPr xmlns="http://schemas.microsoft.com/office/spreadsheetml/2009/9/main" objectType="Drop" dropStyle="combo" dx="16" fmlaLink="$I$11" fmlaRange="$H$11:$H$12" noThreeD="1" sel="0" val="0"/>
</file>

<file path=xl/ctrlProps/ctrlProp43.xml><?xml version="1.0" encoding="utf-8"?>
<formControlPr xmlns="http://schemas.microsoft.com/office/spreadsheetml/2009/9/main" objectType="Drop" dropStyle="combo" dx="16" fmlaLink="$I$14" fmlaRange="$H$14:$H$15" noThreeD="1" sel="0" val="0"/>
</file>

<file path=xl/ctrlProps/ctrlProp44.xml><?xml version="1.0" encoding="utf-8"?>
<formControlPr xmlns="http://schemas.microsoft.com/office/spreadsheetml/2009/9/main" objectType="Drop" dropStyle="combo" dx="16" fmlaLink="$I$19" fmlaRange="$H$19:$H$21" noThreeD="1" sel="2" val="0"/>
</file>

<file path=xl/ctrlProps/ctrlProp45.xml><?xml version="1.0" encoding="utf-8"?>
<formControlPr xmlns="http://schemas.microsoft.com/office/spreadsheetml/2009/9/main" objectType="Drop" dropStyle="combo" dx="16" fmlaLink="$I$22" fmlaRange="$H$22:$H$23" noThreeD="1" sel="2" val="0"/>
</file>

<file path=xl/ctrlProps/ctrlProp46.xml><?xml version="1.0" encoding="utf-8"?>
<formControlPr xmlns="http://schemas.microsoft.com/office/spreadsheetml/2009/9/main" objectType="Drop" dropStyle="combo" dx="16" fmlaLink="$I$11" fmlaRange="$H$11:$H$12" noThreeD="1" sel="0" val="0"/>
</file>

<file path=xl/ctrlProps/ctrlProp47.xml><?xml version="1.0" encoding="utf-8"?>
<formControlPr xmlns="http://schemas.microsoft.com/office/spreadsheetml/2009/9/main" objectType="Drop" dropStyle="combo" dx="16" fmlaLink="$I$14" fmlaRange="$H$14:$H$15" noThreeD="1" sel="0" val="0"/>
</file>

<file path=xl/ctrlProps/ctrlProp48.xml><?xml version="1.0" encoding="utf-8"?>
<formControlPr xmlns="http://schemas.microsoft.com/office/spreadsheetml/2009/9/main" objectType="Drop" dropStyle="combo" dx="16" fmlaLink="$I$28" fmlaRange="$H$28:$H$30" noThreeD="1" val="0"/>
</file>

<file path=xl/ctrlProps/ctrlProp49.xml><?xml version="1.0" encoding="utf-8"?>
<formControlPr xmlns="http://schemas.microsoft.com/office/spreadsheetml/2009/9/main" objectType="Drop" dropStyle="combo" dx="16" fmlaLink="$I$31" fmlaRange="$H$31:$H$32" noThreeD="1" sel="2" val="0"/>
</file>

<file path=xl/ctrlProps/ctrlProp50.xml><?xml version="1.0" encoding="utf-8"?>
<formControlPr xmlns="http://schemas.microsoft.com/office/spreadsheetml/2009/9/main" objectType="Drop" dropStyle="combo" dx="16" fmlaLink="$I$11" fmlaRange="$H$11:$H$12" noThreeD="1" sel="0" val="0"/>
</file>

<file path=xl/ctrlProps/ctrlProp51.xml><?xml version="1.0" encoding="utf-8"?>
<formControlPr xmlns="http://schemas.microsoft.com/office/spreadsheetml/2009/9/main" objectType="Drop" dropStyle="combo" dx="16" fmlaLink="$I$14" fmlaRange="$H$14:$H$15" noThreeD="1" sel="0" val="0"/>
</file>

<file path=xl/ctrlProps/ctrlProp52.xml><?xml version="1.0" encoding="utf-8"?>
<formControlPr xmlns="http://schemas.microsoft.com/office/spreadsheetml/2009/9/main" objectType="Drop" dropStyle="combo" dx="16" fmlaLink="$I$37" fmlaRange="$H$37:$H$39" noThreeD="1" val="0"/>
</file>

<file path=xl/ctrlProps/ctrlProp53.xml><?xml version="1.0" encoding="utf-8"?>
<formControlPr xmlns="http://schemas.microsoft.com/office/spreadsheetml/2009/9/main" objectType="Drop" dropStyle="combo" dx="16" fmlaLink="$I$40" fmlaRange="$H$40:$H$41" noThreeD="1" sel="2" val="0"/>
</file>

<file path=xl/ctrlProps/ctrlProp54.xml><?xml version="1.0" encoding="utf-8"?>
<formControlPr xmlns="http://schemas.microsoft.com/office/spreadsheetml/2009/9/main" objectType="Drop" dropStyle="combo" dx="16" fmlaLink="$I$11" fmlaRange="$H$11:$H$12" noThreeD="1" sel="0" val="0"/>
</file>

<file path=xl/ctrlProps/ctrlProp55.xml><?xml version="1.0" encoding="utf-8"?>
<formControlPr xmlns="http://schemas.microsoft.com/office/spreadsheetml/2009/9/main" objectType="Drop" dropStyle="combo" dx="16" fmlaLink="$I$14" fmlaRange="$H$14:$H$15" noThreeD="1" sel="0" val="0"/>
</file>

<file path=xl/ctrlProps/ctrlProp56.xml><?xml version="1.0" encoding="utf-8"?>
<formControlPr xmlns="http://schemas.microsoft.com/office/spreadsheetml/2009/9/main" objectType="Drop" dropStyle="combo" dx="16" fmlaLink="$I$46" fmlaRange="$H$46:$H$48" noThreeD="1" val="0"/>
</file>

<file path=xl/ctrlProps/ctrlProp57.xml><?xml version="1.0" encoding="utf-8"?>
<formControlPr xmlns="http://schemas.microsoft.com/office/spreadsheetml/2009/9/main" objectType="Drop" dropStyle="combo" dx="16" fmlaLink="$I$49" fmlaRange="$H$49:$H$50" noThreeD="1" val="0"/>
</file>

<file path=xl/ctrlProps/ctrlProp58.xml><?xml version="1.0" encoding="utf-8"?>
<formControlPr xmlns="http://schemas.microsoft.com/office/spreadsheetml/2009/9/main" objectType="Drop" dropStyle="combo" dx="16" fmlaLink="$I$11" fmlaRange="$H$11:$H$12" noThreeD="1" sel="0" val="0"/>
</file>

<file path=xl/ctrlProps/ctrlProp59.xml><?xml version="1.0" encoding="utf-8"?>
<formControlPr xmlns="http://schemas.microsoft.com/office/spreadsheetml/2009/9/main" objectType="Drop" dropStyle="combo" dx="16" fmlaLink="$I$14" fmlaRange="$H$14:$H$15" noThreeD="1" sel="0" val="0"/>
</file>

<file path=xl/ctrlProps/ctrlProp60.xml><?xml version="1.0" encoding="utf-8"?>
<formControlPr xmlns="http://schemas.microsoft.com/office/spreadsheetml/2009/9/main" objectType="Drop" dropStyle="combo" dx="16" fmlaLink="$I$55" fmlaRange="$H$55:$H$57" noThreeD="1" val="0"/>
</file>

<file path=xl/ctrlProps/ctrlProp61.xml><?xml version="1.0" encoding="utf-8"?>
<formControlPr xmlns="http://schemas.microsoft.com/office/spreadsheetml/2009/9/main" objectType="Drop" dropStyle="combo" dx="16" fmlaLink="$I$58" fmlaRange="$H$58:$H$59" noThreeD="1" val="0"/>
</file>

<file path=xl/ctrlProps/ctrlProp62.xml><?xml version="1.0" encoding="utf-8"?>
<formControlPr xmlns="http://schemas.microsoft.com/office/spreadsheetml/2009/9/main" objectType="Drop" dropStyle="combo" dx="16" fmlaLink="$I$11" fmlaRange="$H$11:$H$12" noThreeD="1" sel="0" val="0"/>
</file>

<file path=xl/ctrlProps/ctrlProp63.xml><?xml version="1.0" encoding="utf-8"?>
<formControlPr xmlns="http://schemas.microsoft.com/office/spreadsheetml/2009/9/main" objectType="Drop" dropStyle="combo" dx="16" fmlaLink="$I$14" fmlaRange="$H$14:$H$15" noThreeD="1" sel="0" val="0"/>
</file>

<file path=xl/ctrlProps/ctrlProp64.xml><?xml version="1.0" encoding="utf-8"?>
<formControlPr xmlns="http://schemas.microsoft.com/office/spreadsheetml/2009/9/main" objectType="Drop" dropStyle="combo" dx="16" fmlaLink="$I$64" fmlaRange="$H$64:$H$66" noThreeD="1" sel="2" val="0"/>
</file>

<file path=xl/ctrlProps/ctrlProp65.xml><?xml version="1.0" encoding="utf-8"?>
<formControlPr xmlns="http://schemas.microsoft.com/office/spreadsheetml/2009/9/main" objectType="Drop" dropStyle="combo" dx="16" fmlaLink="$I$67" fmlaRange="$H$67:$H$68" noThreeD="1" val="0"/>
</file>

<file path=xl/ctrlProps/ctrlProp66.xml><?xml version="1.0" encoding="utf-8"?>
<formControlPr xmlns="http://schemas.microsoft.com/office/spreadsheetml/2009/9/main" objectType="Drop" dropStyle="combo" dx="16" fmlaLink="$I$1" fmlaRange="$H$1:$H$3" noThreeD="1" sel="2" val="0"/>
</file>

<file path=xl/ctrlProps/ctrlProp67.xml><?xml version="1.0" encoding="utf-8"?>
<formControlPr xmlns="http://schemas.microsoft.com/office/spreadsheetml/2009/9/main" objectType="Drop" dropStyle="combo" dx="16" fmlaLink="$I$4" fmlaRange="$H$4:$H$5" noThreeD="1" val="0"/>
</file>

<file path=xl/ctrlProps/ctrlProp68.xml><?xml version="1.0" encoding="utf-8"?>
<formControlPr xmlns="http://schemas.microsoft.com/office/spreadsheetml/2009/9/main" objectType="Drop" dropStyle="combo" dx="16" fmlaLink="$I$11" fmlaRange="$H$11:$H$12" noThreeD="1" sel="0" val="0"/>
</file>

<file path=xl/ctrlProps/ctrlProp69.xml><?xml version="1.0" encoding="utf-8"?>
<formControlPr xmlns="http://schemas.microsoft.com/office/spreadsheetml/2009/9/main" objectType="Drop" dropStyle="combo" dx="16" fmlaLink="$I$14" fmlaRange="$H$14:$H$15" noThreeD="1" sel="0" val="0"/>
</file>

<file path=xl/ctrlProps/ctrlProp70.xml><?xml version="1.0" encoding="utf-8"?>
<formControlPr xmlns="http://schemas.microsoft.com/office/spreadsheetml/2009/9/main" objectType="Drop" dropStyle="combo" dx="16" fmlaLink="$I$10" fmlaRange="$H$10:$H$12" noThreeD="1" sel="2" val="0"/>
</file>

<file path=xl/ctrlProps/ctrlProp71.xml><?xml version="1.0" encoding="utf-8"?>
<formControlPr xmlns="http://schemas.microsoft.com/office/spreadsheetml/2009/9/main" objectType="Drop" dropStyle="combo" dx="16" fmlaLink="$I$13" fmlaRange="$H$13:$H$14" noThreeD="1" sel="2" val="0"/>
</file>

<file path=xl/ctrlProps/ctrlProp72.xml><?xml version="1.0" encoding="utf-8"?>
<formControlPr xmlns="http://schemas.microsoft.com/office/spreadsheetml/2009/9/main" objectType="Drop" dropStyle="combo" dx="16" fmlaLink="$I$11" fmlaRange="$H$11:$H$12" noThreeD="1" sel="0" val="0"/>
</file>

<file path=xl/ctrlProps/ctrlProp73.xml><?xml version="1.0" encoding="utf-8"?>
<formControlPr xmlns="http://schemas.microsoft.com/office/spreadsheetml/2009/9/main" objectType="Drop" dropStyle="combo" dx="16" fmlaLink="$I$14" fmlaRange="$H$14:$H$15" noThreeD="1" sel="0" val="0"/>
</file>

<file path=xl/ctrlProps/ctrlProp74.xml><?xml version="1.0" encoding="utf-8"?>
<formControlPr xmlns="http://schemas.microsoft.com/office/spreadsheetml/2009/9/main" objectType="Drop" dropStyle="combo" dx="16" fmlaLink="$I$19" fmlaRange="$H$19:$H$21" noThreeD="1" val="0"/>
</file>

<file path=xl/ctrlProps/ctrlProp75.xml><?xml version="1.0" encoding="utf-8"?>
<formControlPr xmlns="http://schemas.microsoft.com/office/spreadsheetml/2009/9/main" objectType="Drop" dropStyle="combo" dx="16" fmlaLink="$I$22" fmlaRange="$H$22:$H$23" noThreeD="1" val="0"/>
</file>

<file path=xl/ctrlProps/ctrlProp76.xml><?xml version="1.0" encoding="utf-8"?>
<formControlPr xmlns="http://schemas.microsoft.com/office/spreadsheetml/2009/9/main" objectType="Drop" dropStyle="combo" dx="16" fmlaLink="$I$11" fmlaRange="$H$11:$H$12" noThreeD="1" sel="0" val="0"/>
</file>

<file path=xl/ctrlProps/ctrlProp77.xml><?xml version="1.0" encoding="utf-8"?>
<formControlPr xmlns="http://schemas.microsoft.com/office/spreadsheetml/2009/9/main" objectType="Drop" dropStyle="combo" dx="16" fmlaLink="$I$14" fmlaRange="$H$14:$H$15" noThreeD="1" sel="0" val="0"/>
</file>

<file path=xl/ctrlProps/ctrlProp78.xml><?xml version="1.0" encoding="utf-8"?>
<formControlPr xmlns="http://schemas.microsoft.com/office/spreadsheetml/2009/9/main" objectType="Drop" dropStyle="combo" dx="16" fmlaLink="$I$28" fmlaRange="$H$28:$H$30" noThreeD="1" val="0"/>
</file>

<file path=xl/ctrlProps/ctrlProp79.xml><?xml version="1.0" encoding="utf-8"?>
<formControlPr xmlns="http://schemas.microsoft.com/office/spreadsheetml/2009/9/main" objectType="Drop" dropStyle="combo" dx="16" fmlaLink="$I$31" fmlaRange="$H$31:$H$32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800100</xdr:colOff>
          <xdr:row>12</xdr:row>
          <xdr:rowOff>28575</xdr:rowOff>
        </xdr:from>
        <xdr:to>
          <xdr:col>0</xdr:col>
          <xdr:colOff>1371600</xdr:colOff>
          <xdr:row>13</xdr:row>
          <xdr:rowOff>57150</xdr:rowOff>
        </xdr:to>
        <xdr:sp macro="" textlink="">
          <xdr:nvSpPr>
            <xdr:cNvPr id="15361" name="Option 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790575</xdr:colOff>
          <xdr:row>13</xdr:row>
          <xdr:rowOff>66675</xdr:rowOff>
        </xdr:from>
        <xdr:to>
          <xdr:col>0</xdr:col>
          <xdr:colOff>1304925</xdr:colOff>
          <xdr:row>14</xdr:row>
          <xdr:rowOff>95250</xdr:rowOff>
        </xdr:to>
        <xdr:sp macro="" textlink="">
          <xdr:nvSpPr>
            <xdr:cNvPr id="15362" name="Option 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11</xdr:row>
          <xdr:rowOff>57150</xdr:rowOff>
        </xdr:from>
        <xdr:to>
          <xdr:col>1</xdr:col>
          <xdr:colOff>76200</xdr:colOff>
          <xdr:row>15</xdr:row>
          <xdr:rowOff>114300</xdr:rowOff>
        </xdr:to>
        <xdr:sp macro="" textlink="">
          <xdr:nvSpPr>
            <xdr:cNvPr id="15363" name="Group Box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Elegir una opción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295274</xdr:colOff>
      <xdr:row>0</xdr:row>
      <xdr:rowOff>104775</xdr:rowOff>
    </xdr:from>
    <xdr:to>
      <xdr:col>10</xdr:col>
      <xdr:colOff>657225</xdr:colOff>
      <xdr:row>19</xdr:row>
      <xdr:rowOff>9525</xdr:rowOff>
    </xdr:to>
    <xdr:graphicFrame macro="">
      <xdr:nvGraphicFramePr>
        <xdr:cNvPr id="5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80817</xdr:colOff>
      <xdr:row>0</xdr:row>
      <xdr:rowOff>107156</xdr:rowOff>
    </xdr:from>
    <xdr:to>
      <xdr:col>17</xdr:col>
      <xdr:colOff>369095</xdr:colOff>
      <xdr:row>18</xdr:row>
      <xdr:rowOff>185690</xdr:rowOff>
    </xdr:to>
    <xdr:graphicFrame macro="">
      <xdr:nvGraphicFramePr>
        <xdr:cNvPr id="6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583406</xdr:colOff>
      <xdr:row>0</xdr:row>
      <xdr:rowOff>142875</xdr:rowOff>
    </xdr:from>
    <xdr:to>
      <xdr:col>24</xdr:col>
      <xdr:colOff>690563</xdr:colOff>
      <xdr:row>18</xdr:row>
      <xdr:rowOff>179916</xdr:rowOff>
    </xdr:to>
    <xdr:graphicFrame macro="">
      <xdr:nvGraphicFramePr>
        <xdr:cNvPr id="7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1081616</xdr:colOff>
      <xdr:row>45</xdr:row>
      <xdr:rowOff>47624</xdr:rowOff>
    </xdr:from>
    <xdr:to>
      <xdr:col>5</xdr:col>
      <xdr:colOff>700616</xdr:colOff>
      <xdr:row>60</xdr:row>
      <xdr:rowOff>17991</xdr:rowOff>
    </xdr:to>
    <xdr:graphicFrame macro="">
      <xdr:nvGraphicFramePr>
        <xdr:cNvPr id="8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647700</xdr:colOff>
      <xdr:row>45</xdr:row>
      <xdr:rowOff>38100</xdr:rowOff>
    </xdr:from>
    <xdr:to>
      <xdr:col>12</xdr:col>
      <xdr:colOff>723900</xdr:colOff>
      <xdr:row>60</xdr:row>
      <xdr:rowOff>0</xdr:rowOff>
    </xdr:to>
    <xdr:graphicFrame macro="">
      <xdr:nvGraphicFramePr>
        <xdr:cNvPr id="9" name="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</xdr:row>
          <xdr:rowOff>133350</xdr:rowOff>
        </xdr:from>
        <xdr:to>
          <xdr:col>1</xdr:col>
          <xdr:colOff>57150</xdr:colOff>
          <xdr:row>5</xdr:row>
          <xdr:rowOff>28575</xdr:rowOff>
        </xdr:to>
        <xdr:sp macro="" textlink="">
          <xdr:nvSpPr>
            <xdr:cNvPr id="4097" name="Drop Dow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</xdr:row>
          <xdr:rowOff>133350</xdr:rowOff>
        </xdr:from>
        <xdr:to>
          <xdr:col>2</xdr:col>
          <xdr:colOff>628650</xdr:colOff>
          <xdr:row>5</xdr:row>
          <xdr:rowOff>19050</xdr:rowOff>
        </xdr:to>
        <xdr:sp macro="" textlink="">
          <xdr:nvSpPr>
            <xdr:cNvPr id="4098" name="Drop Dow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51022</xdr:colOff>
      <xdr:row>1</xdr:row>
      <xdr:rowOff>23812</xdr:rowOff>
    </xdr:from>
    <xdr:to>
      <xdr:col>12</xdr:col>
      <xdr:colOff>535780</xdr:colOff>
      <xdr:row>19</xdr:row>
      <xdr:rowOff>47625</xdr:rowOff>
    </xdr:to>
    <xdr:graphicFrame macro="">
      <xdr:nvGraphicFramePr>
        <xdr:cNvPr id="4" name="3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12</xdr:row>
          <xdr:rowOff>133350</xdr:rowOff>
        </xdr:from>
        <xdr:to>
          <xdr:col>1</xdr:col>
          <xdr:colOff>66675</xdr:colOff>
          <xdr:row>14</xdr:row>
          <xdr:rowOff>28575</xdr:rowOff>
        </xdr:to>
        <xdr:sp macro="" textlink="">
          <xdr:nvSpPr>
            <xdr:cNvPr id="4099" name="Drop Dow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12</xdr:row>
          <xdr:rowOff>142875</xdr:rowOff>
        </xdr:from>
        <xdr:to>
          <xdr:col>2</xdr:col>
          <xdr:colOff>628650</xdr:colOff>
          <xdr:row>14</xdr:row>
          <xdr:rowOff>28575</xdr:rowOff>
        </xdr:to>
        <xdr:sp macro="" textlink="">
          <xdr:nvSpPr>
            <xdr:cNvPr id="4100" name="Drop Dow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12</xdr:row>
          <xdr:rowOff>133350</xdr:rowOff>
        </xdr:from>
        <xdr:to>
          <xdr:col>1</xdr:col>
          <xdr:colOff>66675</xdr:colOff>
          <xdr:row>14</xdr:row>
          <xdr:rowOff>28575</xdr:rowOff>
        </xdr:to>
        <xdr:sp macro="" textlink="">
          <xdr:nvSpPr>
            <xdr:cNvPr id="4101" name="Drop Dow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12</xdr:row>
          <xdr:rowOff>133350</xdr:rowOff>
        </xdr:from>
        <xdr:to>
          <xdr:col>2</xdr:col>
          <xdr:colOff>628650</xdr:colOff>
          <xdr:row>14</xdr:row>
          <xdr:rowOff>19050</xdr:rowOff>
        </xdr:to>
        <xdr:sp macro="" textlink="">
          <xdr:nvSpPr>
            <xdr:cNvPr id="4102" name="Drop Dow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</xdr:row>
          <xdr:rowOff>133350</xdr:rowOff>
        </xdr:from>
        <xdr:to>
          <xdr:col>1</xdr:col>
          <xdr:colOff>57150</xdr:colOff>
          <xdr:row>5</xdr:row>
          <xdr:rowOff>28575</xdr:rowOff>
        </xdr:to>
        <xdr:sp macro="" textlink="">
          <xdr:nvSpPr>
            <xdr:cNvPr id="5121" name="Drop Dow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</xdr:row>
          <xdr:rowOff>133350</xdr:rowOff>
        </xdr:from>
        <xdr:to>
          <xdr:col>2</xdr:col>
          <xdr:colOff>628650</xdr:colOff>
          <xdr:row>5</xdr:row>
          <xdr:rowOff>19050</xdr:rowOff>
        </xdr:to>
        <xdr:sp macro="" textlink="">
          <xdr:nvSpPr>
            <xdr:cNvPr id="5122" name="Drop Dow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253429</xdr:colOff>
      <xdr:row>0</xdr:row>
      <xdr:rowOff>192199</xdr:rowOff>
    </xdr:from>
    <xdr:to>
      <xdr:col>12</xdr:col>
      <xdr:colOff>238125</xdr:colOff>
      <xdr:row>18</xdr:row>
      <xdr:rowOff>130969</xdr:rowOff>
    </xdr:to>
    <xdr:graphicFrame macro="">
      <xdr:nvGraphicFramePr>
        <xdr:cNvPr id="4" name="3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12</xdr:row>
          <xdr:rowOff>133350</xdr:rowOff>
        </xdr:from>
        <xdr:to>
          <xdr:col>1</xdr:col>
          <xdr:colOff>66675</xdr:colOff>
          <xdr:row>14</xdr:row>
          <xdr:rowOff>28575</xdr:rowOff>
        </xdr:to>
        <xdr:sp macro="" textlink="">
          <xdr:nvSpPr>
            <xdr:cNvPr id="5123" name="Drop Dow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12</xdr:row>
          <xdr:rowOff>142875</xdr:rowOff>
        </xdr:from>
        <xdr:to>
          <xdr:col>2</xdr:col>
          <xdr:colOff>628650</xdr:colOff>
          <xdr:row>14</xdr:row>
          <xdr:rowOff>28575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12</xdr:row>
          <xdr:rowOff>133350</xdr:rowOff>
        </xdr:from>
        <xdr:to>
          <xdr:col>1</xdr:col>
          <xdr:colOff>66675</xdr:colOff>
          <xdr:row>14</xdr:row>
          <xdr:rowOff>28575</xdr:rowOff>
        </xdr:to>
        <xdr:sp macro="" textlink="">
          <xdr:nvSpPr>
            <xdr:cNvPr id="5125" name="Drop Dow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12</xdr:row>
          <xdr:rowOff>133350</xdr:rowOff>
        </xdr:from>
        <xdr:to>
          <xdr:col>2</xdr:col>
          <xdr:colOff>628650</xdr:colOff>
          <xdr:row>14</xdr:row>
          <xdr:rowOff>19050</xdr:rowOff>
        </xdr:to>
        <xdr:sp macro="" textlink="">
          <xdr:nvSpPr>
            <xdr:cNvPr id="5126" name="Drop Dow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</xdr:row>
          <xdr:rowOff>133350</xdr:rowOff>
        </xdr:from>
        <xdr:to>
          <xdr:col>1</xdr:col>
          <xdr:colOff>57150</xdr:colOff>
          <xdr:row>5</xdr:row>
          <xdr:rowOff>28575</xdr:rowOff>
        </xdr:to>
        <xdr:sp macro="" textlink="">
          <xdr:nvSpPr>
            <xdr:cNvPr id="10241" name="Drop Dow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</xdr:row>
          <xdr:rowOff>133350</xdr:rowOff>
        </xdr:from>
        <xdr:to>
          <xdr:col>2</xdr:col>
          <xdr:colOff>628650</xdr:colOff>
          <xdr:row>5</xdr:row>
          <xdr:rowOff>19050</xdr:rowOff>
        </xdr:to>
        <xdr:sp macro="" textlink="">
          <xdr:nvSpPr>
            <xdr:cNvPr id="10242" name="Drop Dow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298409</xdr:colOff>
      <xdr:row>3</xdr:row>
      <xdr:rowOff>63500</xdr:rowOff>
    </xdr:from>
    <xdr:to>
      <xdr:col>14</xdr:col>
      <xdr:colOff>9525</xdr:colOff>
      <xdr:row>24</xdr:row>
      <xdr:rowOff>114299</xdr:rowOff>
    </xdr:to>
    <xdr:graphicFrame macro="">
      <xdr:nvGraphicFramePr>
        <xdr:cNvPr id="4" name="3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12</xdr:row>
          <xdr:rowOff>133350</xdr:rowOff>
        </xdr:from>
        <xdr:to>
          <xdr:col>1</xdr:col>
          <xdr:colOff>66675</xdr:colOff>
          <xdr:row>14</xdr:row>
          <xdr:rowOff>28575</xdr:rowOff>
        </xdr:to>
        <xdr:sp macro="" textlink="">
          <xdr:nvSpPr>
            <xdr:cNvPr id="10243" name="Drop Dow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12</xdr:row>
          <xdr:rowOff>142875</xdr:rowOff>
        </xdr:from>
        <xdr:to>
          <xdr:col>2</xdr:col>
          <xdr:colOff>628650</xdr:colOff>
          <xdr:row>14</xdr:row>
          <xdr:rowOff>28575</xdr:rowOff>
        </xdr:to>
        <xdr:sp macro="" textlink="">
          <xdr:nvSpPr>
            <xdr:cNvPr id="10244" name="Drop Dow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12</xdr:row>
          <xdr:rowOff>133350</xdr:rowOff>
        </xdr:from>
        <xdr:to>
          <xdr:col>1</xdr:col>
          <xdr:colOff>66675</xdr:colOff>
          <xdr:row>14</xdr:row>
          <xdr:rowOff>28575</xdr:rowOff>
        </xdr:to>
        <xdr:sp macro="" textlink="">
          <xdr:nvSpPr>
            <xdr:cNvPr id="10245" name="Drop Dow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12</xdr:row>
          <xdr:rowOff>133350</xdr:rowOff>
        </xdr:from>
        <xdr:to>
          <xdr:col>2</xdr:col>
          <xdr:colOff>628650</xdr:colOff>
          <xdr:row>14</xdr:row>
          <xdr:rowOff>19050</xdr:rowOff>
        </xdr:to>
        <xdr:sp macro="" textlink="">
          <xdr:nvSpPr>
            <xdr:cNvPr id="10246" name="Drop Down 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21</xdr:row>
          <xdr:rowOff>133350</xdr:rowOff>
        </xdr:from>
        <xdr:to>
          <xdr:col>1</xdr:col>
          <xdr:colOff>66675</xdr:colOff>
          <xdr:row>23</xdr:row>
          <xdr:rowOff>28575</xdr:rowOff>
        </xdr:to>
        <xdr:sp macro="" textlink="">
          <xdr:nvSpPr>
            <xdr:cNvPr id="10247" name="Drop Down 7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21</xdr:row>
          <xdr:rowOff>142875</xdr:rowOff>
        </xdr:from>
        <xdr:to>
          <xdr:col>2</xdr:col>
          <xdr:colOff>628650</xdr:colOff>
          <xdr:row>23</xdr:row>
          <xdr:rowOff>28575</xdr:rowOff>
        </xdr:to>
        <xdr:sp macro="" textlink="">
          <xdr:nvSpPr>
            <xdr:cNvPr id="10248" name="Drop Down 8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21</xdr:row>
          <xdr:rowOff>133350</xdr:rowOff>
        </xdr:from>
        <xdr:to>
          <xdr:col>1</xdr:col>
          <xdr:colOff>66675</xdr:colOff>
          <xdr:row>23</xdr:row>
          <xdr:rowOff>28575</xdr:rowOff>
        </xdr:to>
        <xdr:sp macro="" textlink="">
          <xdr:nvSpPr>
            <xdr:cNvPr id="10249" name="Drop Down 9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21</xdr:row>
          <xdr:rowOff>133350</xdr:rowOff>
        </xdr:from>
        <xdr:to>
          <xdr:col>2</xdr:col>
          <xdr:colOff>628650</xdr:colOff>
          <xdr:row>23</xdr:row>
          <xdr:rowOff>19050</xdr:rowOff>
        </xdr:to>
        <xdr:sp macro="" textlink="">
          <xdr:nvSpPr>
            <xdr:cNvPr id="10250" name="Drop Down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</xdr:row>
          <xdr:rowOff>133350</xdr:rowOff>
        </xdr:from>
        <xdr:to>
          <xdr:col>1</xdr:col>
          <xdr:colOff>57150</xdr:colOff>
          <xdr:row>5</xdr:row>
          <xdr:rowOff>28575</xdr:rowOff>
        </xdr:to>
        <xdr:sp macro="" textlink="">
          <xdr:nvSpPr>
            <xdr:cNvPr id="11265" name="Drop Dow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</xdr:row>
          <xdr:rowOff>133350</xdr:rowOff>
        </xdr:from>
        <xdr:to>
          <xdr:col>2</xdr:col>
          <xdr:colOff>628650</xdr:colOff>
          <xdr:row>5</xdr:row>
          <xdr:rowOff>19050</xdr:rowOff>
        </xdr:to>
        <xdr:sp macro="" textlink="">
          <xdr:nvSpPr>
            <xdr:cNvPr id="11266" name="Drop Dow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932086</xdr:colOff>
      <xdr:row>3</xdr:row>
      <xdr:rowOff>14288</xdr:rowOff>
    </xdr:from>
    <xdr:to>
      <xdr:col>13</xdr:col>
      <xdr:colOff>571500</xdr:colOff>
      <xdr:row>24</xdr:row>
      <xdr:rowOff>85725</xdr:rowOff>
    </xdr:to>
    <xdr:graphicFrame macro="">
      <xdr:nvGraphicFramePr>
        <xdr:cNvPr id="4" name="3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12</xdr:row>
          <xdr:rowOff>133350</xdr:rowOff>
        </xdr:from>
        <xdr:to>
          <xdr:col>1</xdr:col>
          <xdr:colOff>66675</xdr:colOff>
          <xdr:row>14</xdr:row>
          <xdr:rowOff>28575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12</xdr:row>
          <xdr:rowOff>142875</xdr:rowOff>
        </xdr:from>
        <xdr:to>
          <xdr:col>2</xdr:col>
          <xdr:colOff>628650</xdr:colOff>
          <xdr:row>14</xdr:row>
          <xdr:rowOff>28575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12</xdr:row>
          <xdr:rowOff>133350</xdr:rowOff>
        </xdr:from>
        <xdr:to>
          <xdr:col>1</xdr:col>
          <xdr:colOff>66675</xdr:colOff>
          <xdr:row>14</xdr:row>
          <xdr:rowOff>28575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12</xdr:row>
          <xdr:rowOff>133350</xdr:rowOff>
        </xdr:from>
        <xdr:to>
          <xdr:col>2</xdr:col>
          <xdr:colOff>628650</xdr:colOff>
          <xdr:row>14</xdr:row>
          <xdr:rowOff>19050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21</xdr:row>
          <xdr:rowOff>133350</xdr:rowOff>
        </xdr:from>
        <xdr:to>
          <xdr:col>1</xdr:col>
          <xdr:colOff>66675</xdr:colOff>
          <xdr:row>23</xdr:row>
          <xdr:rowOff>28575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21</xdr:row>
          <xdr:rowOff>142875</xdr:rowOff>
        </xdr:from>
        <xdr:to>
          <xdr:col>2</xdr:col>
          <xdr:colOff>628650</xdr:colOff>
          <xdr:row>23</xdr:row>
          <xdr:rowOff>28575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21</xdr:row>
          <xdr:rowOff>133350</xdr:rowOff>
        </xdr:from>
        <xdr:to>
          <xdr:col>1</xdr:col>
          <xdr:colOff>66675</xdr:colOff>
          <xdr:row>23</xdr:row>
          <xdr:rowOff>28575</xdr:rowOff>
        </xdr:to>
        <xdr:sp macro="" textlink="">
          <xdr:nvSpPr>
            <xdr:cNvPr id="11273" name="Drop Down 9" hidden="1">
              <a:extLst>
                <a:ext uri="{63B3BB69-23CF-44E3-9099-C40C66FF867C}">
                  <a14:compatExt spid="_x0000_s11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21</xdr:row>
          <xdr:rowOff>133350</xdr:rowOff>
        </xdr:from>
        <xdr:to>
          <xdr:col>2</xdr:col>
          <xdr:colOff>628650</xdr:colOff>
          <xdr:row>23</xdr:row>
          <xdr:rowOff>19050</xdr:rowOff>
        </xdr:to>
        <xdr:sp macro="" textlink="">
          <xdr:nvSpPr>
            <xdr:cNvPr id="11274" name="Drop Down 10" hidden="1">
              <a:extLst>
                <a:ext uri="{63B3BB69-23CF-44E3-9099-C40C66FF867C}">
                  <a14:compatExt spid="_x0000_s11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</xdr:row>
          <xdr:rowOff>133350</xdr:rowOff>
        </xdr:from>
        <xdr:to>
          <xdr:col>1</xdr:col>
          <xdr:colOff>57150</xdr:colOff>
          <xdr:row>5</xdr:row>
          <xdr:rowOff>28575</xdr:rowOff>
        </xdr:to>
        <xdr:sp macro="" textlink="">
          <xdr:nvSpPr>
            <xdr:cNvPr id="12289" name="Drop Dow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</xdr:row>
          <xdr:rowOff>133350</xdr:rowOff>
        </xdr:from>
        <xdr:to>
          <xdr:col>2</xdr:col>
          <xdr:colOff>628650</xdr:colOff>
          <xdr:row>5</xdr:row>
          <xdr:rowOff>19050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443929</xdr:colOff>
      <xdr:row>1</xdr:row>
      <xdr:rowOff>142874</xdr:rowOff>
    </xdr:from>
    <xdr:to>
      <xdr:col>13</xdr:col>
      <xdr:colOff>702469</xdr:colOff>
      <xdr:row>29</xdr:row>
      <xdr:rowOff>154781</xdr:rowOff>
    </xdr:to>
    <xdr:graphicFrame macro="">
      <xdr:nvGraphicFramePr>
        <xdr:cNvPr id="4" name="3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12</xdr:row>
          <xdr:rowOff>133350</xdr:rowOff>
        </xdr:from>
        <xdr:to>
          <xdr:col>1</xdr:col>
          <xdr:colOff>66675</xdr:colOff>
          <xdr:row>14</xdr:row>
          <xdr:rowOff>28575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12</xdr:row>
          <xdr:rowOff>142875</xdr:rowOff>
        </xdr:from>
        <xdr:to>
          <xdr:col>2</xdr:col>
          <xdr:colOff>628650</xdr:colOff>
          <xdr:row>14</xdr:row>
          <xdr:rowOff>28575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12</xdr:row>
          <xdr:rowOff>133350</xdr:rowOff>
        </xdr:from>
        <xdr:to>
          <xdr:col>1</xdr:col>
          <xdr:colOff>66675</xdr:colOff>
          <xdr:row>14</xdr:row>
          <xdr:rowOff>28575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12</xdr:row>
          <xdr:rowOff>133350</xdr:rowOff>
        </xdr:from>
        <xdr:to>
          <xdr:col>2</xdr:col>
          <xdr:colOff>628650</xdr:colOff>
          <xdr:row>14</xdr:row>
          <xdr:rowOff>19050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21</xdr:row>
          <xdr:rowOff>133350</xdr:rowOff>
        </xdr:from>
        <xdr:to>
          <xdr:col>1</xdr:col>
          <xdr:colOff>66675</xdr:colOff>
          <xdr:row>23</xdr:row>
          <xdr:rowOff>28575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21</xdr:row>
          <xdr:rowOff>142875</xdr:rowOff>
        </xdr:from>
        <xdr:to>
          <xdr:col>2</xdr:col>
          <xdr:colOff>628650</xdr:colOff>
          <xdr:row>23</xdr:row>
          <xdr:rowOff>28575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21</xdr:row>
          <xdr:rowOff>133350</xdr:rowOff>
        </xdr:from>
        <xdr:to>
          <xdr:col>1</xdr:col>
          <xdr:colOff>66675</xdr:colOff>
          <xdr:row>23</xdr:row>
          <xdr:rowOff>28575</xdr:rowOff>
        </xdr:to>
        <xdr:sp macro="" textlink="">
          <xdr:nvSpPr>
            <xdr:cNvPr id="12297" name="Drop Dow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21</xdr:row>
          <xdr:rowOff>133350</xdr:rowOff>
        </xdr:from>
        <xdr:to>
          <xdr:col>2</xdr:col>
          <xdr:colOff>628650</xdr:colOff>
          <xdr:row>23</xdr:row>
          <xdr:rowOff>19050</xdr:rowOff>
        </xdr:to>
        <xdr:sp macro="" textlink="">
          <xdr:nvSpPr>
            <xdr:cNvPr id="12298" name="Drop Dow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30</xdr:row>
          <xdr:rowOff>133350</xdr:rowOff>
        </xdr:from>
        <xdr:to>
          <xdr:col>1</xdr:col>
          <xdr:colOff>66675</xdr:colOff>
          <xdr:row>32</xdr:row>
          <xdr:rowOff>28575</xdr:rowOff>
        </xdr:to>
        <xdr:sp macro="" textlink="">
          <xdr:nvSpPr>
            <xdr:cNvPr id="12307" name="Drop Down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30</xdr:row>
          <xdr:rowOff>142875</xdr:rowOff>
        </xdr:from>
        <xdr:to>
          <xdr:col>2</xdr:col>
          <xdr:colOff>628650</xdr:colOff>
          <xdr:row>32</xdr:row>
          <xdr:rowOff>28575</xdr:rowOff>
        </xdr:to>
        <xdr:sp macro="" textlink="">
          <xdr:nvSpPr>
            <xdr:cNvPr id="12308" name="Drop Down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30</xdr:row>
          <xdr:rowOff>133350</xdr:rowOff>
        </xdr:from>
        <xdr:to>
          <xdr:col>1</xdr:col>
          <xdr:colOff>66675</xdr:colOff>
          <xdr:row>32</xdr:row>
          <xdr:rowOff>28575</xdr:rowOff>
        </xdr:to>
        <xdr:sp macro="" textlink="">
          <xdr:nvSpPr>
            <xdr:cNvPr id="12309" name="Drop Down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30</xdr:row>
          <xdr:rowOff>133350</xdr:rowOff>
        </xdr:from>
        <xdr:to>
          <xdr:col>2</xdr:col>
          <xdr:colOff>628650</xdr:colOff>
          <xdr:row>32</xdr:row>
          <xdr:rowOff>19050</xdr:rowOff>
        </xdr:to>
        <xdr:sp macro="" textlink="">
          <xdr:nvSpPr>
            <xdr:cNvPr id="12310" name="Drop Down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39</xdr:row>
          <xdr:rowOff>133350</xdr:rowOff>
        </xdr:from>
        <xdr:to>
          <xdr:col>1</xdr:col>
          <xdr:colOff>66675</xdr:colOff>
          <xdr:row>41</xdr:row>
          <xdr:rowOff>28575</xdr:rowOff>
        </xdr:to>
        <xdr:sp macro="" textlink="">
          <xdr:nvSpPr>
            <xdr:cNvPr id="12315" name="Drop Down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39</xdr:row>
          <xdr:rowOff>142875</xdr:rowOff>
        </xdr:from>
        <xdr:to>
          <xdr:col>2</xdr:col>
          <xdr:colOff>628650</xdr:colOff>
          <xdr:row>41</xdr:row>
          <xdr:rowOff>28575</xdr:rowOff>
        </xdr:to>
        <xdr:sp macro="" textlink="">
          <xdr:nvSpPr>
            <xdr:cNvPr id="12316" name="Drop Down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39</xdr:row>
          <xdr:rowOff>133350</xdr:rowOff>
        </xdr:from>
        <xdr:to>
          <xdr:col>1</xdr:col>
          <xdr:colOff>66675</xdr:colOff>
          <xdr:row>41</xdr:row>
          <xdr:rowOff>28575</xdr:rowOff>
        </xdr:to>
        <xdr:sp macro="" textlink="">
          <xdr:nvSpPr>
            <xdr:cNvPr id="12317" name="Drop Down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39</xdr:row>
          <xdr:rowOff>133350</xdr:rowOff>
        </xdr:from>
        <xdr:to>
          <xdr:col>2</xdr:col>
          <xdr:colOff>628650</xdr:colOff>
          <xdr:row>41</xdr:row>
          <xdr:rowOff>19050</xdr:rowOff>
        </xdr:to>
        <xdr:sp macro="" textlink="">
          <xdr:nvSpPr>
            <xdr:cNvPr id="12318" name="Drop Down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48</xdr:row>
          <xdr:rowOff>133350</xdr:rowOff>
        </xdr:from>
        <xdr:to>
          <xdr:col>1</xdr:col>
          <xdr:colOff>66675</xdr:colOff>
          <xdr:row>50</xdr:row>
          <xdr:rowOff>28575</xdr:rowOff>
        </xdr:to>
        <xdr:sp macro="" textlink="">
          <xdr:nvSpPr>
            <xdr:cNvPr id="12319" name="Drop Down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48</xdr:row>
          <xdr:rowOff>142875</xdr:rowOff>
        </xdr:from>
        <xdr:to>
          <xdr:col>2</xdr:col>
          <xdr:colOff>628650</xdr:colOff>
          <xdr:row>50</xdr:row>
          <xdr:rowOff>28575</xdr:rowOff>
        </xdr:to>
        <xdr:sp macro="" textlink="">
          <xdr:nvSpPr>
            <xdr:cNvPr id="12320" name="Drop Down 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48</xdr:row>
          <xdr:rowOff>133350</xdr:rowOff>
        </xdr:from>
        <xdr:to>
          <xdr:col>1</xdr:col>
          <xdr:colOff>66675</xdr:colOff>
          <xdr:row>50</xdr:row>
          <xdr:rowOff>28575</xdr:rowOff>
        </xdr:to>
        <xdr:sp macro="" textlink="">
          <xdr:nvSpPr>
            <xdr:cNvPr id="12321" name="Drop Down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48</xdr:row>
          <xdr:rowOff>133350</xdr:rowOff>
        </xdr:from>
        <xdr:to>
          <xdr:col>2</xdr:col>
          <xdr:colOff>628650</xdr:colOff>
          <xdr:row>50</xdr:row>
          <xdr:rowOff>19050</xdr:rowOff>
        </xdr:to>
        <xdr:sp macro="" textlink="">
          <xdr:nvSpPr>
            <xdr:cNvPr id="12322" name="Drop Down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57</xdr:row>
          <xdr:rowOff>133350</xdr:rowOff>
        </xdr:from>
        <xdr:to>
          <xdr:col>1</xdr:col>
          <xdr:colOff>66675</xdr:colOff>
          <xdr:row>59</xdr:row>
          <xdr:rowOff>28575</xdr:rowOff>
        </xdr:to>
        <xdr:sp macro="" textlink="">
          <xdr:nvSpPr>
            <xdr:cNvPr id="12323" name="Drop Down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57</xdr:row>
          <xdr:rowOff>142875</xdr:rowOff>
        </xdr:from>
        <xdr:to>
          <xdr:col>2</xdr:col>
          <xdr:colOff>628650</xdr:colOff>
          <xdr:row>59</xdr:row>
          <xdr:rowOff>28575</xdr:rowOff>
        </xdr:to>
        <xdr:sp macro="" textlink="">
          <xdr:nvSpPr>
            <xdr:cNvPr id="12324" name="Drop Down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57</xdr:row>
          <xdr:rowOff>133350</xdr:rowOff>
        </xdr:from>
        <xdr:to>
          <xdr:col>1</xdr:col>
          <xdr:colOff>66675</xdr:colOff>
          <xdr:row>59</xdr:row>
          <xdr:rowOff>28575</xdr:rowOff>
        </xdr:to>
        <xdr:sp macro="" textlink="">
          <xdr:nvSpPr>
            <xdr:cNvPr id="12325" name="Drop Down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57</xdr:row>
          <xdr:rowOff>133350</xdr:rowOff>
        </xdr:from>
        <xdr:to>
          <xdr:col>2</xdr:col>
          <xdr:colOff>628650</xdr:colOff>
          <xdr:row>59</xdr:row>
          <xdr:rowOff>19050</xdr:rowOff>
        </xdr:to>
        <xdr:sp macro="" textlink="">
          <xdr:nvSpPr>
            <xdr:cNvPr id="12326" name="Drop Down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66</xdr:row>
          <xdr:rowOff>133350</xdr:rowOff>
        </xdr:from>
        <xdr:to>
          <xdr:col>1</xdr:col>
          <xdr:colOff>66675</xdr:colOff>
          <xdr:row>68</xdr:row>
          <xdr:rowOff>28575</xdr:rowOff>
        </xdr:to>
        <xdr:sp macro="" textlink="">
          <xdr:nvSpPr>
            <xdr:cNvPr id="12331" name="Drop Down 43" hidden="1">
              <a:extLst>
                <a:ext uri="{63B3BB69-23CF-44E3-9099-C40C66FF867C}">
                  <a14:compatExt spid="_x0000_s12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66</xdr:row>
          <xdr:rowOff>142875</xdr:rowOff>
        </xdr:from>
        <xdr:to>
          <xdr:col>2</xdr:col>
          <xdr:colOff>628650</xdr:colOff>
          <xdr:row>68</xdr:row>
          <xdr:rowOff>28575</xdr:rowOff>
        </xdr:to>
        <xdr:sp macro="" textlink="">
          <xdr:nvSpPr>
            <xdr:cNvPr id="12332" name="Drop Down 44" hidden="1">
              <a:extLst>
                <a:ext uri="{63B3BB69-23CF-44E3-9099-C40C66FF867C}">
                  <a14:compatExt spid="_x0000_s12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66</xdr:row>
          <xdr:rowOff>133350</xdr:rowOff>
        </xdr:from>
        <xdr:to>
          <xdr:col>1</xdr:col>
          <xdr:colOff>66675</xdr:colOff>
          <xdr:row>68</xdr:row>
          <xdr:rowOff>28575</xdr:rowOff>
        </xdr:to>
        <xdr:sp macro="" textlink="">
          <xdr:nvSpPr>
            <xdr:cNvPr id="12333" name="Drop Down 45" hidden="1">
              <a:extLst>
                <a:ext uri="{63B3BB69-23CF-44E3-9099-C40C66FF867C}">
                  <a14:compatExt spid="_x0000_s12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66</xdr:row>
          <xdr:rowOff>133350</xdr:rowOff>
        </xdr:from>
        <xdr:to>
          <xdr:col>2</xdr:col>
          <xdr:colOff>628650</xdr:colOff>
          <xdr:row>68</xdr:row>
          <xdr:rowOff>19050</xdr:rowOff>
        </xdr:to>
        <xdr:sp macro="" textlink="">
          <xdr:nvSpPr>
            <xdr:cNvPr id="12334" name="Drop Down 46" hidden="1">
              <a:extLst>
                <a:ext uri="{63B3BB69-23CF-44E3-9099-C40C66FF867C}">
                  <a14:compatExt spid="_x0000_s123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</xdr:row>
          <xdr:rowOff>133350</xdr:rowOff>
        </xdr:from>
        <xdr:to>
          <xdr:col>1</xdr:col>
          <xdr:colOff>57150</xdr:colOff>
          <xdr:row>5</xdr:row>
          <xdr:rowOff>28575</xdr:rowOff>
        </xdr:to>
        <xdr:sp macro="" textlink="">
          <xdr:nvSpPr>
            <xdr:cNvPr id="7169" name="Drop Dow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</xdr:row>
          <xdr:rowOff>133350</xdr:rowOff>
        </xdr:from>
        <xdr:to>
          <xdr:col>2</xdr:col>
          <xdr:colOff>628650</xdr:colOff>
          <xdr:row>5</xdr:row>
          <xdr:rowOff>19050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884458</xdr:colOff>
      <xdr:row>10</xdr:row>
      <xdr:rowOff>23813</xdr:rowOff>
    </xdr:from>
    <xdr:to>
      <xdr:col>12</xdr:col>
      <xdr:colOff>333374</xdr:colOff>
      <xdr:row>28</xdr:row>
      <xdr:rowOff>40821</xdr:rowOff>
    </xdr:to>
    <xdr:graphicFrame macro="">
      <xdr:nvGraphicFramePr>
        <xdr:cNvPr id="4" name="3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12</xdr:row>
          <xdr:rowOff>133350</xdr:rowOff>
        </xdr:from>
        <xdr:to>
          <xdr:col>1</xdr:col>
          <xdr:colOff>66675</xdr:colOff>
          <xdr:row>14</xdr:row>
          <xdr:rowOff>28575</xdr:rowOff>
        </xdr:to>
        <xdr:sp macro="" textlink="">
          <xdr:nvSpPr>
            <xdr:cNvPr id="7171" name="Drop Dow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12</xdr:row>
          <xdr:rowOff>142875</xdr:rowOff>
        </xdr:from>
        <xdr:to>
          <xdr:col>2</xdr:col>
          <xdr:colOff>628650</xdr:colOff>
          <xdr:row>14</xdr:row>
          <xdr:rowOff>28575</xdr:rowOff>
        </xdr:to>
        <xdr:sp macro="" textlink="">
          <xdr:nvSpPr>
            <xdr:cNvPr id="7172" name="Drop Dow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12</xdr:row>
          <xdr:rowOff>133350</xdr:rowOff>
        </xdr:from>
        <xdr:to>
          <xdr:col>1</xdr:col>
          <xdr:colOff>66675</xdr:colOff>
          <xdr:row>14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12</xdr:row>
          <xdr:rowOff>133350</xdr:rowOff>
        </xdr:from>
        <xdr:to>
          <xdr:col>2</xdr:col>
          <xdr:colOff>628650</xdr:colOff>
          <xdr:row>14</xdr:row>
          <xdr:rowOff>19050</xdr:rowOff>
        </xdr:to>
        <xdr:sp macro="" textlink="">
          <xdr:nvSpPr>
            <xdr:cNvPr id="7174" name="Drop Down 6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21</xdr:row>
          <xdr:rowOff>133350</xdr:rowOff>
        </xdr:from>
        <xdr:to>
          <xdr:col>1</xdr:col>
          <xdr:colOff>66675</xdr:colOff>
          <xdr:row>23</xdr:row>
          <xdr:rowOff>28575</xdr:rowOff>
        </xdr:to>
        <xdr:sp macro="" textlink="">
          <xdr:nvSpPr>
            <xdr:cNvPr id="7175" name="Drop Dow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21</xdr:row>
          <xdr:rowOff>142875</xdr:rowOff>
        </xdr:from>
        <xdr:to>
          <xdr:col>2</xdr:col>
          <xdr:colOff>628650</xdr:colOff>
          <xdr:row>23</xdr:row>
          <xdr:rowOff>28575</xdr:rowOff>
        </xdr:to>
        <xdr:sp macro="" textlink="">
          <xdr:nvSpPr>
            <xdr:cNvPr id="7176" name="Drop Down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21</xdr:row>
          <xdr:rowOff>133350</xdr:rowOff>
        </xdr:from>
        <xdr:to>
          <xdr:col>1</xdr:col>
          <xdr:colOff>66675</xdr:colOff>
          <xdr:row>23</xdr:row>
          <xdr:rowOff>28575</xdr:rowOff>
        </xdr:to>
        <xdr:sp macro="" textlink="">
          <xdr:nvSpPr>
            <xdr:cNvPr id="7177" name="Drop Down 9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21</xdr:row>
          <xdr:rowOff>133350</xdr:rowOff>
        </xdr:from>
        <xdr:to>
          <xdr:col>2</xdr:col>
          <xdr:colOff>628650</xdr:colOff>
          <xdr:row>23</xdr:row>
          <xdr:rowOff>19050</xdr:rowOff>
        </xdr:to>
        <xdr:sp macro="" textlink="">
          <xdr:nvSpPr>
            <xdr:cNvPr id="7178" name="Drop Dow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30</xdr:row>
          <xdr:rowOff>133350</xdr:rowOff>
        </xdr:from>
        <xdr:to>
          <xdr:col>1</xdr:col>
          <xdr:colOff>66675</xdr:colOff>
          <xdr:row>32</xdr:row>
          <xdr:rowOff>28575</xdr:rowOff>
        </xdr:to>
        <xdr:sp macro="" textlink="">
          <xdr:nvSpPr>
            <xdr:cNvPr id="7183" name="Drop Down 15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30</xdr:row>
          <xdr:rowOff>142875</xdr:rowOff>
        </xdr:from>
        <xdr:to>
          <xdr:col>2</xdr:col>
          <xdr:colOff>628650</xdr:colOff>
          <xdr:row>32</xdr:row>
          <xdr:rowOff>28575</xdr:rowOff>
        </xdr:to>
        <xdr:sp macro="" textlink="">
          <xdr:nvSpPr>
            <xdr:cNvPr id="7184" name="Drop Down 16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30</xdr:row>
          <xdr:rowOff>133350</xdr:rowOff>
        </xdr:from>
        <xdr:to>
          <xdr:col>1</xdr:col>
          <xdr:colOff>66675</xdr:colOff>
          <xdr:row>32</xdr:row>
          <xdr:rowOff>28575</xdr:rowOff>
        </xdr:to>
        <xdr:sp macro="" textlink="">
          <xdr:nvSpPr>
            <xdr:cNvPr id="7185" name="Drop Down 17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30</xdr:row>
          <xdr:rowOff>133350</xdr:rowOff>
        </xdr:from>
        <xdr:to>
          <xdr:col>2</xdr:col>
          <xdr:colOff>628650</xdr:colOff>
          <xdr:row>32</xdr:row>
          <xdr:rowOff>19050</xdr:rowOff>
        </xdr:to>
        <xdr:sp macro="" textlink="">
          <xdr:nvSpPr>
            <xdr:cNvPr id="7186" name="Drop Down 18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13" Type="http://schemas.openxmlformats.org/officeDocument/2006/relationships/ctrlProp" Target="../ctrlProps/ctrlProp2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9.xml"/><Relationship Id="rId12" Type="http://schemas.openxmlformats.org/officeDocument/2006/relationships/ctrlProp" Target="../ctrlProps/ctrlProp2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8.xml"/><Relationship Id="rId11" Type="http://schemas.openxmlformats.org/officeDocument/2006/relationships/ctrlProp" Target="../ctrlProps/ctrlProp23.xml"/><Relationship Id="rId5" Type="http://schemas.openxmlformats.org/officeDocument/2006/relationships/ctrlProp" Target="../ctrlProps/ctrlProp17.xml"/><Relationship Id="rId10" Type="http://schemas.openxmlformats.org/officeDocument/2006/relationships/ctrlProp" Target="../ctrlProps/ctrlProp22.xml"/><Relationship Id="rId4" Type="http://schemas.openxmlformats.org/officeDocument/2006/relationships/ctrlProp" Target="../ctrlProps/ctrlProp16.xml"/><Relationship Id="rId9" Type="http://schemas.openxmlformats.org/officeDocument/2006/relationships/ctrlProp" Target="../ctrlProps/ctrlProp2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13" Type="http://schemas.openxmlformats.org/officeDocument/2006/relationships/ctrlProp" Target="../ctrlProps/ctrlProp45.xml"/><Relationship Id="rId18" Type="http://schemas.openxmlformats.org/officeDocument/2006/relationships/ctrlProp" Target="../ctrlProps/ctrlProp50.xml"/><Relationship Id="rId26" Type="http://schemas.openxmlformats.org/officeDocument/2006/relationships/ctrlProp" Target="../ctrlProps/ctrlProp58.xml"/><Relationship Id="rId3" Type="http://schemas.openxmlformats.org/officeDocument/2006/relationships/vmlDrawing" Target="../drawings/vmlDrawing6.vml"/><Relationship Id="rId21" Type="http://schemas.openxmlformats.org/officeDocument/2006/relationships/ctrlProp" Target="../ctrlProps/ctrlProp53.xml"/><Relationship Id="rId7" Type="http://schemas.openxmlformats.org/officeDocument/2006/relationships/ctrlProp" Target="../ctrlProps/ctrlProp39.xml"/><Relationship Id="rId12" Type="http://schemas.openxmlformats.org/officeDocument/2006/relationships/ctrlProp" Target="../ctrlProps/ctrlProp44.xml"/><Relationship Id="rId17" Type="http://schemas.openxmlformats.org/officeDocument/2006/relationships/ctrlProp" Target="../ctrlProps/ctrlProp49.xml"/><Relationship Id="rId25" Type="http://schemas.openxmlformats.org/officeDocument/2006/relationships/ctrlProp" Target="../ctrlProps/ctrlProp57.xml"/><Relationship Id="rId33" Type="http://schemas.openxmlformats.org/officeDocument/2006/relationships/ctrlProp" Target="../ctrlProps/ctrlProp6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48.xml"/><Relationship Id="rId20" Type="http://schemas.openxmlformats.org/officeDocument/2006/relationships/ctrlProp" Target="../ctrlProps/ctrlProp52.xml"/><Relationship Id="rId29" Type="http://schemas.openxmlformats.org/officeDocument/2006/relationships/ctrlProp" Target="../ctrlProps/ctrlProp6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.xml"/><Relationship Id="rId11" Type="http://schemas.openxmlformats.org/officeDocument/2006/relationships/ctrlProp" Target="../ctrlProps/ctrlProp43.xml"/><Relationship Id="rId24" Type="http://schemas.openxmlformats.org/officeDocument/2006/relationships/ctrlProp" Target="../ctrlProps/ctrlProp56.xml"/><Relationship Id="rId32" Type="http://schemas.openxmlformats.org/officeDocument/2006/relationships/ctrlProp" Target="../ctrlProps/ctrlProp64.xml"/><Relationship Id="rId5" Type="http://schemas.openxmlformats.org/officeDocument/2006/relationships/ctrlProp" Target="../ctrlProps/ctrlProp37.xml"/><Relationship Id="rId15" Type="http://schemas.openxmlformats.org/officeDocument/2006/relationships/ctrlProp" Target="../ctrlProps/ctrlProp47.xml"/><Relationship Id="rId23" Type="http://schemas.openxmlformats.org/officeDocument/2006/relationships/ctrlProp" Target="../ctrlProps/ctrlProp55.xml"/><Relationship Id="rId28" Type="http://schemas.openxmlformats.org/officeDocument/2006/relationships/ctrlProp" Target="../ctrlProps/ctrlProp60.xml"/><Relationship Id="rId10" Type="http://schemas.openxmlformats.org/officeDocument/2006/relationships/ctrlProp" Target="../ctrlProps/ctrlProp42.xml"/><Relationship Id="rId19" Type="http://schemas.openxmlformats.org/officeDocument/2006/relationships/ctrlProp" Target="../ctrlProps/ctrlProp51.xml"/><Relationship Id="rId31" Type="http://schemas.openxmlformats.org/officeDocument/2006/relationships/ctrlProp" Target="../ctrlProps/ctrlProp63.xml"/><Relationship Id="rId4" Type="http://schemas.openxmlformats.org/officeDocument/2006/relationships/ctrlProp" Target="../ctrlProps/ctrlProp36.xml"/><Relationship Id="rId9" Type="http://schemas.openxmlformats.org/officeDocument/2006/relationships/ctrlProp" Target="../ctrlProps/ctrlProp41.xml"/><Relationship Id="rId14" Type="http://schemas.openxmlformats.org/officeDocument/2006/relationships/ctrlProp" Target="../ctrlProps/ctrlProp46.xml"/><Relationship Id="rId22" Type="http://schemas.openxmlformats.org/officeDocument/2006/relationships/ctrlProp" Target="../ctrlProps/ctrlProp54.xml"/><Relationship Id="rId27" Type="http://schemas.openxmlformats.org/officeDocument/2006/relationships/ctrlProp" Target="../ctrlProps/ctrlProp59.xml"/><Relationship Id="rId30" Type="http://schemas.openxmlformats.org/officeDocument/2006/relationships/ctrlProp" Target="../ctrlProps/ctrlProp6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0.xml"/><Relationship Id="rId13" Type="http://schemas.openxmlformats.org/officeDocument/2006/relationships/ctrlProp" Target="../ctrlProps/ctrlProp75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69.xml"/><Relationship Id="rId12" Type="http://schemas.openxmlformats.org/officeDocument/2006/relationships/ctrlProp" Target="../ctrlProps/ctrlProp74.xml"/><Relationship Id="rId17" Type="http://schemas.openxmlformats.org/officeDocument/2006/relationships/ctrlProp" Target="../ctrlProps/ctrlProp79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7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68.xml"/><Relationship Id="rId11" Type="http://schemas.openxmlformats.org/officeDocument/2006/relationships/ctrlProp" Target="../ctrlProps/ctrlProp73.xml"/><Relationship Id="rId5" Type="http://schemas.openxmlformats.org/officeDocument/2006/relationships/ctrlProp" Target="../ctrlProps/ctrlProp67.xml"/><Relationship Id="rId15" Type="http://schemas.openxmlformats.org/officeDocument/2006/relationships/ctrlProp" Target="../ctrlProps/ctrlProp77.xml"/><Relationship Id="rId10" Type="http://schemas.openxmlformats.org/officeDocument/2006/relationships/ctrlProp" Target="../ctrlProps/ctrlProp72.xml"/><Relationship Id="rId4" Type="http://schemas.openxmlformats.org/officeDocument/2006/relationships/ctrlProp" Target="../ctrlProps/ctrlProp66.xml"/><Relationship Id="rId9" Type="http://schemas.openxmlformats.org/officeDocument/2006/relationships/ctrlProp" Target="../ctrlProps/ctrlProp71.xml"/><Relationship Id="rId14" Type="http://schemas.openxmlformats.org/officeDocument/2006/relationships/ctrlProp" Target="../ctrlProps/ctrlProp7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E44"/>
  <sheetViews>
    <sheetView tabSelected="1" zoomScale="80" zoomScaleNormal="80" workbookViewId="0">
      <selection activeCell="B41" sqref="B41:B44"/>
    </sheetView>
  </sheetViews>
  <sheetFormatPr baseColWidth="10" defaultRowHeight="15" x14ac:dyDescent="0.25"/>
  <cols>
    <col min="1" max="1" width="27.7109375" style="1" bestFit="1" customWidth="1"/>
    <col min="2" max="2" width="12.28515625" style="1" bestFit="1" customWidth="1"/>
    <col min="3" max="4" width="11.42578125" style="1"/>
    <col min="5" max="5" width="11.42578125" style="1" customWidth="1"/>
    <col min="6" max="16384" width="11.42578125" style="1"/>
  </cols>
  <sheetData>
    <row r="1" spans="1:2" x14ac:dyDescent="0.25">
      <c r="A1" s="18" t="s">
        <v>9</v>
      </c>
      <c r="B1" s="18">
        <v>120</v>
      </c>
    </row>
    <row r="2" spans="1:2" x14ac:dyDescent="0.25">
      <c r="A2" s="18" t="s">
        <v>10</v>
      </c>
      <c r="B2" s="18">
        <v>100</v>
      </c>
    </row>
    <row r="3" spans="1:2" x14ac:dyDescent="0.25">
      <c r="A3" s="18" t="s">
        <v>11</v>
      </c>
      <c r="B3" s="19">
        <v>0.2</v>
      </c>
    </row>
    <row r="4" spans="1:2" x14ac:dyDescent="0.25">
      <c r="A4" s="18" t="s">
        <v>12</v>
      </c>
      <c r="B4" s="20">
        <v>0.05</v>
      </c>
    </row>
    <row r="5" spans="1:2" x14ac:dyDescent="0.25">
      <c r="A5" s="18" t="s">
        <v>13</v>
      </c>
      <c r="B5" s="21">
        <v>0.5</v>
      </c>
    </row>
    <row r="6" spans="1:2" x14ac:dyDescent="0.25">
      <c r="A6" s="18" t="s">
        <v>14</v>
      </c>
      <c r="B6" s="22">
        <v>0</v>
      </c>
    </row>
    <row r="7" spans="1:2" x14ac:dyDescent="0.25">
      <c r="A7" s="23" t="str">
        <f>IF(B7=1, "Call", "Put")</f>
        <v>Call</v>
      </c>
      <c r="B7" s="24">
        <v>1</v>
      </c>
    </row>
    <row r="8" spans="1:2" x14ac:dyDescent="0.25">
      <c r="A8" s="25" t="s">
        <v>15</v>
      </c>
      <c r="B8" s="26">
        <f>(LN(B1/B2)+(B4-B6+(1/2)*B3^2)*B5)/(B3*SQRT(B5))</f>
        <v>1.5366954650702269</v>
      </c>
    </row>
    <row r="9" spans="1:2" x14ac:dyDescent="0.25">
      <c r="A9" s="25" t="s">
        <v>16</v>
      </c>
      <c r="B9" s="26">
        <f>B8-B3*SQRT(B5)</f>
        <v>1.3952741088329175</v>
      </c>
    </row>
    <row r="10" spans="1:2" x14ac:dyDescent="0.25">
      <c r="A10" s="27"/>
      <c r="B10" s="28"/>
    </row>
    <row r="11" spans="1:2" x14ac:dyDescent="0.25">
      <c r="A11" s="29"/>
      <c r="B11" s="30"/>
    </row>
    <row r="12" spans="1:2" x14ac:dyDescent="0.25">
      <c r="A12" s="29"/>
      <c r="B12" s="30"/>
    </row>
    <row r="13" spans="1:2" x14ac:dyDescent="0.25">
      <c r="A13" s="29"/>
      <c r="B13" s="30"/>
    </row>
    <row r="14" spans="1:2" x14ac:dyDescent="0.25">
      <c r="A14" s="29"/>
      <c r="B14" s="30"/>
    </row>
    <row r="15" spans="1:2" x14ac:dyDescent="0.25">
      <c r="A15" s="29"/>
      <c r="B15" s="30"/>
    </row>
    <row r="16" spans="1:2" x14ac:dyDescent="0.25">
      <c r="A16" s="29"/>
      <c r="B16" s="30"/>
    </row>
    <row r="17" spans="1:187" x14ac:dyDescent="0.25">
      <c r="A17" s="29"/>
      <c r="B17" s="30"/>
    </row>
    <row r="18" spans="1:187" x14ac:dyDescent="0.25">
      <c r="A18" s="31"/>
    </row>
    <row r="19" spans="1:187" x14ac:dyDescent="0.25">
      <c r="A19" s="31"/>
    </row>
    <row r="20" spans="1:187" x14ac:dyDescent="0.25">
      <c r="A20" s="31"/>
    </row>
    <row r="21" spans="1:187" ht="15.75" x14ac:dyDescent="0.25">
      <c r="A21" s="32" t="s">
        <v>17</v>
      </c>
      <c r="B21" s="33">
        <v>0.01</v>
      </c>
      <c r="C21" s="33">
        <v>10</v>
      </c>
      <c r="D21" s="33">
        <f>C21+10</f>
        <v>20</v>
      </c>
      <c r="E21" s="33">
        <f t="shared" ref="E21:AF21" si="0">D21+5</f>
        <v>25</v>
      </c>
      <c r="F21" s="33">
        <f t="shared" si="0"/>
        <v>30</v>
      </c>
      <c r="G21" s="33">
        <f t="shared" si="0"/>
        <v>35</v>
      </c>
      <c r="H21" s="33">
        <f t="shared" si="0"/>
        <v>40</v>
      </c>
      <c r="I21" s="33">
        <f t="shared" si="0"/>
        <v>45</v>
      </c>
      <c r="J21" s="33">
        <f t="shared" si="0"/>
        <v>50</v>
      </c>
      <c r="K21" s="33">
        <f t="shared" si="0"/>
        <v>55</v>
      </c>
      <c r="L21" s="33">
        <f t="shared" si="0"/>
        <v>60</v>
      </c>
      <c r="M21" s="33">
        <f t="shared" si="0"/>
        <v>65</v>
      </c>
      <c r="N21" s="33">
        <f t="shared" si="0"/>
        <v>70</v>
      </c>
      <c r="O21" s="33">
        <f t="shared" si="0"/>
        <v>75</v>
      </c>
      <c r="P21" s="33">
        <f t="shared" si="0"/>
        <v>80</v>
      </c>
      <c r="Q21" s="33">
        <f t="shared" si="0"/>
        <v>85</v>
      </c>
      <c r="R21" s="33">
        <f t="shared" si="0"/>
        <v>90</v>
      </c>
      <c r="S21" s="33">
        <f t="shared" si="0"/>
        <v>95</v>
      </c>
      <c r="T21" s="33">
        <f t="shared" si="0"/>
        <v>100</v>
      </c>
      <c r="U21" s="33">
        <f t="shared" si="0"/>
        <v>105</v>
      </c>
      <c r="V21" s="33">
        <f t="shared" si="0"/>
        <v>110</v>
      </c>
      <c r="W21" s="33">
        <f t="shared" si="0"/>
        <v>115</v>
      </c>
      <c r="X21" s="33">
        <f t="shared" si="0"/>
        <v>120</v>
      </c>
      <c r="Y21" s="33">
        <f t="shared" si="0"/>
        <v>125</v>
      </c>
      <c r="Z21" s="33">
        <f t="shared" si="0"/>
        <v>130</v>
      </c>
      <c r="AA21" s="33">
        <f t="shared" si="0"/>
        <v>135</v>
      </c>
      <c r="AB21" s="33">
        <f t="shared" si="0"/>
        <v>140</v>
      </c>
      <c r="AC21" s="33">
        <f t="shared" si="0"/>
        <v>145</v>
      </c>
      <c r="AD21" s="33">
        <f t="shared" si="0"/>
        <v>150</v>
      </c>
      <c r="AE21" s="33">
        <f t="shared" si="0"/>
        <v>155</v>
      </c>
      <c r="AF21" s="33">
        <f t="shared" si="0"/>
        <v>160</v>
      </c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</row>
    <row r="22" spans="1:187" ht="15.75" x14ac:dyDescent="0.25">
      <c r="A22" s="32" t="s">
        <v>15</v>
      </c>
      <c r="B22" s="33">
        <f t="shared" ref="B22:AF22" si="1">IF($B$7=1,(LN(B21/$B$2)+($B$4-$B$6+(1/2)*($B$3^2))*$B$5)/($B$3*SQRT($B$5)),(LN(B21/$B$2)+($B$4-$B$6+(1/2)*($B$3^2))*$B$5)/($B$3*SQRT($B$5)))</f>
        <v>-64.879453967190557</v>
      </c>
      <c r="C22" s="33">
        <f t="shared" si="1"/>
        <v>-16.03424796173617</v>
      </c>
      <c r="D22" s="33">
        <f t="shared" si="1"/>
        <v>-11.132957244393438</v>
      </c>
      <c r="E22" s="33">
        <f t="shared" si="1"/>
        <v>-9.5550940612701787</v>
      </c>
      <c r="F22" s="33">
        <f t="shared" si="1"/>
        <v>-8.265885969615244</v>
      </c>
      <c r="G22" s="33">
        <f t="shared" si="1"/>
        <v>-7.1758760593115385</v>
      </c>
      <c r="H22" s="33">
        <f t="shared" si="1"/>
        <v>-6.2316665270507032</v>
      </c>
      <c r="I22" s="33">
        <f t="shared" si="1"/>
        <v>-5.3988146948370472</v>
      </c>
      <c r="J22" s="33">
        <f t="shared" si="1"/>
        <v>-4.6538033439274429</v>
      </c>
      <c r="K22" s="33">
        <f t="shared" si="1"/>
        <v>-3.9798585993699707</v>
      </c>
      <c r="L22" s="33">
        <f t="shared" si="1"/>
        <v>-3.3645952522725082</v>
      </c>
      <c r="M22" s="33">
        <f t="shared" si="1"/>
        <v>-2.7986078384676065</v>
      </c>
      <c r="N22" s="33">
        <f t="shared" si="1"/>
        <v>-2.2745853419688018</v>
      </c>
      <c r="O22" s="33">
        <f t="shared" si="1"/>
        <v>-1.7867320691492472</v>
      </c>
      <c r="P22" s="33">
        <f t="shared" si="1"/>
        <v>-1.3303758097079683</v>
      </c>
      <c r="Q22" s="33">
        <f t="shared" si="1"/>
        <v>-0.90169499777525908</v>
      </c>
      <c r="R22" s="33">
        <f t="shared" si="1"/>
        <v>-0.4975239774943121</v>
      </c>
      <c r="S22" s="33">
        <f t="shared" si="1"/>
        <v>-0.11521098949305725</v>
      </c>
      <c r="T22" s="33">
        <f t="shared" si="1"/>
        <v>0.24748737341529162</v>
      </c>
      <c r="U22" s="33">
        <f t="shared" si="1"/>
        <v>0.59248593280939477</v>
      </c>
      <c r="V22" s="33">
        <f t="shared" si="1"/>
        <v>0.92143211797276436</v>
      </c>
      <c r="W22" s="33">
        <f t="shared" si="1"/>
        <v>1.235753545468073</v>
      </c>
      <c r="X22" s="33">
        <f t="shared" si="1"/>
        <v>1.5366954650702269</v>
      </c>
      <c r="Y22" s="33">
        <f t="shared" si="1"/>
        <v>1.8253505565385517</v>
      </c>
      <c r="Z22" s="33">
        <f t="shared" si="1"/>
        <v>2.1026828788751284</v>
      </c>
      <c r="AA22" s="33">
        <f t="shared" si="1"/>
        <v>2.3695472972838845</v>
      </c>
      <c r="AB22" s="33">
        <f t="shared" si="1"/>
        <v>2.6267053753739331</v>
      </c>
      <c r="AC22" s="33">
        <f t="shared" si="1"/>
        <v>2.8748384773672826</v>
      </c>
      <c r="AD22" s="33">
        <f t="shared" si="1"/>
        <v>3.1145586481934875</v>
      </c>
      <c r="AE22" s="33">
        <f t="shared" si="1"/>
        <v>3.3464177089139104</v>
      </c>
      <c r="AF22" s="33">
        <f t="shared" si="1"/>
        <v>3.5709149076347666</v>
      </c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31"/>
      <c r="BI22" s="31"/>
      <c r="BJ22" s="31"/>
      <c r="BK22" s="31"/>
      <c r="BL22" s="31"/>
      <c r="BM22" s="31"/>
      <c r="BN22" s="31"/>
      <c r="BO22" s="31"/>
      <c r="BP22" s="31"/>
      <c r="BQ22" s="31"/>
      <c r="BR22" s="31"/>
      <c r="BS22" s="31"/>
      <c r="BT22" s="31"/>
      <c r="BU22" s="31"/>
      <c r="BV22" s="31"/>
      <c r="BW22" s="31"/>
      <c r="BX22" s="31"/>
      <c r="BY22" s="31"/>
      <c r="BZ22" s="31"/>
      <c r="CA22" s="31"/>
      <c r="CB22" s="31"/>
      <c r="CC22" s="31"/>
      <c r="CD22" s="31"/>
      <c r="CE22" s="31"/>
      <c r="CF22" s="31"/>
      <c r="CG22" s="31"/>
      <c r="CH22" s="31"/>
      <c r="CI22" s="31"/>
      <c r="CJ22" s="31"/>
      <c r="CK22" s="31"/>
      <c r="CL22" s="31"/>
      <c r="CM22" s="31"/>
      <c r="CN22" s="31"/>
      <c r="CO22" s="31"/>
      <c r="CP22" s="31"/>
      <c r="CQ22" s="31"/>
      <c r="CR22" s="31"/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/>
      <c r="DD22" s="31"/>
      <c r="DE22" s="31"/>
      <c r="DF22" s="31"/>
      <c r="DG22" s="31"/>
      <c r="DH22" s="31"/>
      <c r="DI22" s="31"/>
      <c r="DJ22" s="31"/>
      <c r="DK22" s="31"/>
      <c r="DL22" s="31"/>
    </row>
    <row r="23" spans="1:187" ht="15.75" x14ac:dyDescent="0.25">
      <c r="A23" s="32" t="s">
        <v>16</v>
      </c>
      <c r="B23" s="33">
        <f>IF($B$7=1,B22-$B$3*SQRT($B$5), B22-($B$3*SQRT($B$5)))</f>
        <v>-65.020875323427873</v>
      </c>
      <c r="C23" s="33">
        <f t="shared" ref="C23:AF23" si="2">IF($B$7=1,C22-$B$3*SQRT($B$5), C22-($B$3*SQRT($B$5)))</f>
        <v>-16.17566931797348</v>
      </c>
      <c r="D23" s="33">
        <f t="shared" si="2"/>
        <v>-11.274378600630747</v>
      </c>
      <c r="E23" s="33">
        <f t="shared" si="2"/>
        <v>-9.6965154175074879</v>
      </c>
      <c r="F23" s="33">
        <f t="shared" si="2"/>
        <v>-8.4073073258525532</v>
      </c>
      <c r="G23" s="33">
        <f t="shared" si="2"/>
        <v>-7.3172974155488477</v>
      </c>
      <c r="H23" s="33">
        <f t="shared" si="2"/>
        <v>-6.3730878832880125</v>
      </c>
      <c r="I23" s="33">
        <f t="shared" si="2"/>
        <v>-5.5402360510743565</v>
      </c>
      <c r="J23" s="33">
        <f t="shared" si="2"/>
        <v>-4.7952247001647521</v>
      </c>
      <c r="K23" s="33">
        <f t="shared" si="2"/>
        <v>-4.1212799556072799</v>
      </c>
      <c r="L23" s="33">
        <f t="shared" si="2"/>
        <v>-3.5060166085098179</v>
      </c>
      <c r="M23" s="33">
        <f t="shared" si="2"/>
        <v>-2.9400291947049162</v>
      </c>
      <c r="N23" s="33">
        <f t="shared" si="2"/>
        <v>-2.4160066982061115</v>
      </c>
      <c r="O23" s="33">
        <f t="shared" si="2"/>
        <v>-1.9281534253865567</v>
      </c>
      <c r="P23" s="33">
        <f t="shared" si="2"/>
        <v>-1.4717971659452778</v>
      </c>
      <c r="Q23" s="33">
        <f t="shared" si="2"/>
        <v>-1.0431163540125685</v>
      </c>
      <c r="R23" s="33">
        <f t="shared" si="2"/>
        <v>-0.63894533373162166</v>
      </c>
      <c r="S23" s="33">
        <f t="shared" si="2"/>
        <v>-0.25663234573036675</v>
      </c>
      <c r="T23" s="33">
        <f t="shared" si="2"/>
        <v>0.10606601717798209</v>
      </c>
      <c r="U23" s="33">
        <f t="shared" si="2"/>
        <v>0.45106457657208521</v>
      </c>
      <c r="V23" s="33">
        <f t="shared" si="2"/>
        <v>0.78001076173545481</v>
      </c>
      <c r="W23" s="33">
        <f t="shared" si="2"/>
        <v>1.0943321892307636</v>
      </c>
      <c r="X23" s="33">
        <f t="shared" si="2"/>
        <v>1.3952741088329175</v>
      </c>
      <c r="Y23" s="33">
        <f t="shared" si="2"/>
        <v>1.6839292003012423</v>
      </c>
      <c r="Z23" s="33">
        <f t="shared" si="2"/>
        <v>1.9612615226378189</v>
      </c>
      <c r="AA23" s="33">
        <f t="shared" si="2"/>
        <v>2.2281259410465748</v>
      </c>
      <c r="AB23" s="33">
        <f t="shared" si="2"/>
        <v>2.4852840191366234</v>
      </c>
      <c r="AC23" s="33">
        <f t="shared" si="2"/>
        <v>2.7334171211299729</v>
      </c>
      <c r="AD23" s="33">
        <f t="shared" si="2"/>
        <v>2.9731372919561778</v>
      </c>
      <c r="AE23" s="33">
        <f t="shared" si="2"/>
        <v>3.2049963526766008</v>
      </c>
      <c r="AF23" s="33">
        <f t="shared" si="2"/>
        <v>3.4294935513974569</v>
      </c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  <c r="AZ23" s="31"/>
      <c r="BA23" s="31"/>
      <c r="BB23" s="31"/>
      <c r="BC23" s="31"/>
      <c r="BD23" s="31"/>
      <c r="BE23" s="31"/>
      <c r="BF23" s="31"/>
      <c r="BG23" s="31"/>
      <c r="BH23" s="31"/>
      <c r="BI23" s="31"/>
      <c r="BJ23" s="31"/>
      <c r="BK23" s="31"/>
      <c r="BL23" s="31"/>
      <c r="BM23" s="31"/>
      <c r="BN23" s="31"/>
      <c r="BO23" s="31"/>
      <c r="BP23" s="31"/>
      <c r="BQ23" s="31"/>
      <c r="BR23" s="31"/>
      <c r="BS23" s="31"/>
      <c r="BT23" s="31"/>
      <c r="BU23" s="31"/>
      <c r="BV23" s="31"/>
      <c r="BW23" s="31"/>
      <c r="BX23" s="31"/>
      <c r="BY23" s="31"/>
      <c r="BZ23" s="31"/>
      <c r="CA23" s="31"/>
      <c r="CB23" s="31"/>
      <c r="CC23" s="31"/>
      <c r="CD23" s="31"/>
      <c r="CE23" s="31"/>
      <c r="CF23" s="31"/>
      <c r="CG23" s="31"/>
      <c r="CH23" s="31"/>
      <c r="CI23" s="31"/>
      <c r="CJ23" s="31"/>
      <c r="CK23" s="31"/>
      <c r="CL23" s="31"/>
      <c r="CM23" s="31"/>
      <c r="CN23" s="31"/>
      <c r="CO23" s="31"/>
      <c r="CP23" s="31"/>
      <c r="CQ23" s="31"/>
      <c r="CR23" s="31"/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/>
      <c r="DD23" s="31"/>
      <c r="DE23" s="31"/>
      <c r="DF23" s="31"/>
      <c r="DG23" s="31"/>
      <c r="DH23" s="31"/>
      <c r="DI23" s="31"/>
      <c r="DJ23" s="31"/>
      <c r="DK23" s="31"/>
      <c r="DL23" s="31"/>
    </row>
    <row r="24" spans="1:187" ht="15.75" x14ac:dyDescent="0.25">
      <c r="A24" s="32" t="s">
        <v>18</v>
      </c>
      <c r="B24" s="33">
        <f>IF($B$7=1,MAX(0,B21-$B$2),MAX(0,$B$2-B21))</f>
        <v>0</v>
      </c>
      <c r="C24" s="33">
        <f t="shared" ref="C24:AF24" si="3">IF($B$7=1,MAX(0,C21-$B$2),MAX(0,$B$2-C21))</f>
        <v>0</v>
      </c>
      <c r="D24" s="33">
        <f t="shared" si="3"/>
        <v>0</v>
      </c>
      <c r="E24" s="33">
        <f t="shared" si="3"/>
        <v>0</v>
      </c>
      <c r="F24" s="33">
        <f t="shared" si="3"/>
        <v>0</v>
      </c>
      <c r="G24" s="33">
        <f t="shared" si="3"/>
        <v>0</v>
      </c>
      <c r="H24" s="33">
        <f t="shared" si="3"/>
        <v>0</v>
      </c>
      <c r="I24" s="33">
        <f t="shared" si="3"/>
        <v>0</v>
      </c>
      <c r="J24" s="33">
        <f t="shared" si="3"/>
        <v>0</v>
      </c>
      <c r="K24" s="33">
        <f t="shared" si="3"/>
        <v>0</v>
      </c>
      <c r="L24" s="33">
        <f t="shared" si="3"/>
        <v>0</v>
      </c>
      <c r="M24" s="33">
        <f t="shared" si="3"/>
        <v>0</v>
      </c>
      <c r="N24" s="33">
        <f t="shared" si="3"/>
        <v>0</v>
      </c>
      <c r="O24" s="33">
        <f t="shared" si="3"/>
        <v>0</v>
      </c>
      <c r="P24" s="33">
        <f t="shared" si="3"/>
        <v>0</v>
      </c>
      <c r="Q24" s="33">
        <f t="shared" si="3"/>
        <v>0</v>
      </c>
      <c r="R24" s="33">
        <f t="shared" si="3"/>
        <v>0</v>
      </c>
      <c r="S24" s="33">
        <f t="shared" si="3"/>
        <v>0</v>
      </c>
      <c r="T24" s="33">
        <f t="shared" si="3"/>
        <v>0</v>
      </c>
      <c r="U24" s="33">
        <f t="shared" si="3"/>
        <v>5</v>
      </c>
      <c r="V24" s="33">
        <f t="shared" si="3"/>
        <v>10</v>
      </c>
      <c r="W24" s="33">
        <f t="shared" si="3"/>
        <v>15</v>
      </c>
      <c r="X24" s="33">
        <f t="shared" si="3"/>
        <v>20</v>
      </c>
      <c r="Y24" s="33">
        <f t="shared" si="3"/>
        <v>25</v>
      </c>
      <c r="Z24" s="33">
        <f t="shared" si="3"/>
        <v>30</v>
      </c>
      <c r="AA24" s="33">
        <f t="shared" si="3"/>
        <v>35</v>
      </c>
      <c r="AB24" s="33">
        <f t="shared" si="3"/>
        <v>40</v>
      </c>
      <c r="AC24" s="33">
        <f t="shared" si="3"/>
        <v>45</v>
      </c>
      <c r="AD24" s="33">
        <f t="shared" si="3"/>
        <v>50</v>
      </c>
      <c r="AE24" s="33">
        <f t="shared" si="3"/>
        <v>55</v>
      </c>
      <c r="AF24" s="33">
        <f t="shared" si="3"/>
        <v>60</v>
      </c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  <c r="BE24" s="31"/>
      <c r="BF24" s="31"/>
      <c r="BG24" s="31"/>
      <c r="BH24" s="31"/>
      <c r="BI24" s="31"/>
      <c r="BJ24" s="31"/>
      <c r="BK24" s="31"/>
      <c r="BL24" s="31"/>
      <c r="BM24" s="31"/>
      <c r="BN24" s="31"/>
      <c r="BO24" s="31"/>
      <c r="BP24" s="31"/>
      <c r="BQ24" s="31"/>
      <c r="BR24" s="31"/>
      <c r="BS24" s="31"/>
      <c r="BT24" s="31"/>
      <c r="BU24" s="31"/>
      <c r="BV24" s="31"/>
      <c r="BW24" s="31"/>
      <c r="BX24" s="31"/>
      <c r="BY24" s="31"/>
      <c r="BZ24" s="31"/>
      <c r="CA24" s="31"/>
      <c r="CB24" s="31"/>
      <c r="CC24" s="31"/>
      <c r="CD24" s="31"/>
      <c r="CE24" s="31"/>
      <c r="CF24" s="31"/>
      <c r="CG24" s="31"/>
      <c r="CH24" s="31"/>
      <c r="CI24" s="31"/>
      <c r="CJ24" s="31"/>
      <c r="CK24" s="31"/>
      <c r="CL24" s="31"/>
      <c r="CM24" s="31"/>
      <c r="CN24" s="31"/>
      <c r="CO24" s="31"/>
      <c r="CP24" s="31"/>
      <c r="CQ24" s="31"/>
      <c r="CR24" s="31"/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/>
      <c r="DD24" s="31"/>
      <c r="DE24" s="31"/>
      <c r="DF24" s="31"/>
      <c r="DG24" s="31"/>
      <c r="DH24" s="31"/>
      <c r="DI24" s="31"/>
      <c r="DJ24" s="31"/>
      <c r="DK24" s="31"/>
      <c r="DL24" s="31"/>
    </row>
    <row r="25" spans="1:187" ht="15.75" x14ac:dyDescent="0.25">
      <c r="A25" s="32" t="s">
        <v>19</v>
      </c>
      <c r="B25" s="33">
        <f t="shared" ref="B25:AF25" si="4">IF($B$7=1, (B21*EXP(-$B$6*$B$5)*_xlfn.NORM.S.DIST(B22,TRUE))-($B$2*EXP(-$B$4*$B$5)*_xlfn.NORM.S.DIST(B23,TRUE)),( $B$2*EXP(-$B$4*$B$5)*_xlfn.NORM.S.DIST(-B23,TRUE))-(B21*EXP(-$B$6*$B$5)*_xlfn.NORM.S.DIST(-B22,TRUE)))</f>
        <v>0</v>
      </c>
      <c r="C25" s="33">
        <f t="shared" si="4"/>
        <v>3.1961654693296391E-59</v>
      </c>
      <c r="D25" s="33">
        <f t="shared" si="4"/>
        <v>1.0710832045041358E-29</v>
      </c>
      <c r="E25" s="33">
        <f t="shared" si="4"/>
        <v>2.2051775732222079E-22</v>
      </c>
      <c r="F25" s="33">
        <f t="shared" si="4"/>
        <v>3.4053217960258572E-17</v>
      </c>
      <c r="G25" s="33">
        <f t="shared" si="4"/>
        <v>2.3459725879803825E-13</v>
      </c>
      <c r="H25" s="33">
        <f t="shared" si="4"/>
        <v>1.9570241472505732E-10</v>
      </c>
      <c r="I25" s="33">
        <f t="shared" si="4"/>
        <v>3.6327820859508355E-8</v>
      </c>
      <c r="J25" s="33">
        <f t="shared" si="4"/>
        <v>2.2265885075444973E-6</v>
      </c>
      <c r="K25" s="33">
        <f t="shared" si="4"/>
        <v>5.8944096398682233E-5</v>
      </c>
      <c r="L25" s="33">
        <f t="shared" si="4"/>
        <v>8.1499914904761828E-4</v>
      </c>
      <c r="M25" s="33">
        <f t="shared" si="4"/>
        <v>6.7618935745459852E-3</v>
      </c>
      <c r="N25" s="33">
        <f t="shared" si="4"/>
        <v>3.7361496892839963E-2</v>
      </c>
      <c r="O25" s="33">
        <f t="shared" si="4"/>
        <v>0.14893868979524516</v>
      </c>
      <c r="P25" s="33">
        <f t="shared" si="4"/>
        <v>0.45615479066424847</v>
      </c>
      <c r="Q25" s="33">
        <f t="shared" si="4"/>
        <v>1.1286008039310769</v>
      </c>
      <c r="R25" s="33">
        <f t="shared" si="4"/>
        <v>2.3494282954139933</v>
      </c>
      <c r="S25" s="33">
        <f t="shared" si="4"/>
        <v>4.2545406481204964</v>
      </c>
      <c r="T25" s="33">
        <f t="shared" si="4"/>
        <v>6.8887285776806237</v>
      </c>
      <c r="U25" s="33">
        <f t="shared" si="4"/>
        <v>10.201257670827346</v>
      </c>
      <c r="V25" s="33">
        <f t="shared" si="4"/>
        <v>14.075384036381706</v>
      </c>
      <c r="W25" s="33">
        <f t="shared" si="4"/>
        <v>18.369819849852931</v>
      </c>
      <c r="X25" s="33">
        <f t="shared" si="4"/>
        <v>22.952452747025788</v>
      </c>
      <c r="Y25" s="33">
        <f t="shared" si="4"/>
        <v>27.718201751796897</v>
      </c>
      <c r="Z25" s="33">
        <f t="shared" si="4"/>
        <v>32.592819263522102</v>
      </c>
      <c r="AA25" s="33">
        <f t="shared" si="4"/>
        <v>37.528508750101608</v>
      </c>
      <c r="AB25" s="33">
        <f t="shared" si="4"/>
        <v>42.496757292872829</v>
      </c>
      <c r="AC25" s="33">
        <f t="shared" si="4"/>
        <v>47.481605473049257</v>
      </c>
      <c r="AD25" s="33">
        <f t="shared" si="4"/>
        <v>52.474590853546488</v>
      </c>
      <c r="AE25" s="33">
        <f t="shared" si="4"/>
        <v>57.471429714948073</v>
      </c>
      <c r="AF25" s="33">
        <f t="shared" si="4"/>
        <v>62.470038804814067</v>
      </c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  <c r="BE25" s="31"/>
      <c r="BF25" s="31"/>
      <c r="BG25" s="31"/>
      <c r="BH25" s="31"/>
      <c r="BI25" s="31"/>
      <c r="BJ25" s="31"/>
      <c r="BK25" s="31"/>
      <c r="BL25" s="31"/>
      <c r="BM25" s="31"/>
      <c r="BN25" s="31"/>
      <c r="BO25" s="31"/>
      <c r="BP25" s="31"/>
      <c r="BQ25" s="31"/>
      <c r="BR25" s="31"/>
      <c r="BS25" s="31"/>
      <c r="BT25" s="31"/>
      <c r="BU25" s="31"/>
      <c r="BV25" s="31"/>
      <c r="BW25" s="31"/>
      <c r="BX25" s="31"/>
      <c r="BY25" s="31"/>
      <c r="BZ25" s="31"/>
      <c r="CA25" s="31"/>
      <c r="CB25" s="31"/>
      <c r="CC25" s="31"/>
      <c r="CD25" s="31"/>
      <c r="CE25" s="31"/>
      <c r="CF25" s="31"/>
      <c r="CG25" s="31"/>
      <c r="CH25" s="31"/>
      <c r="CI25" s="31"/>
      <c r="CJ25" s="31"/>
      <c r="CK25" s="31"/>
      <c r="CL25" s="31"/>
      <c r="CM25" s="31"/>
      <c r="CN25" s="31"/>
      <c r="CO25" s="31"/>
      <c r="CP25" s="31"/>
      <c r="CQ25" s="31"/>
      <c r="CR25" s="31"/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/>
      <c r="DD25" s="31"/>
      <c r="DE25" s="31"/>
      <c r="DF25" s="31"/>
      <c r="DG25" s="31"/>
      <c r="DH25" s="31"/>
      <c r="DI25" s="31"/>
      <c r="DJ25" s="31"/>
      <c r="DK25" s="31"/>
      <c r="DL25" s="31"/>
    </row>
    <row r="26" spans="1:187" ht="15.75" thickBot="1" x14ac:dyDescent="0.3">
      <c r="B26" s="31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</row>
    <row r="27" spans="1:187" ht="16.5" thickBot="1" x14ac:dyDescent="0.3">
      <c r="A27" s="34" t="s">
        <v>20</v>
      </c>
      <c r="B27" s="35">
        <f>B1*EXP(-B6*B5)*_xlfn.NORM.S.DIST(B8,TRUE)-B2*EXP(-B4*B5)*_xlfn.NORM.S.DIST(B9,TRUE)</f>
        <v>22.952452747025788</v>
      </c>
    </row>
    <row r="28" spans="1:187" ht="16.5" thickBot="1" x14ac:dyDescent="0.3">
      <c r="A28" s="34" t="s">
        <v>21</v>
      </c>
      <c r="B28" s="35">
        <f>B2*EXP(-B4*B5)*_xlfn.NORM.S.DIST(-B9,TRUE)-B1*EXP(-B6*B5)*_xlfn.NORM.S.DIST(-B8,TRUE)</f>
        <v>0.48344394985904593</v>
      </c>
    </row>
    <row r="29" spans="1:187" ht="15.75" thickBot="1" x14ac:dyDescent="0.3"/>
    <row r="30" spans="1:187" ht="16.5" thickBot="1" x14ac:dyDescent="0.3">
      <c r="A30" s="36" t="s">
        <v>22</v>
      </c>
    </row>
    <row r="31" spans="1:187" ht="15.75" x14ac:dyDescent="0.25">
      <c r="A31" s="32" t="str">
        <f>A21</f>
        <v>Stock Price</v>
      </c>
      <c r="B31" s="33">
        <f>B21</f>
        <v>0.01</v>
      </c>
      <c r="C31" s="33">
        <f t="shared" ref="C31:AF31" si="5">C21</f>
        <v>10</v>
      </c>
      <c r="D31" s="33">
        <f t="shared" si="5"/>
        <v>20</v>
      </c>
      <c r="E31" s="33">
        <f t="shared" si="5"/>
        <v>25</v>
      </c>
      <c r="F31" s="33">
        <f t="shared" si="5"/>
        <v>30</v>
      </c>
      <c r="G31" s="33">
        <f t="shared" si="5"/>
        <v>35</v>
      </c>
      <c r="H31" s="33">
        <f t="shared" si="5"/>
        <v>40</v>
      </c>
      <c r="I31" s="33">
        <f t="shared" si="5"/>
        <v>45</v>
      </c>
      <c r="J31" s="33">
        <f t="shared" si="5"/>
        <v>50</v>
      </c>
      <c r="K31" s="33">
        <f t="shared" si="5"/>
        <v>55</v>
      </c>
      <c r="L31" s="33">
        <f t="shared" si="5"/>
        <v>60</v>
      </c>
      <c r="M31" s="33">
        <f t="shared" si="5"/>
        <v>65</v>
      </c>
      <c r="N31" s="33">
        <f t="shared" si="5"/>
        <v>70</v>
      </c>
      <c r="O31" s="33">
        <f t="shared" si="5"/>
        <v>75</v>
      </c>
      <c r="P31" s="33">
        <f t="shared" si="5"/>
        <v>80</v>
      </c>
      <c r="Q31" s="33">
        <f t="shared" si="5"/>
        <v>85</v>
      </c>
      <c r="R31" s="33">
        <f t="shared" si="5"/>
        <v>90</v>
      </c>
      <c r="S31" s="33">
        <f t="shared" si="5"/>
        <v>95</v>
      </c>
      <c r="T31" s="33">
        <f t="shared" si="5"/>
        <v>100</v>
      </c>
      <c r="U31" s="33">
        <f t="shared" si="5"/>
        <v>105</v>
      </c>
      <c r="V31" s="33">
        <f t="shared" si="5"/>
        <v>110</v>
      </c>
      <c r="W31" s="33">
        <f t="shared" si="5"/>
        <v>115</v>
      </c>
      <c r="X31" s="33">
        <f t="shared" si="5"/>
        <v>120</v>
      </c>
      <c r="Y31" s="33">
        <f t="shared" si="5"/>
        <v>125</v>
      </c>
      <c r="Z31" s="33">
        <f t="shared" si="5"/>
        <v>130</v>
      </c>
      <c r="AA31" s="33">
        <f t="shared" si="5"/>
        <v>135</v>
      </c>
      <c r="AB31" s="33">
        <f t="shared" si="5"/>
        <v>140</v>
      </c>
      <c r="AC31" s="33">
        <f t="shared" si="5"/>
        <v>145</v>
      </c>
      <c r="AD31" s="33">
        <f t="shared" si="5"/>
        <v>150</v>
      </c>
      <c r="AE31" s="33">
        <f t="shared" si="5"/>
        <v>155</v>
      </c>
      <c r="AF31" s="33">
        <f t="shared" si="5"/>
        <v>160</v>
      </c>
    </row>
    <row r="32" spans="1:187" ht="15.75" x14ac:dyDescent="0.25">
      <c r="A32" s="32" t="s">
        <v>23</v>
      </c>
      <c r="B32" s="33">
        <f t="shared" ref="B32:AF32" si="6">IF($B$7=1,EXP(-$B$6*$B$5)*_xlfn.NORM.S.DIST(B22,TRUE),EXP(-$B$6*$B$5)*(_xlfn.NORM.S.DIST(B22,TRUE)-1))</f>
        <v>0</v>
      </c>
      <c r="C32" s="33">
        <f t="shared" si="6"/>
        <v>3.6835008353755261E-58</v>
      </c>
      <c r="D32" s="33">
        <f t="shared" si="6"/>
        <v>4.3355097841224667E-29</v>
      </c>
      <c r="E32" s="33">
        <f t="shared" si="6"/>
        <v>6.1735854110025138E-22</v>
      </c>
      <c r="F32" s="33">
        <f t="shared" si="6"/>
        <v>6.9330523783462729E-17</v>
      </c>
      <c r="G32" s="33">
        <f t="shared" si="6"/>
        <v>3.5922810115787261E-13</v>
      </c>
      <c r="H32" s="33">
        <f t="shared" si="6"/>
        <v>2.3074952853311497E-10</v>
      </c>
      <c r="I32" s="33">
        <f t="shared" si="6"/>
        <v>3.3541308561946533E-8</v>
      </c>
      <c r="J32" s="33">
        <f t="shared" si="6"/>
        <v>1.6293380699453846E-6</v>
      </c>
      <c r="K32" s="33">
        <f t="shared" si="6"/>
        <v>3.4478135559654001E-5</v>
      </c>
      <c r="L32" s="33">
        <f t="shared" si="6"/>
        <v>3.8328009710727166E-4</v>
      </c>
      <c r="M32" s="33">
        <f t="shared" si="6"/>
        <v>2.5661714194608705E-3</v>
      </c>
      <c r="N32" s="33">
        <f t="shared" si="6"/>
        <v>1.14654081225744E-2</v>
      </c>
      <c r="O32" s="33">
        <f t="shared" si="6"/>
        <v>3.6990401643669207E-2</v>
      </c>
      <c r="P32" s="33">
        <f t="shared" si="6"/>
        <v>9.1697240337172983E-2</v>
      </c>
      <c r="Q32" s="33">
        <f t="shared" si="6"/>
        <v>0.18360945549140997</v>
      </c>
      <c r="R32" s="33">
        <f>IF($B$7=1,EXP(-$B$6*$B$5)*_xlfn.NORM.S.DIST(R22,TRUE),EXP(-$B$6*$B$5)*(_xlfn.NORM.S.DIST(R22,TRUE)-1))</f>
        <v>0.30940979933035828</v>
      </c>
      <c r="S32" s="33">
        <f t="shared" si="6"/>
        <v>0.45413894416307565</v>
      </c>
      <c r="T32" s="33">
        <f t="shared" si="6"/>
        <v>0.59773446890843829</v>
      </c>
      <c r="U32" s="33">
        <f t="shared" si="6"/>
        <v>0.72323738106506208</v>
      </c>
      <c r="V32" s="33">
        <f t="shared" si="6"/>
        <v>0.82158756666553578</v>
      </c>
      <c r="W32" s="33">
        <f t="shared" si="6"/>
        <v>0.89172490629390699</v>
      </c>
      <c r="X32" s="33">
        <f t="shared" si="6"/>
        <v>0.937816048914623</v>
      </c>
      <c r="Y32" s="33">
        <f t="shared" si="6"/>
        <v>0.96602592726214731</v>
      </c>
      <c r="Z32" s="33">
        <f t="shared" si="6"/>
        <v>0.98225325016394482</v>
      </c>
      <c r="AA32" s="33">
        <f t="shared" si="6"/>
        <v>0.99109506150217808</v>
      </c>
      <c r="AB32" s="33">
        <f t="shared" si="6"/>
        <v>0.99568920263473215</v>
      </c>
      <c r="AC32" s="33">
        <f t="shared" si="6"/>
        <v>0.99797882882883082</v>
      </c>
      <c r="AD32" s="33">
        <f t="shared" si="6"/>
        <v>0.9990788983522032</v>
      </c>
      <c r="AE32" s="33">
        <f t="shared" si="6"/>
        <v>0.99959068512989513</v>
      </c>
      <c r="AF32" s="33">
        <f t="shared" si="6"/>
        <v>0.99982213176996426</v>
      </c>
    </row>
    <row r="33" spans="1:43" ht="15.75" x14ac:dyDescent="0.25">
      <c r="A33" s="32" t="s">
        <v>24</v>
      </c>
      <c r="B33" s="33">
        <f>EXP(-$B$6*$B$5)*_xlfn.NORM.S.DIST(B22,FALSE)/(B21*$B$3*SQRT($B$5))</f>
        <v>0</v>
      </c>
      <c r="C33" s="33">
        <f t="shared" ref="C33:AF33" si="7">EXP(-$B$6*$B$5)*_xlfn.NORM.S.DIST(C22,FALSE)/(C21*$B$3*SQRT($B$5))</f>
        <v>4.1924459726087587E-57</v>
      </c>
      <c r="D33" s="33">
        <f t="shared" si="7"/>
        <v>1.7200524714938649E-28</v>
      </c>
      <c r="E33" s="33">
        <f t="shared" si="7"/>
        <v>1.6863608056373069E-21</v>
      </c>
      <c r="F33" s="33">
        <f t="shared" si="7"/>
        <v>1.3699875393187581E-16</v>
      </c>
      <c r="G33" s="33">
        <f t="shared" si="7"/>
        <v>5.3054389303900666E-13</v>
      </c>
      <c r="H33" s="33">
        <f t="shared" si="7"/>
        <v>2.604421540490966E-10</v>
      </c>
      <c r="I33" s="33">
        <f t="shared" si="7"/>
        <v>2.9373011075127804E-8</v>
      </c>
      <c r="J33" s="33">
        <f t="shared" si="7"/>
        <v>1.1180853797073049E-6</v>
      </c>
      <c r="K33" s="33">
        <f t="shared" si="7"/>
        <v>1.8645654322719618E-5</v>
      </c>
      <c r="L33" s="33">
        <f t="shared" si="7"/>
        <v>1.6369228583025595E-4</v>
      </c>
      <c r="M33" s="33">
        <f t="shared" si="7"/>
        <v>8.6444989130500429E-4</v>
      </c>
      <c r="N33" s="33">
        <f t="shared" si="7"/>
        <v>3.0327317090049957E-3</v>
      </c>
      <c r="O33" s="33">
        <f t="shared" si="7"/>
        <v>7.6227286144890261E-3</v>
      </c>
      <c r="P33" s="33">
        <f t="shared" si="7"/>
        <v>1.4553794009449532E-2</v>
      </c>
      <c r="Q33" s="33">
        <f t="shared" si="7"/>
        <v>2.2101601180261467E-2</v>
      </c>
      <c r="R33" s="33">
        <f t="shared" si="7"/>
        <v>2.7695045214487474E-2</v>
      </c>
      <c r="S33" s="33">
        <f t="shared" si="7"/>
        <v>2.9497767155615372E-2</v>
      </c>
      <c r="T33" s="33">
        <f t="shared" si="7"/>
        <v>2.7358658565220986E-2</v>
      </c>
      <c r="U33" s="33">
        <f t="shared" si="7"/>
        <v>2.254127578734361E-2</v>
      </c>
      <c r="V33" s="33">
        <f t="shared" si="7"/>
        <v>1.6773987253794732E-2</v>
      </c>
      <c r="W33" s="33">
        <f t="shared" si="7"/>
        <v>1.1431271426787E-2</v>
      </c>
      <c r="X33" s="33">
        <f t="shared" si="7"/>
        <v>7.2183040524206911E-3</v>
      </c>
      <c r="Y33" s="33">
        <f t="shared" si="7"/>
        <v>4.2655118440082136E-3</v>
      </c>
      <c r="Z33" s="33">
        <f t="shared" si="7"/>
        <v>2.3789427195030884E-3</v>
      </c>
      <c r="AA33" s="33">
        <f t="shared" si="7"/>
        <v>1.2613420498060698E-3</v>
      </c>
      <c r="AB33" s="33">
        <f t="shared" si="7"/>
        <v>6.3979674524317976E-4</v>
      </c>
      <c r="AC33" s="33">
        <f t="shared" si="7"/>
        <v>3.1215555883843055E-4</v>
      </c>
      <c r="AD33" s="33">
        <f>EXP(-$B$6*$B$5)*_xlfn.NORM.S.DIST(AD22,FALSE)/(AD21*$B$3*SQRT($B$5))</f>
        <v>1.4718796550302688E-4</v>
      </c>
      <c r="AE33" s="33">
        <f t="shared" si="7"/>
        <v>6.7349984269179678E-5</v>
      </c>
      <c r="AF33" s="33">
        <f t="shared" si="7"/>
        <v>3.0014874440071924E-5</v>
      </c>
    </row>
    <row r="36" spans="1:43" x14ac:dyDescent="0.25">
      <c r="B36" s="37" t="str">
        <f>A21</f>
        <v>Stock Price</v>
      </c>
      <c r="C36" s="38">
        <v>90</v>
      </c>
      <c r="D36" s="39">
        <f>C36+0.5</f>
        <v>90.5</v>
      </c>
      <c r="E36" s="39">
        <f t="shared" ref="E36:AQ36" si="8">D36+0.5</f>
        <v>91</v>
      </c>
      <c r="F36" s="39">
        <f t="shared" si="8"/>
        <v>91.5</v>
      </c>
      <c r="G36" s="39">
        <f t="shared" si="8"/>
        <v>92</v>
      </c>
      <c r="H36" s="39">
        <f t="shared" si="8"/>
        <v>92.5</v>
      </c>
      <c r="I36" s="39">
        <f t="shared" si="8"/>
        <v>93</v>
      </c>
      <c r="J36" s="39">
        <f t="shared" si="8"/>
        <v>93.5</v>
      </c>
      <c r="K36" s="39">
        <f t="shared" si="8"/>
        <v>94</v>
      </c>
      <c r="L36" s="39">
        <f t="shared" si="8"/>
        <v>94.5</v>
      </c>
      <c r="M36" s="39">
        <f t="shared" si="8"/>
        <v>95</v>
      </c>
      <c r="N36" s="39">
        <f t="shared" si="8"/>
        <v>95.5</v>
      </c>
      <c r="O36" s="39">
        <f t="shared" si="8"/>
        <v>96</v>
      </c>
      <c r="P36" s="39">
        <f t="shared" si="8"/>
        <v>96.5</v>
      </c>
      <c r="Q36" s="39">
        <f t="shared" si="8"/>
        <v>97</v>
      </c>
      <c r="R36" s="39">
        <f t="shared" si="8"/>
        <v>97.5</v>
      </c>
      <c r="S36" s="39">
        <f t="shared" si="8"/>
        <v>98</v>
      </c>
      <c r="T36" s="39">
        <f t="shared" si="8"/>
        <v>98.5</v>
      </c>
      <c r="U36" s="39">
        <f t="shared" si="8"/>
        <v>99</v>
      </c>
      <c r="V36" s="39">
        <f t="shared" si="8"/>
        <v>99.5</v>
      </c>
      <c r="W36" s="39">
        <f t="shared" si="8"/>
        <v>100</v>
      </c>
      <c r="X36" s="39">
        <f t="shared" si="8"/>
        <v>100.5</v>
      </c>
      <c r="Y36" s="39">
        <f t="shared" si="8"/>
        <v>101</v>
      </c>
      <c r="Z36" s="39">
        <f t="shared" si="8"/>
        <v>101.5</v>
      </c>
      <c r="AA36" s="39">
        <f t="shared" si="8"/>
        <v>102</v>
      </c>
      <c r="AB36" s="39">
        <f t="shared" si="8"/>
        <v>102.5</v>
      </c>
      <c r="AC36" s="39">
        <f t="shared" si="8"/>
        <v>103</v>
      </c>
      <c r="AD36" s="39">
        <f t="shared" si="8"/>
        <v>103.5</v>
      </c>
      <c r="AE36" s="39">
        <f t="shared" si="8"/>
        <v>104</v>
      </c>
      <c r="AF36" s="39">
        <f t="shared" si="8"/>
        <v>104.5</v>
      </c>
      <c r="AG36" s="39">
        <f t="shared" si="8"/>
        <v>105</v>
      </c>
      <c r="AH36" s="39">
        <f t="shared" si="8"/>
        <v>105.5</v>
      </c>
      <c r="AI36" s="39">
        <f t="shared" si="8"/>
        <v>106</v>
      </c>
      <c r="AJ36" s="39">
        <f t="shared" si="8"/>
        <v>106.5</v>
      </c>
      <c r="AK36" s="39">
        <f t="shared" si="8"/>
        <v>107</v>
      </c>
      <c r="AL36" s="39">
        <f t="shared" si="8"/>
        <v>107.5</v>
      </c>
      <c r="AM36" s="39">
        <f t="shared" si="8"/>
        <v>108</v>
      </c>
      <c r="AN36" s="39">
        <f t="shared" si="8"/>
        <v>108.5</v>
      </c>
      <c r="AO36" s="39">
        <f t="shared" si="8"/>
        <v>109</v>
      </c>
      <c r="AP36" s="39">
        <f t="shared" si="8"/>
        <v>109.5</v>
      </c>
      <c r="AQ36" s="40">
        <f t="shared" si="8"/>
        <v>110</v>
      </c>
    </row>
    <row r="37" spans="1:43" x14ac:dyDescent="0.25">
      <c r="A37" s="49" t="s">
        <v>25</v>
      </c>
      <c r="B37" s="41" t="s">
        <v>26</v>
      </c>
      <c r="C37" s="42">
        <v>0.18495464101214598</v>
      </c>
      <c r="D37" s="42">
        <v>0.199191848627497</v>
      </c>
      <c r="E37" s="42">
        <v>0.21398452572238402</v>
      </c>
      <c r="F37" s="42">
        <v>0.2293098289406231</v>
      </c>
      <c r="G37" s="42">
        <v>0.24514168521565199</v>
      </c>
      <c r="H37" s="42">
        <v>0.2614509653534377</v>
      </c>
      <c r="I37" s="42">
        <v>0.27820568934814494</v>
      </c>
      <c r="J37" s="42">
        <v>0.29537126047404821</v>
      </c>
      <c r="K37" s="42">
        <v>0.31291072480825771</v>
      </c>
      <c r="L37" s="42">
        <v>0.33078505252081292</v>
      </c>
      <c r="M37" s="42">
        <v>0.34895343702539922</v>
      </c>
      <c r="N37" s="42">
        <v>0.3673736079174198</v>
      </c>
      <c r="O37" s="42">
        <v>0.38600215353649076</v>
      </c>
      <c r="P37" s="42">
        <v>0.40479484897610091</v>
      </c>
      <c r="Q37" s="42">
        <v>0.42370698542098428</v>
      </c>
      <c r="R37" s="42">
        <v>0.44269369681811727</v>
      </c>
      <c r="S37" s="42">
        <v>0.46171028007436021</v>
      </c>
      <c r="T37" s="42">
        <v>0.48071250521581788</v>
      </c>
      <c r="U37" s="42">
        <v>0.49965691223341396</v>
      </c>
      <c r="V37" s="42">
        <v>0.51850109166786462</v>
      </c>
      <c r="W37" s="42">
        <v>0.53720394634677104</v>
      </c>
      <c r="X37" s="42">
        <v>0.55572593206843701</v>
      </c>
      <c r="Y37" s="42">
        <v>0.57402927542286675</v>
      </c>
      <c r="Z37" s="42">
        <v>0.59207816734210916</v>
      </c>
      <c r="AA37" s="42">
        <v>0.60983893137210943</v>
      </c>
      <c r="AB37" s="42">
        <v>0.62728016604937031</v>
      </c>
      <c r="AC37" s="42">
        <v>0.64437286114185155</v>
      </c>
      <c r="AD37" s="42">
        <v>0.66109048786889246</v>
      </c>
      <c r="AE37" s="42">
        <v>0.67740906354506691</v>
      </c>
      <c r="AF37" s="42">
        <v>0.69330719139370367</v>
      </c>
      <c r="AG37" s="42">
        <v>0.7087660765446101</v>
      </c>
      <c r="AH37" s="42">
        <v>0.72376951946502388</v>
      </c>
      <c r="AI37" s="42">
        <v>0.73830388827191773</v>
      </c>
      <c r="AJ37" s="42">
        <v>0.75235807153686129</v>
      </c>
      <c r="AK37" s="42">
        <v>0.76592341332207026</v>
      </c>
      <c r="AL37" s="42">
        <v>0.77899363227881613</v>
      </c>
      <c r="AM37" s="42">
        <v>0.7915647266985909</v>
      </c>
      <c r="AN37" s="42">
        <v>0.80363486743511547</v>
      </c>
      <c r="AO37" s="42">
        <v>0.81520428061390571</v>
      </c>
      <c r="AP37" s="42">
        <v>0.82627512201814257</v>
      </c>
      <c r="AQ37" s="43">
        <v>0.8368513449880195</v>
      </c>
    </row>
    <row r="38" spans="1:43" x14ac:dyDescent="0.25">
      <c r="A38" s="50"/>
      <c r="B38" s="44" t="s">
        <v>27</v>
      </c>
      <c r="C38" s="31">
        <v>9.0878782657201868E-2</v>
      </c>
      <c r="D38" s="31">
        <v>0.10355662346564019</v>
      </c>
      <c r="E38" s="31">
        <v>0.11739050993329098</v>
      </c>
      <c r="F38" s="31">
        <v>0.1323976854214225</v>
      </c>
      <c r="G38" s="31">
        <v>0.14858407732570367</v>
      </c>
      <c r="H38" s="31">
        <v>0.16594357590723555</v>
      </c>
      <c r="I38" s="31">
        <v>0.18445753324010208</v>
      </c>
      <c r="J38" s="31">
        <v>0.20409450246755523</v>
      </c>
      <c r="K38" s="31">
        <v>0.22481023057361271</v>
      </c>
      <c r="L38" s="31">
        <v>0.24654791034449899</v>
      </c>
      <c r="M38" s="31">
        <v>0.26923868942028345</v>
      </c>
      <c r="N38" s="31">
        <v>0.2928024266343896</v>
      </c>
      <c r="O38" s="31">
        <v>0.31714867851231526</v>
      </c>
      <c r="P38" s="31">
        <v>0.34217789213310679</v>
      </c>
      <c r="Q38" s="31">
        <v>0.36778277479396498</v>
      </c>
      <c r="R38" s="31">
        <v>0.39384980625936139</v>
      </c>
      <c r="S38" s="31">
        <v>0.42026085596636598</v>
      </c>
      <c r="T38" s="31">
        <v>0.44689486548391227</v>
      </c>
      <c r="U38" s="31">
        <v>0.47362955581179317</v>
      </c>
      <c r="V38" s="31">
        <v>0.50034311972359291</v>
      </c>
      <c r="W38" s="31">
        <v>0.52691586122152112</v>
      </c>
      <c r="X38" s="31">
        <v>0.55323174714908074</v>
      </c>
      <c r="Y38" s="31">
        <v>0.57917983993131805</v>
      </c>
      <c r="Z38" s="31">
        <v>0.60465558508655726</v>
      </c>
      <c r="AA38" s="31">
        <v>0.62956193236612834</v>
      </c>
      <c r="AB38" s="31">
        <v>0.65381027491160948</v>
      </c>
      <c r="AC38" s="31">
        <v>0.67732119645888245</v>
      </c>
      <c r="AD38" s="31">
        <v>0.70002502216357099</v>
      </c>
      <c r="AE38" s="31">
        <v>0.7218621738928036</v>
      </c>
      <c r="AF38" s="31">
        <v>0.74278333566882493</v>
      </c>
      <c r="AG38" s="31">
        <v>0.76274943923652172</v>
      </c>
      <c r="AH38" s="31">
        <v>0.78173148336690146</v>
      </c>
      <c r="AI38" s="31">
        <v>0.79971020344275134</v>
      </c>
      <c r="AJ38" s="31">
        <v>0.81667561007314893</v>
      </c>
      <c r="AK38" s="31">
        <v>0.83262641695214457</v>
      </c>
      <c r="AL38" s="31">
        <v>0.84756937894139817</v>
      </c>
      <c r="AM38" s="31">
        <v>0.86151856146684302</v>
      </c>
      <c r="AN38" s="31">
        <v>0.87449456184264562</v>
      </c>
      <c r="AO38" s="31">
        <v>0.88652370215204701</v>
      </c>
      <c r="AP38" s="31">
        <v>0.89763721191197665</v>
      </c>
      <c r="AQ38" s="45">
        <v>0.90787041701858739</v>
      </c>
    </row>
    <row r="39" spans="1:43" x14ac:dyDescent="0.25">
      <c r="A39" s="50"/>
      <c r="B39" s="44" t="s">
        <v>28</v>
      </c>
      <c r="C39" s="31">
        <v>8.364573619611038E-3</v>
      </c>
      <c r="D39" s="31">
        <v>1.176629680622049E-2</v>
      </c>
      <c r="E39" s="31">
        <v>1.6280697788660637E-2</v>
      </c>
      <c r="F39" s="31">
        <v>2.2166790022161476E-2</v>
      </c>
      <c r="G39" s="31">
        <v>2.9709048666557498E-2</v>
      </c>
      <c r="H39" s="31">
        <v>3.9209461541608863E-2</v>
      </c>
      <c r="I39" s="31">
        <v>5.0976500284032215E-2</v>
      </c>
      <c r="J39" s="31">
        <v>6.5311253091845115E-2</v>
      </c>
      <c r="K39" s="31">
        <v>8.2491286879873657E-2</v>
      </c>
      <c r="L39" s="31">
        <v>0.10275312753812922</v>
      </c>
      <c r="M39" s="31">
        <v>0.12627452057934707</v>
      </c>
      <c r="N39" s="31">
        <v>0.15315781983379664</v>
      </c>
      <c r="O39" s="31">
        <v>0.18341591522912495</v>
      </c>
      <c r="P39" s="31">
        <v>0.21696203139724304</v>
      </c>
      <c r="Q39" s="31">
        <v>0.2536045035533217</v>
      </c>
      <c r="R39" s="31">
        <v>0.29304728158353655</v>
      </c>
      <c r="S39" s="31">
        <v>0.33489646125746825</v>
      </c>
      <c r="T39" s="31">
        <v>0.3786726404729544</v>
      </c>
      <c r="U39" s="31">
        <v>0.42382840345488437</v>
      </c>
      <c r="V39" s="31">
        <v>0.46976980179637978</v>
      </c>
      <c r="W39" s="31">
        <v>0.51588037547487875</v>
      </c>
      <c r="X39" s="31">
        <v>0.56154607294080738</v>
      </c>
      <c r="Y39" s="31">
        <v>0.60617940258033598</v>
      </c>
      <c r="Z39" s="31">
        <v>0.64924127461019066</v>
      </c>
      <c r="AA39" s="31">
        <v>0.69025925141810929</v>
      </c>
      <c r="AB39" s="31">
        <v>0.72884128041499441</v>
      </c>
      <c r="AC39" s="31">
        <v>0.7646843932795534</v>
      </c>
      <c r="AD39" s="31">
        <v>0.79757827362298472</v>
      </c>
      <c r="AE39" s="31">
        <v>0.82740397984478997</v>
      </c>
      <c r="AF39" s="31">
        <v>0.85412842788435217</v>
      </c>
      <c r="AG39" s="31">
        <v>0.8777954675798274</v>
      </c>
      <c r="AH39" s="31">
        <v>0.89851451668917615</v>
      </c>
      <c r="AI39" s="31">
        <v>0.91644775029558745</v>
      </c>
      <c r="AJ39" s="31">
        <v>0.93179679198194454</v>
      </c>
      <c r="AK39" s="31">
        <v>0.94478973525609222</v>
      </c>
      <c r="AL39" s="31">
        <v>0.95566916120506218</v>
      </c>
      <c r="AM39" s="31">
        <v>0.96468163366476567</v>
      </c>
      <c r="AN39" s="31">
        <v>0.97206896663334663</v>
      </c>
      <c r="AO39" s="31">
        <v>0.97806138668390086</v>
      </c>
      <c r="AP39" s="31">
        <v>0.9828725673791413</v>
      </c>
      <c r="AQ39" s="45">
        <v>0.98669639979010304</v>
      </c>
    </row>
    <row r="40" spans="1:43" x14ac:dyDescent="0.25">
      <c r="A40" s="51"/>
      <c r="B40" s="46" t="s">
        <v>29</v>
      </c>
      <c r="C40" s="47">
        <v>1.3894187448604035E-5</v>
      </c>
      <c r="D40" s="47">
        <v>3.6046805499522999E-5</v>
      </c>
      <c r="E40" s="47">
        <v>8.8810989418205716E-5</v>
      </c>
      <c r="F40" s="47">
        <v>2.0800696463284447E-4</v>
      </c>
      <c r="G40" s="47">
        <v>4.6360333720797832E-4</v>
      </c>
      <c r="H40" s="47">
        <v>9.8428700320454137E-4</v>
      </c>
      <c r="I40" s="47">
        <v>1.9927684834970356E-3</v>
      </c>
      <c r="J40" s="47">
        <v>3.8513362239535227E-3</v>
      </c>
      <c r="K40" s="47">
        <v>7.1130103225951558E-3</v>
      </c>
      <c r="L40" s="47">
        <v>1.2567865490486664E-2</v>
      </c>
      <c r="M40" s="47">
        <v>2.1268058569057065E-2</v>
      </c>
      <c r="N40" s="47">
        <v>3.451128986268788E-2</v>
      </c>
      <c r="O40" s="47">
        <v>5.3763866861881476E-2</v>
      </c>
      <c r="P40" s="47">
        <v>8.0513522583003594E-2</v>
      </c>
      <c r="Q40" s="47">
        <v>0.11605871274253121</v>
      </c>
      <c r="R40" s="47">
        <v>0.16126201203877999</v>
      </c>
      <c r="S40" s="47">
        <v>0.21631412192285907</v>
      </c>
      <c r="T40" s="47">
        <v>0.28056438755107271</v>
      </c>
      <c r="U40" s="47">
        <v>0.35246795000761172</v>
      </c>
      <c r="V40" s="47">
        <v>0.4296778046180082</v>
      </c>
      <c r="W40" s="47">
        <v>0.50927710986737762</v>
      </c>
      <c r="X40" s="47">
        <v>0.58811274334944685</v>
      </c>
      <c r="Y40" s="47">
        <v>0.66316614482796121</v>
      </c>
      <c r="Z40" s="47">
        <v>0.73188974348575409</v>
      </c>
      <c r="AA40" s="47">
        <v>0.79244860996818833</v>
      </c>
      <c r="AB40" s="47">
        <v>0.8438328719684498</v>
      </c>
      <c r="AC40" s="47">
        <v>0.88583805981736696</v>
      </c>
      <c r="AD40" s="47">
        <v>0.91893835051936479</v>
      </c>
      <c r="AE40" s="47">
        <v>0.94409473702930335</v>
      </c>
      <c r="AF40" s="47">
        <v>0.96254403039356184</v>
      </c>
      <c r="AG40" s="47">
        <v>0.97560723503806357</v>
      </c>
      <c r="AH40" s="47">
        <v>0.98454189130975633</v>
      </c>
      <c r="AI40" s="47">
        <v>0.99044770722708075</v>
      </c>
      <c r="AJ40" s="47">
        <v>0.99422228169424143</v>
      </c>
      <c r="AK40" s="47">
        <v>0.9965560115648342</v>
      </c>
      <c r="AL40" s="47">
        <v>0.99795248464281294</v>
      </c>
      <c r="AM40" s="47">
        <v>0.99876160915824108</v>
      </c>
      <c r="AN40" s="47">
        <v>0.99921575669610019</v>
      </c>
      <c r="AO40" s="47">
        <v>0.99946279940448901</v>
      </c>
      <c r="AP40" s="47">
        <v>0.99959309567212629</v>
      </c>
      <c r="AQ40" s="48">
        <v>0.99965975561746478</v>
      </c>
    </row>
    <row r="41" spans="1:43" x14ac:dyDescent="0.25">
      <c r="A41" s="49" t="s">
        <v>30</v>
      </c>
      <c r="B41" s="41" t="s">
        <v>26</v>
      </c>
      <c r="C41" s="42">
        <v>2.7905389824944782E-2</v>
      </c>
      <c r="D41" s="42">
        <v>2.9036945759512114E-2</v>
      </c>
      <c r="E41" s="42">
        <v>3.0126143513533817E-2</v>
      </c>
      <c r="F41" s="42">
        <v>3.1166372539175476E-2</v>
      </c>
      <c r="G41" s="42">
        <v>3.2151335971609692E-2</v>
      </c>
      <c r="H41" s="42">
        <v>3.3075116758536957E-2</v>
      </c>
      <c r="I41" s="42">
        <v>3.3932238310121564E-2</v>
      </c>
      <c r="J41" s="42">
        <v>3.4717718824193743E-2</v>
      </c>
      <c r="K41" s="42">
        <v>3.5427118578176861E-2</v>
      </c>
      <c r="L41" s="42">
        <v>3.6056579625453382E-2</v>
      </c>
      <c r="M41" s="42">
        <v>3.6602857485993623E-2</v>
      </c>
      <c r="N41" s="42">
        <v>3.7063344575301679E-2</v>
      </c>
      <c r="O41" s="42">
        <v>3.743608526849742E-2</v>
      </c>
      <c r="P41" s="42">
        <v>3.7719782644315747E-2</v>
      </c>
      <c r="Q41" s="42">
        <v>3.7913797093941583E-2</v>
      </c>
      <c r="R41" s="42">
        <v>3.801813710926942E-2</v>
      </c>
      <c r="S41" s="42">
        <v>3.8033442682161189E-2</v>
      </c>
      <c r="T41" s="42">
        <v>3.7960961848806839E-2</v>
      </c>
      <c r="U41" s="42">
        <v>3.7802521000066855E-2</v>
      </c>
      <c r="V41" s="42">
        <v>3.7560489648854001E-2</v>
      </c>
      <c r="W41" s="42">
        <v>3.7237740398804065E-2</v>
      </c>
      <c r="X41" s="42">
        <v>3.6837604894725158E-2</v>
      </c>
      <c r="Y41" s="42">
        <v>3.6363826555023002E-2</v>
      </c>
      <c r="Z41" s="42">
        <v>3.5820510890244704E-2</v>
      </c>
      <c r="AA41" s="42">
        <v>3.5212074201126223E-2</v>
      </c>
      <c r="AB41" s="42">
        <v>3.4543191425382334E-2</v>
      </c>
      <c r="AC41" s="42">
        <v>3.3818743866436463E-2</v>
      </c>
      <c r="AD41" s="42">
        <v>3.3043767490993782E-2</v>
      </c>
      <c r="AE41" s="42">
        <v>3.222340242753155E-2</v>
      </c>
      <c r="AF41" s="42">
        <v>3.1362844236177786E-2</v>
      </c>
      <c r="AG41" s="42">
        <v>3.0467297453817384E-2</v>
      </c>
      <c r="AH41" s="42">
        <v>2.9541931848306818E-2</v>
      </c>
      <c r="AI41" s="42">
        <v>2.8591841744002887E-2</v>
      </c>
      <c r="AJ41" s="42">
        <v>2.7622008708924051E-2</v>
      </c>
      <c r="AK41" s="42">
        <v>2.6637267823119998E-2</v>
      </c>
      <c r="AL41" s="42">
        <v>2.5642277679442559E-2</v>
      </c>
      <c r="AM41" s="42">
        <v>2.46414942029234E-2</v>
      </c>
      <c r="AN41" s="42">
        <v>2.3639148314249781E-2</v>
      </c>
      <c r="AO41" s="42">
        <v>2.2639227407077498E-2</v>
      </c>
      <c r="AP41" s="42">
        <v>2.1645460558666459E-2</v>
      </c>
      <c r="AQ41" s="43">
        <v>2.0661307348922194E-2</v>
      </c>
    </row>
    <row r="42" spans="1:43" x14ac:dyDescent="0.25">
      <c r="A42" s="50"/>
      <c r="B42" s="44" t="s">
        <v>27</v>
      </c>
      <c r="C42" s="31">
        <v>2.4216435011810439E-2</v>
      </c>
      <c r="D42" s="31">
        <v>2.6504179096657778E-2</v>
      </c>
      <c r="E42" s="31">
        <v>2.8837145209623067E-2</v>
      </c>
      <c r="F42" s="31">
        <v>3.119355670675307E-2</v>
      </c>
      <c r="G42" s="31">
        <v>3.3549991129303285E-2</v>
      </c>
      <c r="H42" s="31">
        <v>3.5881795976306051E-2</v>
      </c>
      <c r="I42" s="31">
        <v>3.8163551337738182E-2</v>
      </c>
      <c r="J42" s="31">
        <v>4.0369566157976267E-2</v>
      </c>
      <c r="K42" s="31">
        <v>4.2474393512962144E-2</v>
      </c>
      <c r="L42" s="31">
        <v>4.4453349490529794E-2</v>
      </c>
      <c r="M42" s="31">
        <v>4.6283020093083785E-2</v>
      </c>
      <c r="N42" s="31">
        <v>4.7941741034813128E-2</v>
      </c>
      <c r="O42" s="31">
        <v>4.9410036350472405E-2</v>
      </c>
      <c r="P42" s="31">
        <v>5.0671003309872155E-2</v>
      </c>
      <c r="Q42" s="31">
        <v>5.1710633158058808E-2</v>
      </c>
      <c r="R42" s="31">
        <v>5.2518059573728862E-2</v>
      </c>
      <c r="S42" s="31">
        <v>5.3085729343468502E-2</v>
      </c>
      <c r="T42" s="31">
        <v>5.340949246703143E-2</v>
      </c>
      <c r="U42" s="31">
        <v>5.3488611619989725E-2</v>
      </c>
      <c r="V42" s="31">
        <v>5.332569349249567E-2</v>
      </c>
      <c r="W42" s="31">
        <v>5.2926546896443473E-2</v>
      </c>
      <c r="X42" s="31">
        <v>5.2299974604150375E-2</v>
      </c>
      <c r="Y42" s="31">
        <v>5.1457507585162994E-2</v>
      </c>
      <c r="Z42" s="31">
        <v>5.0413091600261618E-2</v>
      </c>
      <c r="AA42" s="31">
        <v>4.9182736970894404E-2</v>
      </c>
      <c r="AB42" s="31">
        <v>4.7784142766512668E-2</v>
      </c>
      <c r="AC42" s="31">
        <v>4.6236306658912457E-2</v>
      </c>
      <c r="AD42" s="31">
        <v>4.4559131315435499E-2</v>
      </c>
      <c r="AE42" s="31">
        <v>4.277303748870856E-2</v>
      </c>
      <c r="AF42" s="31">
        <v>4.0898592966268639E-2</v>
      </c>
      <c r="AG42" s="31">
        <v>3.8956165331852886E-2</v>
      </c>
      <c r="AH42" s="31">
        <v>3.6965605126937487E-2</v>
      </c>
      <c r="AI42" s="31">
        <v>3.4945964551289996E-2</v>
      </c>
      <c r="AJ42" s="31">
        <v>3.2915255366459777E-2</v>
      </c>
      <c r="AK42" s="31">
        <v>3.0890248222081737E-2</v>
      </c>
      <c r="AL42" s="31">
        <v>2.8886314259919846E-2</v>
      </c>
      <c r="AM42" s="31">
        <v>2.6917308604273622E-2</v>
      </c>
      <c r="AN42" s="31">
        <v>2.4995494249941377E-2</v>
      </c>
      <c r="AO42" s="31">
        <v>2.3131503931104042E-2</v>
      </c>
      <c r="AP42" s="31">
        <v>2.1334336807915494E-2</v>
      </c>
      <c r="AQ42" s="45">
        <v>1.9611386245469951E-2</v>
      </c>
    </row>
    <row r="43" spans="1:43" x14ac:dyDescent="0.25">
      <c r="A43" s="50"/>
      <c r="B43" s="44" t="s">
        <v>28</v>
      </c>
      <c r="C43" s="31">
        <v>5.8485539508753518E-3</v>
      </c>
      <c r="D43" s="31">
        <v>7.8346190224428264E-3</v>
      </c>
      <c r="E43" s="31">
        <v>1.0309485387312845E-2</v>
      </c>
      <c r="F43" s="31">
        <v>1.3329973262993943E-2</v>
      </c>
      <c r="G43" s="31">
        <v>1.6940092672667793E-2</v>
      </c>
      <c r="H43" s="31">
        <v>2.1164847655865907E-2</v>
      </c>
      <c r="I43" s="31">
        <v>2.600421224412432E-2</v>
      </c>
      <c r="J43" s="31">
        <v>3.1427910889222151E-2</v>
      </c>
      <c r="K43" s="31">
        <v>3.7371664054152751E-2</v>
      </c>
      <c r="L43" s="31">
        <v>4.3735507628326654E-2</v>
      </c>
      <c r="M43" s="31">
        <v>5.038465801431917E-2</v>
      </c>
      <c r="N43" s="31">
        <v>5.7153181067260944E-2</v>
      </c>
      <c r="O43" s="31">
        <v>6.3850453183268721E-2</v>
      </c>
      <c r="P43" s="31">
        <v>7.0270107888072114E-2</v>
      </c>
      <c r="Q43" s="31">
        <v>7.6200878690752372E-2</v>
      </c>
      <c r="R43" s="31">
        <v>8.1438516776207281E-2</v>
      </c>
      <c r="S43" s="31">
        <v>8.5797812937925169E-2</v>
      </c>
      <c r="T43" s="31">
        <v>8.9123708911668584E-2</v>
      </c>
      <c r="U43" s="31">
        <v>9.1300551571757274E-2</v>
      </c>
      <c r="V43" s="31">
        <v>9.2258716384508138E-2</v>
      </c>
      <c r="W43" s="31">
        <v>9.1978081986103355E-2</v>
      </c>
      <c r="X43" s="31">
        <v>9.0488143093546344E-2</v>
      </c>
      <c r="Y43" s="31">
        <v>8.7864866073290221E-2</v>
      </c>
      <c r="Z43" s="31">
        <v>8.4224682616547572E-2</v>
      </c>
      <c r="AA43" s="31">
        <v>7.9716250005163608E-2</v>
      </c>
      <c r="AB43" s="31">
        <v>7.451075904007412E-2</v>
      </c>
      <c r="AC43" s="31">
        <v>6.8791632478658368E-2</v>
      </c>
      <c r="AD43" s="31">
        <v>6.2744429653272996E-2</v>
      </c>
      <c r="AE43" s="31">
        <v>5.6547669337330866E-2</v>
      </c>
      <c r="AF43" s="31">
        <v>5.0365123119111156E-2</v>
      </c>
      <c r="AG43" s="31">
        <v>4.4339939828521462E-2</v>
      </c>
      <c r="AH43" s="31">
        <v>3.8590762578052176E-2</v>
      </c>
      <c r="AI43" s="31">
        <v>3.3209815516321635E-2</v>
      </c>
      <c r="AJ43" s="31">
        <v>2.8262784102654433E-2</v>
      </c>
      <c r="AK43" s="31">
        <v>2.3790200908464298E-2</v>
      </c>
      <c r="AL43" s="31">
        <v>1.9809982481944401E-2</v>
      </c>
      <c r="AM43" s="31">
        <v>1.6320739806237848E-2</v>
      </c>
      <c r="AN43" s="31">
        <v>1.330549910324069E-2</v>
      </c>
      <c r="AO43" s="31">
        <v>1.0735512223996371E-2</v>
      </c>
      <c r="AP43" s="31">
        <v>8.573896567929078E-3</v>
      </c>
      <c r="AQ43" s="45">
        <v>6.7789136462154823E-3</v>
      </c>
    </row>
    <row r="44" spans="1:43" x14ac:dyDescent="0.25">
      <c r="A44" s="51"/>
      <c r="B44" s="46" t="s">
        <v>29</v>
      </c>
      <c r="C44" s="47">
        <v>2.7219178980656252E-5</v>
      </c>
      <c r="D44" s="47">
        <v>6.685595639815293E-5</v>
      </c>
      <c r="E44" s="47">
        <v>1.556333996958364E-4</v>
      </c>
      <c r="F44" s="47">
        <v>3.4366402545675745E-4</v>
      </c>
      <c r="G44" s="47">
        <v>7.2043954987886132E-4</v>
      </c>
      <c r="H44" s="47">
        <v>1.4349927850594523E-3</v>
      </c>
      <c r="I44" s="47">
        <v>2.7179415413475568E-3</v>
      </c>
      <c r="J44" s="47">
        <v>4.8990452809763736E-3</v>
      </c>
      <c r="K44" s="47">
        <v>8.4100743164964905E-3</v>
      </c>
      <c r="L44" s="47">
        <v>1.3760520591815928E-2</v>
      </c>
      <c r="M44" s="47">
        <v>2.1475329600357872E-2</v>
      </c>
      <c r="N44" s="47">
        <v>3.1991298888267024E-2</v>
      </c>
      <c r="O44" s="47">
        <v>4.55220764508147E-2</v>
      </c>
      <c r="P44" s="47">
        <v>6.1917814432620288E-2</v>
      </c>
      <c r="Q44" s="47">
        <v>8.0558616452679435E-2</v>
      </c>
      <c r="R44" s="47">
        <v>0.10032404971262353</v>
      </c>
      <c r="S44" s="47">
        <v>0.11966941061432274</v>
      </c>
      <c r="T44" s="47">
        <v>0.13681360946507379</v>
      </c>
      <c r="U44" s="47">
        <v>0.15001036818520319</v>
      </c>
      <c r="V44" s="47">
        <v>0.15784533205190016</v>
      </c>
      <c r="W44" s="47">
        <v>0.15948812911463162</v>
      </c>
      <c r="X44" s="47">
        <v>0.15483670418672194</v>
      </c>
      <c r="Y44" s="47">
        <v>0.14451948764055556</v>
      </c>
      <c r="Z44" s="47">
        <v>0.12975950665786426</v>
      </c>
      <c r="AA44" s="47">
        <v>0.11214011844787831</v>
      </c>
      <c r="AB44" s="47">
        <v>9.3333209455791197E-2</v>
      </c>
      <c r="AC44" s="47">
        <v>7.485222324337272E-2</v>
      </c>
      <c r="AD44" s="47">
        <v>5.7876492628421844E-2</v>
      </c>
      <c r="AE44" s="47">
        <v>4.3167829219813159E-2</v>
      </c>
      <c r="AF44" s="47">
        <v>3.1074642847744485E-2</v>
      </c>
      <c r="AG44" s="47">
        <v>2.1600482111863044E-2</v>
      </c>
      <c r="AH44" s="47">
        <v>1.4506132172058475E-2</v>
      </c>
      <c r="AI44" s="47">
        <v>9.4164326377557776E-3</v>
      </c>
      <c r="AJ44" s="47">
        <v>5.9112554203970815E-3</v>
      </c>
      <c r="AK44" s="47">
        <v>3.5903756684775691E-3</v>
      </c>
      <c r="AL44" s="47">
        <v>2.1109192416437022E-3</v>
      </c>
      <c r="AM44" s="47">
        <v>1.2019215199521734E-3</v>
      </c>
      <c r="AN44" s="47">
        <v>6.630574235942713E-4</v>
      </c>
      <c r="AO44" s="47">
        <v>3.5456112838255625E-4</v>
      </c>
      <c r="AP44" s="47">
        <v>1.8385996232896023E-4</v>
      </c>
      <c r="AQ44" s="48">
        <v>9.249689937978262E-5</v>
      </c>
    </row>
  </sheetData>
  <mergeCells count="2">
    <mergeCell ref="A37:A40"/>
    <mergeCell ref="A41:A4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Option Button 1">
              <controlPr defaultSize="0" autoFill="0" autoLine="0" autoPict="0">
                <anchor moveWithCells="1">
                  <from>
                    <xdr:col>0</xdr:col>
                    <xdr:colOff>800100</xdr:colOff>
                    <xdr:row>12</xdr:row>
                    <xdr:rowOff>28575</xdr:rowOff>
                  </from>
                  <to>
                    <xdr:col>0</xdr:col>
                    <xdr:colOff>1371600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Option Button 2">
              <controlPr defaultSize="0" autoFill="0" autoLine="0" autoPict="0">
                <anchor moveWithCells="1">
                  <from>
                    <xdr:col>0</xdr:col>
                    <xdr:colOff>790575</xdr:colOff>
                    <xdr:row>13</xdr:row>
                    <xdr:rowOff>66675</xdr:rowOff>
                  </from>
                  <to>
                    <xdr:col>0</xdr:col>
                    <xdr:colOff>1304925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Group Box 3">
              <controlPr defaultSize="0" autoFill="0" autoPict="0">
                <anchor moveWithCells="1">
                  <from>
                    <xdr:col>0</xdr:col>
                    <xdr:colOff>647700</xdr:colOff>
                    <xdr:row>11</xdr:row>
                    <xdr:rowOff>57150</xdr:rowOff>
                  </from>
                  <to>
                    <xdr:col>1</xdr:col>
                    <xdr:colOff>76200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P35"/>
  <sheetViews>
    <sheetView zoomScaleNormal="100" workbookViewId="0">
      <selection activeCell="O30" sqref="O30"/>
    </sheetView>
  </sheetViews>
  <sheetFormatPr baseColWidth="10" defaultRowHeight="15" x14ac:dyDescent="0.25"/>
  <cols>
    <col min="1" max="1" width="15.28515625" style="1" bestFit="1" customWidth="1"/>
    <col min="2" max="2" width="11.42578125" style="1"/>
    <col min="3" max="3" width="15.85546875" style="1" bestFit="1" customWidth="1"/>
    <col min="4" max="4" width="11.42578125" style="1"/>
    <col min="5" max="5" width="14.140625" style="1" bestFit="1" customWidth="1"/>
    <col min="6" max="6" width="12.7109375" style="1" bestFit="1" customWidth="1"/>
    <col min="7" max="7" width="12.28515625" style="1" bestFit="1" customWidth="1"/>
    <col min="8" max="16384" width="11.42578125" style="1"/>
  </cols>
  <sheetData>
    <row r="1" spans="1:15" ht="21" x14ac:dyDescent="0.25">
      <c r="A1" s="11" t="str">
        <f>IF(I1=1,IF(I4=1,"Call Largo","Call Corto"),IF(I1=2,IF(I4=1,"Put Largo","Put Corto"),IF(I1=3,IF(I4=1, "Stock Largo", "Stock Corto"))))</f>
        <v>Put Largo</v>
      </c>
      <c r="B1" s="2"/>
      <c r="C1" s="2"/>
      <c r="D1" s="2"/>
      <c r="E1" s="2"/>
      <c r="F1" s="2"/>
      <c r="G1" s="6"/>
      <c r="H1" s="5" t="s">
        <v>0</v>
      </c>
      <c r="I1" s="5">
        <v>2</v>
      </c>
    </row>
    <row r="2" spans="1:15" x14ac:dyDescent="0.25">
      <c r="A2" s="1" t="s">
        <v>3</v>
      </c>
      <c r="B2" s="1">
        <v>60</v>
      </c>
      <c r="G2" s="5"/>
      <c r="H2" s="5" t="s">
        <v>1</v>
      </c>
      <c r="I2" s="5"/>
    </row>
    <row r="3" spans="1:15" x14ac:dyDescent="0.25">
      <c r="A3" s="1" t="s">
        <v>2</v>
      </c>
      <c r="B3" s="1">
        <v>30</v>
      </c>
      <c r="G3" s="5"/>
      <c r="H3" s="5" t="s">
        <v>6</v>
      </c>
      <c r="I3" s="5"/>
    </row>
    <row r="4" spans="1:15" x14ac:dyDescent="0.25">
      <c r="G4" s="5"/>
      <c r="H4" s="5" t="s">
        <v>5</v>
      </c>
      <c r="I4" s="5">
        <v>1</v>
      </c>
    </row>
    <row r="5" spans="1:15" x14ac:dyDescent="0.25">
      <c r="G5" s="5"/>
      <c r="H5" s="5" t="s">
        <v>4</v>
      </c>
      <c r="I5" s="5"/>
    </row>
    <row r="6" spans="1:15" x14ac:dyDescent="0.25">
      <c r="G6" s="5"/>
      <c r="H6" s="5"/>
      <c r="I6" s="5"/>
    </row>
    <row r="7" spans="1:15" x14ac:dyDescent="0.25">
      <c r="A7" s="1">
        <v>0.01</v>
      </c>
      <c r="B7" s="1">
        <f>5</f>
        <v>5</v>
      </c>
      <c r="C7" s="1">
        <f>B7+5</f>
        <v>10</v>
      </c>
      <c r="D7" s="1">
        <f t="shared" ref="D7:O7" si="0">C7+5</f>
        <v>15</v>
      </c>
      <c r="E7" s="1">
        <f t="shared" si="0"/>
        <v>20</v>
      </c>
      <c r="F7" s="1">
        <f t="shared" si="0"/>
        <v>25</v>
      </c>
      <c r="G7" s="1">
        <f t="shared" si="0"/>
        <v>30</v>
      </c>
      <c r="H7" s="1">
        <f t="shared" si="0"/>
        <v>35</v>
      </c>
      <c r="I7" s="1">
        <f t="shared" si="0"/>
        <v>40</v>
      </c>
      <c r="J7" s="1">
        <f t="shared" si="0"/>
        <v>45</v>
      </c>
      <c r="K7" s="1">
        <f t="shared" si="0"/>
        <v>50</v>
      </c>
      <c r="L7" s="1">
        <f t="shared" si="0"/>
        <v>55</v>
      </c>
      <c r="M7" s="1">
        <f t="shared" si="0"/>
        <v>60</v>
      </c>
      <c r="N7" s="1">
        <f t="shared" si="0"/>
        <v>65</v>
      </c>
      <c r="O7" s="1">
        <f t="shared" si="0"/>
        <v>70</v>
      </c>
    </row>
    <row r="8" spans="1:15" x14ac:dyDescent="0.25">
      <c r="A8" s="1">
        <f>IF($I$1=1,(IF($I$4=1,MAX(A7-$B$3,0),-MAX(A7-$B$3,0))),IF($I$1=2,(IF($I$4=1,MAX($B$3-A7,0),-MAX($B$3-A7,0))),IF($I$4=1,A7-$B$3,$B$3-A7)))</f>
        <v>29.99</v>
      </c>
      <c r="B8" s="1">
        <f t="shared" ref="B8:O8" si="1">IF($I$1=1,(IF($I$4=1,MAX(B7-$B$3,0),-MAX(B7-$B$3,0))),IF($I$1=2,(IF($I$4=1,MAX($B$3-B7,0),-MAX($B$3-B7,0))),IF($I$4=1,B7-$B$3,$B$3-B7)))</f>
        <v>25</v>
      </c>
      <c r="C8" s="1">
        <f t="shared" si="1"/>
        <v>20</v>
      </c>
      <c r="D8" s="1">
        <f t="shared" si="1"/>
        <v>15</v>
      </c>
      <c r="E8" s="1">
        <f t="shared" si="1"/>
        <v>10</v>
      </c>
      <c r="F8" s="1">
        <f t="shared" si="1"/>
        <v>5</v>
      </c>
      <c r="G8" s="1">
        <f t="shared" si="1"/>
        <v>0</v>
      </c>
      <c r="H8" s="1">
        <f t="shared" si="1"/>
        <v>0</v>
      </c>
      <c r="I8" s="1">
        <f t="shared" si="1"/>
        <v>0</v>
      </c>
      <c r="J8" s="1">
        <f t="shared" si="1"/>
        <v>0</v>
      </c>
      <c r="K8" s="1">
        <f t="shared" si="1"/>
        <v>0</v>
      </c>
      <c r="L8" s="1">
        <f t="shared" si="1"/>
        <v>0</v>
      </c>
      <c r="M8" s="1">
        <f t="shared" si="1"/>
        <v>0</v>
      </c>
      <c r="N8" s="1">
        <f t="shared" si="1"/>
        <v>0</v>
      </c>
      <c r="O8" s="1">
        <f t="shared" si="1"/>
        <v>0</v>
      </c>
    </row>
    <row r="10" spans="1:15" ht="21" x14ac:dyDescent="0.25">
      <c r="A10" s="10" t="str">
        <f>IF(I10=1,IF(I13=1,"Call Largo","Call Corto"),IF(I10=2,IF(I13=1,"Put Largo","Put Corto"),IF(I10=3,IF(I13=1, "Stock Largo", "Stock Corto"))))</f>
        <v>Call Largo</v>
      </c>
      <c r="B10" s="2"/>
      <c r="C10" s="2"/>
      <c r="D10" s="2"/>
      <c r="E10" s="2"/>
      <c r="F10" s="2"/>
      <c r="G10" s="6"/>
      <c r="H10" s="5" t="s">
        <v>0</v>
      </c>
      <c r="I10" s="5">
        <v>1</v>
      </c>
    </row>
    <row r="11" spans="1:15" x14ac:dyDescent="0.25">
      <c r="A11" s="1" t="s">
        <v>3</v>
      </c>
      <c r="B11" s="1">
        <v>70</v>
      </c>
      <c r="G11" s="5"/>
      <c r="H11" s="5" t="s">
        <v>1</v>
      </c>
      <c r="I11" s="5"/>
    </row>
    <row r="12" spans="1:15" x14ac:dyDescent="0.25">
      <c r="A12" s="1" t="s">
        <v>2</v>
      </c>
      <c r="B12" s="1">
        <v>30</v>
      </c>
      <c r="G12" s="5"/>
      <c r="H12" s="5" t="s">
        <v>6</v>
      </c>
      <c r="I12" s="5"/>
    </row>
    <row r="13" spans="1:15" x14ac:dyDescent="0.25">
      <c r="G13" s="5"/>
      <c r="H13" s="5" t="s">
        <v>5</v>
      </c>
      <c r="I13" s="5">
        <v>1</v>
      </c>
    </row>
    <row r="14" spans="1:15" x14ac:dyDescent="0.25">
      <c r="G14" s="5"/>
      <c r="H14" s="5" t="s">
        <v>4</v>
      </c>
      <c r="I14" s="5"/>
    </row>
    <row r="15" spans="1:15" x14ac:dyDescent="0.25">
      <c r="G15" s="5"/>
      <c r="H15" s="5"/>
      <c r="I15" s="5"/>
    </row>
    <row r="16" spans="1:15" x14ac:dyDescent="0.25">
      <c r="A16" s="1">
        <v>0.01</v>
      </c>
      <c r="B16" s="1">
        <f>5</f>
        <v>5</v>
      </c>
      <c r="C16" s="1">
        <f>B16+5</f>
        <v>10</v>
      </c>
      <c r="D16" s="1">
        <f t="shared" ref="D16:O16" si="2">C16+5</f>
        <v>15</v>
      </c>
      <c r="E16" s="1">
        <f t="shared" si="2"/>
        <v>20</v>
      </c>
      <c r="F16" s="1">
        <f t="shared" si="2"/>
        <v>25</v>
      </c>
      <c r="G16" s="1">
        <f t="shared" si="2"/>
        <v>30</v>
      </c>
      <c r="H16" s="1">
        <f t="shared" si="2"/>
        <v>35</v>
      </c>
      <c r="I16" s="1">
        <f t="shared" si="2"/>
        <v>40</v>
      </c>
      <c r="J16" s="1">
        <f t="shared" si="2"/>
        <v>45</v>
      </c>
      <c r="K16" s="1">
        <f t="shared" si="2"/>
        <v>50</v>
      </c>
      <c r="L16" s="1">
        <f t="shared" si="2"/>
        <v>55</v>
      </c>
      <c r="M16" s="1">
        <f t="shared" si="2"/>
        <v>60</v>
      </c>
      <c r="N16" s="1">
        <f t="shared" si="2"/>
        <v>65</v>
      </c>
      <c r="O16" s="1">
        <f t="shared" si="2"/>
        <v>70</v>
      </c>
    </row>
    <row r="17" spans="1:16" x14ac:dyDescent="0.25">
      <c r="A17" s="1">
        <f>IF($I$10=1,(IF($I$13=1,MAX(A16-$B$12,0),-MAX(A16-$B$12,0))),IF($I$10=2,(IF($I$13=1,MAX($B$12-A16,0),-MAX($B$12-A16,0))),IF($I$13=1,A16-$B$12,$B$12-A16)))</f>
        <v>0</v>
      </c>
      <c r="B17" s="1">
        <f t="shared" ref="B17:O17" si="3">IF($I$10=1,(IF($I$13=1,MAX(B16-$B$12,0),-MAX(B16-$B$12,0))),IF($I$10=2,(IF($I$13=1,MAX($B$12-B16,0),-MAX($B$12-B16,0))),IF($I$13=1,B16-$B$12,$B$12-B16)))</f>
        <v>0</v>
      </c>
      <c r="C17" s="1">
        <f t="shared" si="3"/>
        <v>0</v>
      </c>
      <c r="D17" s="1">
        <f t="shared" si="3"/>
        <v>0</v>
      </c>
      <c r="E17" s="1">
        <f t="shared" si="3"/>
        <v>0</v>
      </c>
      <c r="F17" s="1">
        <f t="shared" si="3"/>
        <v>0</v>
      </c>
      <c r="G17" s="1">
        <f t="shared" si="3"/>
        <v>0</v>
      </c>
      <c r="H17" s="1">
        <f t="shared" si="3"/>
        <v>5</v>
      </c>
      <c r="I17" s="1">
        <f t="shared" si="3"/>
        <v>10</v>
      </c>
      <c r="J17" s="1">
        <f t="shared" si="3"/>
        <v>15</v>
      </c>
      <c r="K17" s="1">
        <f t="shared" si="3"/>
        <v>20</v>
      </c>
      <c r="L17" s="1">
        <f t="shared" si="3"/>
        <v>25</v>
      </c>
      <c r="M17" s="1">
        <f t="shared" si="3"/>
        <v>30</v>
      </c>
      <c r="N17" s="1">
        <f t="shared" si="3"/>
        <v>35</v>
      </c>
      <c r="O17" s="1">
        <f t="shared" si="3"/>
        <v>40</v>
      </c>
    </row>
    <row r="20" spans="1:16" ht="21" x14ac:dyDescent="0.25">
      <c r="A20" s="7" t="str">
        <f>A1</f>
        <v>Put Largo</v>
      </c>
      <c r="B20" s="7" t="s">
        <v>7</v>
      </c>
      <c r="C20" s="7" t="str">
        <f>A10</f>
        <v>Call Largo</v>
      </c>
      <c r="D20" s="5"/>
      <c r="E20" s="5"/>
      <c r="G20" s="5"/>
      <c r="H20" s="5"/>
    </row>
    <row r="21" spans="1:16" x14ac:dyDescent="0.25">
      <c r="A21" s="1">
        <v>0.01</v>
      </c>
      <c r="B21" s="1">
        <f>5</f>
        <v>5</v>
      </c>
      <c r="C21" s="1">
        <f>B21+5</f>
        <v>10</v>
      </c>
      <c r="D21" s="1">
        <f t="shared" ref="D21:O21" si="4">C21+5</f>
        <v>15</v>
      </c>
      <c r="E21" s="1">
        <f t="shared" si="4"/>
        <v>20</v>
      </c>
      <c r="F21" s="1">
        <f t="shared" si="4"/>
        <v>25</v>
      </c>
      <c r="G21" s="1">
        <f t="shared" si="4"/>
        <v>30</v>
      </c>
      <c r="H21" s="1">
        <f t="shared" si="4"/>
        <v>35</v>
      </c>
      <c r="I21" s="1">
        <f t="shared" si="4"/>
        <v>40</v>
      </c>
      <c r="J21" s="1">
        <f t="shared" si="4"/>
        <v>45</v>
      </c>
      <c r="K21" s="1">
        <f t="shared" si="4"/>
        <v>50</v>
      </c>
      <c r="L21" s="1">
        <f t="shared" si="4"/>
        <v>55</v>
      </c>
      <c r="M21" s="1">
        <f t="shared" si="4"/>
        <v>60</v>
      </c>
      <c r="N21" s="1">
        <f t="shared" si="4"/>
        <v>65</v>
      </c>
      <c r="O21" s="1">
        <f t="shared" si="4"/>
        <v>70</v>
      </c>
    </row>
    <row r="22" spans="1:16" x14ac:dyDescent="0.25">
      <c r="A22" s="1">
        <f t="shared" ref="A22:O22" si="5">A8+A17</f>
        <v>29.99</v>
      </c>
      <c r="B22" s="1">
        <f t="shared" si="5"/>
        <v>25</v>
      </c>
      <c r="C22" s="1">
        <f t="shared" si="5"/>
        <v>20</v>
      </c>
      <c r="D22" s="1">
        <f t="shared" si="5"/>
        <v>15</v>
      </c>
      <c r="E22" s="1">
        <f t="shared" si="5"/>
        <v>10</v>
      </c>
      <c r="F22" s="1">
        <f t="shared" si="5"/>
        <v>5</v>
      </c>
      <c r="G22" s="1">
        <f t="shared" si="5"/>
        <v>0</v>
      </c>
      <c r="H22" s="1">
        <f t="shared" si="5"/>
        <v>5</v>
      </c>
      <c r="I22" s="1">
        <f t="shared" si="5"/>
        <v>10</v>
      </c>
      <c r="J22" s="1">
        <f t="shared" si="5"/>
        <v>15</v>
      </c>
      <c r="K22" s="1">
        <f t="shared" si="5"/>
        <v>20</v>
      </c>
      <c r="L22" s="1">
        <f t="shared" si="5"/>
        <v>25</v>
      </c>
      <c r="M22" s="1">
        <f t="shared" si="5"/>
        <v>30</v>
      </c>
      <c r="N22" s="1">
        <f t="shared" si="5"/>
        <v>35</v>
      </c>
      <c r="O22" s="1">
        <f t="shared" si="5"/>
        <v>40</v>
      </c>
    </row>
    <row r="23" spans="1:16" x14ac:dyDescent="0.25"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</row>
    <row r="24" spans="1:16" x14ac:dyDescent="0.25"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</row>
    <row r="25" spans="1:16" x14ac:dyDescent="0.25"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</row>
    <row r="26" spans="1:16" x14ac:dyDescent="0.25">
      <c r="A26" s="3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</row>
    <row r="27" spans="1:16" x14ac:dyDescent="0.25">
      <c r="A27" s="3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</row>
    <row r="28" spans="1:16" x14ac:dyDescent="0.25"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</row>
    <row r="29" spans="1:16" x14ac:dyDescent="0.25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1:16" x14ac:dyDescent="0.25"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</row>
    <row r="31" spans="1:16" x14ac:dyDescent="0.25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1:16" x14ac:dyDescent="0.25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25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25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25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Drop Down 1">
              <controlPr defaultSize="0" autoLine="0" autoPict="0">
                <anchor moveWithCells="1">
                  <from>
                    <xdr:col>0</xdr:col>
                    <xdr:colOff>114300</xdr:colOff>
                    <xdr:row>3</xdr:row>
                    <xdr:rowOff>133350</xdr:rowOff>
                  </from>
                  <to>
                    <xdr:col>1</xdr:col>
                    <xdr:colOff>57150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Drop Down 2">
              <controlPr defaultSize="0" autoLine="0" autoPict="0">
                <anchor moveWithCells="1">
                  <from>
                    <xdr:col>1</xdr:col>
                    <xdr:colOff>419100</xdr:colOff>
                    <xdr:row>3</xdr:row>
                    <xdr:rowOff>133350</xdr:rowOff>
                  </from>
                  <to>
                    <xdr:col>2</xdr:col>
                    <xdr:colOff>628650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Drop Down 3">
              <controlPr defaultSize="0" autoLine="0" autoPict="0">
                <anchor moveWithCells="1">
                  <from>
                    <xdr:col>0</xdr:col>
                    <xdr:colOff>114300</xdr:colOff>
                    <xdr:row>12</xdr:row>
                    <xdr:rowOff>133350</xdr:rowOff>
                  </from>
                  <to>
                    <xdr:col>1</xdr:col>
                    <xdr:colOff>66675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Drop Down 4">
              <controlPr defaultSize="0" autoLine="0" autoPict="0">
                <anchor moveWithCells="1">
                  <from>
                    <xdr:col>1</xdr:col>
                    <xdr:colOff>419100</xdr:colOff>
                    <xdr:row>12</xdr:row>
                    <xdr:rowOff>142875</xdr:rowOff>
                  </from>
                  <to>
                    <xdr:col>2</xdr:col>
                    <xdr:colOff>628650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Drop Down 5">
              <controlPr defaultSize="0" autoLine="0" autoPict="0">
                <anchor moveWithCells="1">
                  <from>
                    <xdr:col>0</xdr:col>
                    <xdr:colOff>114300</xdr:colOff>
                    <xdr:row>12</xdr:row>
                    <xdr:rowOff>133350</xdr:rowOff>
                  </from>
                  <to>
                    <xdr:col>1</xdr:col>
                    <xdr:colOff>66675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Drop Down 6">
              <controlPr defaultSize="0" autoLine="0" autoPict="0">
                <anchor moveWithCells="1">
                  <from>
                    <xdr:col>1</xdr:col>
                    <xdr:colOff>419100</xdr:colOff>
                    <xdr:row>12</xdr:row>
                    <xdr:rowOff>133350</xdr:rowOff>
                  </from>
                  <to>
                    <xdr:col>2</xdr:col>
                    <xdr:colOff>628650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34"/>
  <sheetViews>
    <sheetView zoomScaleNormal="100" workbookViewId="0">
      <selection activeCell="K31" sqref="K31"/>
    </sheetView>
  </sheetViews>
  <sheetFormatPr baseColWidth="10" defaultRowHeight="15" x14ac:dyDescent="0.25"/>
  <cols>
    <col min="1" max="1" width="15.28515625" style="1" bestFit="1" customWidth="1"/>
    <col min="2" max="2" width="11.42578125" style="1"/>
    <col min="3" max="3" width="22.28515625" style="1" bestFit="1" customWidth="1"/>
    <col min="4" max="4" width="11.42578125" style="1"/>
    <col min="5" max="5" width="14.140625" style="1" bestFit="1" customWidth="1"/>
    <col min="6" max="6" width="12.7109375" style="1" bestFit="1" customWidth="1"/>
    <col min="7" max="7" width="12.28515625" style="1" bestFit="1" customWidth="1"/>
    <col min="8" max="16384" width="11.42578125" style="1"/>
  </cols>
  <sheetData>
    <row r="1" spans="1:15" ht="21" x14ac:dyDescent="0.25">
      <c r="A1" s="11" t="str">
        <f>IF(I1=1,IF(I4=1,"Call Largo","Call Corto"),IF(I1=2,IF(I4=1,"Put Largo","Put Corto"),IF(I1=3,IF(I4=1, "Stock Largo", "Stock Corto"))))</f>
        <v>Put Largo</v>
      </c>
      <c r="B1" s="2"/>
      <c r="C1" s="2"/>
      <c r="D1" s="2"/>
      <c r="E1" s="2"/>
      <c r="F1" s="2"/>
      <c r="G1" s="6"/>
      <c r="H1" s="5" t="s">
        <v>0</v>
      </c>
      <c r="I1" s="5">
        <v>2</v>
      </c>
    </row>
    <row r="2" spans="1:15" x14ac:dyDescent="0.25">
      <c r="A2" s="1" t="s">
        <v>3</v>
      </c>
      <c r="B2" s="1">
        <v>60</v>
      </c>
      <c r="G2" s="5"/>
      <c r="H2" s="5" t="s">
        <v>1</v>
      </c>
      <c r="I2" s="5"/>
    </row>
    <row r="3" spans="1:15" x14ac:dyDescent="0.25">
      <c r="A3" s="1" t="s">
        <v>2</v>
      </c>
      <c r="B3" s="1">
        <v>20</v>
      </c>
      <c r="G3" s="5"/>
      <c r="H3" s="5" t="s">
        <v>6</v>
      </c>
      <c r="I3" s="5"/>
    </row>
    <row r="4" spans="1:15" x14ac:dyDescent="0.25">
      <c r="G4" s="5"/>
      <c r="H4" s="5" t="s">
        <v>5</v>
      </c>
      <c r="I4" s="5">
        <v>1</v>
      </c>
    </row>
    <row r="5" spans="1:15" x14ac:dyDescent="0.25">
      <c r="G5" s="5"/>
      <c r="H5" s="5" t="s">
        <v>4</v>
      </c>
      <c r="I5" s="5"/>
    </row>
    <row r="6" spans="1:15" x14ac:dyDescent="0.25">
      <c r="G6" s="5"/>
      <c r="H6" s="5"/>
      <c r="I6" s="5"/>
    </row>
    <row r="7" spans="1:15" x14ac:dyDescent="0.25">
      <c r="A7" s="1">
        <v>0.01</v>
      </c>
      <c r="B7" s="1">
        <f>5</f>
        <v>5</v>
      </c>
      <c r="C7" s="1">
        <f>B7+5</f>
        <v>10</v>
      </c>
      <c r="D7" s="1">
        <f t="shared" ref="D7:O7" si="0">C7+5</f>
        <v>15</v>
      </c>
      <c r="E7" s="1">
        <f t="shared" si="0"/>
        <v>20</v>
      </c>
      <c r="F7" s="1">
        <f t="shared" si="0"/>
        <v>25</v>
      </c>
      <c r="G7" s="1">
        <f t="shared" si="0"/>
        <v>30</v>
      </c>
      <c r="H7" s="1">
        <f t="shared" si="0"/>
        <v>35</v>
      </c>
      <c r="I7" s="1">
        <f t="shared" si="0"/>
        <v>40</v>
      </c>
      <c r="J7" s="1">
        <f t="shared" si="0"/>
        <v>45</v>
      </c>
      <c r="K7" s="1">
        <f t="shared" si="0"/>
        <v>50</v>
      </c>
      <c r="L7" s="1">
        <f t="shared" si="0"/>
        <v>55</v>
      </c>
      <c r="M7" s="1">
        <f t="shared" si="0"/>
        <v>60</v>
      </c>
      <c r="N7" s="1">
        <f t="shared" si="0"/>
        <v>65</v>
      </c>
      <c r="O7" s="1">
        <f t="shared" si="0"/>
        <v>70</v>
      </c>
    </row>
    <row r="8" spans="1:15" x14ac:dyDescent="0.25">
      <c r="A8" s="1">
        <f>IF($I$1=1,(IF($I$4=1,MAX(A7-$B$3,0),-MAX(A7-$B$3,0))),IF($I$1=2,(IF($I$4=1,MAX($B$3-A7,0),-MAX($B$3-A7,0))),IF($I$4=1,A7-$B$3,$B$3-A7)))</f>
        <v>19.989999999999998</v>
      </c>
      <c r="B8" s="1">
        <f t="shared" ref="B8:O8" si="1">IF($I$1=1,(IF($I$4=1,MAX(B7-$B$3,0),-MAX(B7-$B$3,0))),IF($I$1=2,(IF($I$4=1,MAX($B$3-B7,0),-MAX($B$3-B7,0))),IF($I$4=1,B7-$B$3,$B$3-B7)))</f>
        <v>15</v>
      </c>
      <c r="C8" s="1">
        <f t="shared" si="1"/>
        <v>10</v>
      </c>
      <c r="D8" s="1">
        <f t="shared" si="1"/>
        <v>5</v>
      </c>
      <c r="E8" s="1">
        <f t="shared" si="1"/>
        <v>0</v>
      </c>
      <c r="F8" s="1">
        <f t="shared" si="1"/>
        <v>0</v>
      </c>
      <c r="G8" s="1">
        <f t="shared" si="1"/>
        <v>0</v>
      </c>
      <c r="H8" s="1">
        <f t="shared" si="1"/>
        <v>0</v>
      </c>
      <c r="I8" s="1">
        <f t="shared" si="1"/>
        <v>0</v>
      </c>
      <c r="J8" s="1">
        <f t="shared" si="1"/>
        <v>0</v>
      </c>
      <c r="K8" s="1">
        <f t="shared" si="1"/>
        <v>0</v>
      </c>
      <c r="L8" s="1">
        <f t="shared" si="1"/>
        <v>0</v>
      </c>
      <c r="M8" s="1">
        <f t="shared" si="1"/>
        <v>0</v>
      </c>
      <c r="N8" s="1">
        <f t="shared" si="1"/>
        <v>0</v>
      </c>
      <c r="O8" s="1">
        <f t="shared" si="1"/>
        <v>0</v>
      </c>
    </row>
    <row r="10" spans="1:15" ht="21" x14ac:dyDescent="0.25">
      <c r="A10" s="10" t="str">
        <f>IF(I10=1,IF(I13=1,"Call Largo","Call Corto"),IF(I10=2,IF(I13=1,"Put Largo","Put Corto"),IF(I10=3,IF(I13=1, "Stock Largo", "Stock Corto"))))</f>
        <v>Call Largo</v>
      </c>
      <c r="B10" s="2"/>
      <c r="C10" s="2"/>
      <c r="D10" s="2"/>
      <c r="E10" s="2"/>
      <c r="F10" s="2"/>
      <c r="G10" s="6"/>
      <c r="H10" s="5" t="s">
        <v>0</v>
      </c>
      <c r="I10" s="5">
        <v>1</v>
      </c>
    </row>
    <row r="11" spans="1:15" x14ac:dyDescent="0.25">
      <c r="A11" s="1" t="s">
        <v>3</v>
      </c>
      <c r="B11" s="1">
        <v>70</v>
      </c>
      <c r="G11" s="5"/>
      <c r="H11" s="5" t="s">
        <v>1</v>
      </c>
      <c r="I11" s="5"/>
    </row>
    <row r="12" spans="1:15" x14ac:dyDescent="0.25">
      <c r="A12" s="1" t="s">
        <v>2</v>
      </c>
      <c r="B12" s="1">
        <v>40</v>
      </c>
      <c r="G12" s="5"/>
      <c r="H12" s="5" t="s">
        <v>6</v>
      </c>
      <c r="I12" s="5"/>
    </row>
    <row r="13" spans="1:15" x14ac:dyDescent="0.25">
      <c r="G13" s="5"/>
      <c r="H13" s="5" t="s">
        <v>5</v>
      </c>
      <c r="I13" s="5">
        <v>1</v>
      </c>
    </row>
    <row r="14" spans="1:15" x14ac:dyDescent="0.25">
      <c r="G14" s="5"/>
      <c r="H14" s="5" t="s">
        <v>4</v>
      </c>
      <c r="I14" s="5"/>
    </row>
    <row r="15" spans="1:15" x14ac:dyDescent="0.25">
      <c r="G15" s="5"/>
      <c r="H15" s="5"/>
      <c r="I15" s="5"/>
    </row>
    <row r="16" spans="1:15" x14ac:dyDescent="0.25">
      <c r="A16" s="1">
        <v>0.01</v>
      </c>
      <c r="B16" s="1">
        <f>5</f>
        <v>5</v>
      </c>
      <c r="C16" s="1">
        <f>B16+5</f>
        <v>10</v>
      </c>
      <c r="D16" s="1">
        <f t="shared" ref="D16:O16" si="2">C16+5</f>
        <v>15</v>
      </c>
      <c r="E16" s="1">
        <f t="shared" si="2"/>
        <v>20</v>
      </c>
      <c r="F16" s="1">
        <f t="shared" si="2"/>
        <v>25</v>
      </c>
      <c r="G16" s="1">
        <f t="shared" si="2"/>
        <v>30</v>
      </c>
      <c r="H16" s="1">
        <f t="shared" si="2"/>
        <v>35</v>
      </c>
      <c r="I16" s="1">
        <f t="shared" si="2"/>
        <v>40</v>
      </c>
      <c r="J16" s="1">
        <f t="shared" si="2"/>
        <v>45</v>
      </c>
      <c r="K16" s="1">
        <f t="shared" si="2"/>
        <v>50</v>
      </c>
      <c r="L16" s="1">
        <f t="shared" si="2"/>
        <v>55</v>
      </c>
      <c r="M16" s="1">
        <f t="shared" si="2"/>
        <v>60</v>
      </c>
      <c r="N16" s="1">
        <f t="shared" si="2"/>
        <v>65</v>
      </c>
      <c r="O16" s="1">
        <f t="shared" si="2"/>
        <v>70</v>
      </c>
    </row>
    <row r="17" spans="1:15" x14ac:dyDescent="0.25">
      <c r="A17" s="1">
        <f>IF($I$10=1,(IF($I$13=1,MAX(A16-$B$12,0),-MAX(A16-$B$12,0))),IF($I$10=2,(IF($I$13=1,MAX($B$12-A16,0),-MAX($B$12-A16,0))),IF($I$13=1,A16-$B$12,$B$12-A16)))</f>
        <v>0</v>
      </c>
      <c r="B17" s="1">
        <f t="shared" ref="B17:O17" si="3">IF($I$10=1,(IF($I$13=1,MAX(B16-$B$12,0),-MAX(B16-$B$12,0))),IF($I$10=2,(IF($I$13=1,MAX($B$12-B16,0),-MAX($B$12-B16,0))),IF($I$13=1,B16-$B$12,$B$12-B16)))</f>
        <v>0</v>
      </c>
      <c r="C17" s="1">
        <f t="shared" si="3"/>
        <v>0</v>
      </c>
      <c r="D17" s="1">
        <f t="shared" si="3"/>
        <v>0</v>
      </c>
      <c r="E17" s="1">
        <f t="shared" si="3"/>
        <v>0</v>
      </c>
      <c r="F17" s="1">
        <f t="shared" si="3"/>
        <v>0</v>
      </c>
      <c r="G17" s="1">
        <f t="shared" si="3"/>
        <v>0</v>
      </c>
      <c r="H17" s="1">
        <f t="shared" si="3"/>
        <v>0</v>
      </c>
      <c r="I17" s="1">
        <f t="shared" si="3"/>
        <v>0</v>
      </c>
      <c r="J17" s="1">
        <f t="shared" si="3"/>
        <v>5</v>
      </c>
      <c r="K17" s="1">
        <f t="shared" si="3"/>
        <v>10</v>
      </c>
      <c r="L17" s="1">
        <f t="shared" si="3"/>
        <v>15</v>
      </c>
      <c r="M17" s="1">
        <f t="shared" si="3"/>
        <v>20</v>
      </c>
      <c r="N17" s="1">
        <f t="shared" si="3"/>
        <v>25</v>
      </c>
      <c r="O17" s="1">
        <f t="shared" si="3"/>
        <v>30</v>
      </c>
    </row>
    <row r="19" spans="1:15" ht="21" x14ac:dyDescent="0.25">
      <c r="A19" s="7" t="str">
        <f>A1</f>
        <v>Put Largo</v>
      </c>
      <c r="B19" s="7" t="s">
        <v>7</v>
      </c>
      <c r="C19" s="7" t="str">
        <f>A10</f>
        <v>Call Largo</v>
      </c>
      <c r="D19" s="4"/>
      <c r="E19" s="4"/>
      <c r="F19" s="4"/>
      <c r="G19" s="4"/>
      <c r="H19" s="5"/>
      <c r="I19" s="5"/>
    </row>
    <row r="20" spans="1:15" x14ac:dyDescent="0.25">
      <c r="A20" s="1">
        <v>0.01</v>
      </c>
      <c r="B20" s="1">
        <f>5</f>
        <v>5</v>
      </c>
      <c r="C20" s="1">
        <f>B20+5</f>
        <v>10</v>
      </c>
      <c r="D20" s="1">
        <f t="shared" ref="D20:O20" si="4">C20+5</f>
        <v>15</v>
      </c>
      <c r="E20" s="1">
        <f t="shared" si="4"/>
        <v>20</v>
      </c>
      <c r="F20" s="1">
        <f t="shared" si="4"/>
        <v>25</v>
      </c>
      <c r="G20" s="1">
        <f t="shared" si="4"/>
        <v>30</v>
      </c>
      <c r="H20" s="1">
        <f t="shared" si="4"/>
        <v>35</v>
      </c>
      <c r="I20" s="1">
        <f t="shared" si="4"/>
        <v>40</v>
      </c>
      <c r="J20" s="1">
        <f t="shared" si="4"/>
        <v>45</v>
      </c>
      <c r="K20" s="1">
        <f t="shared" si="4"/>
        <v>50</v>
      </c>
      <c r="L20" s="1">
        <f t="shared" si="4"/>
        <v>55</v>
      </c>
      <c r="M20" s="1">
        <f t="shared" si="4"/>
        <v>60</v>
      </c>
      <c r="N20" s="1">
        <f t="shared" si="4"/>
        <v>65</v>
      </c>
      <c r="O20" s="1">
        <f t="shared" si="4"/>
        <v>70</v>
      </c>
    </row>
    <row r="21" spans="1:15" x14ac:dyDescent="0.25">
      <c r="A21" s="1">
        <f t="shared" ref="A21:O21" si="5">A8+A17</f>
        <v>19.989999999999998</v>
      </c>
      <c r="B21" s="1">
        <f t="shared" si="5"/>
        <v>15</v>
      </c>
      <c r="C21" s="1">
        <f t="shared" si="5"/>
        <v>10</v>
      </c>
      <c r="D21" s="1">
        <f t="shared" si="5"/>
        <v>5</v>
      </c>
      <c r="E21" s="1">
        <f t="shared" si="5"/>
        <v>0</v>
      </c>
      <c r="F21" s="1">
        <f t="shared" si="5"/>
        <v>0</v>
      </c>
      <c r="G21" s="1">
        <f t="shared" si="5"/>
        <v>0</v>
      </c>
      <c r="H21" s="1">
        <f t="shared" si="5"/>
        <v>0</v>
      </c>
      <c r="I21" s="1">
        <f t="shared" si="5"/>
        <v>0</v>
      </c>
      <c r="J21" s="1">
        <f t="shared" si="5"/>
        <v>5</v>
      </c>
      <c r="K21" s="1">
        <f t="shared" si="5"/>
        <v>10</v>
      </c>
      <c r="L21" s="1">
        <f t="shared" si="5"/>
        <v>15</v>
      </c>
      <c r="M21" s="1">
        <f t="shared" si="5"/>
        <v>20</v>
      </c>
      <c r="N21" s="1">
        <f t="shared" si="5"/>
        <v>25</v>
      </c>
      <c r="O21" s="1">
        <f t="shared" si="5"/>
        <v>30</v>
      </c>
    </row>
    <row r="22" spans="1:15" x14ac:dyDescent="0.25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</row>
    <row r="23" spans="1:15" ht="21" x14ac:dyDescent="0.25">
      <c r="A23" s="52" t="s">
        <v>8</v>
      </c>
      <c r="B23" s="52"/>
      <c r="C23" s="52"/>
      <c r="D23" s="52"/>
      <c r="E23" s="52"/>
      <c r="F23" s="52"/>
      <c r="G23" s="52"/>
      <c r="H23" s="52"/>
      <c r="I23" s="52"/>
      <c r="J23" s="52"/>
      <c r="K23" s="4"/>
      <c r="L23" s="4"/>
      <c r="M23" s="4"/>
    </row>
    <row r="24" spans="1:15" x14ac:dyDescent="0.25"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</row>
    <row r="25" spans="1:15" x14ac:dyDescent="0.25">
      <c r="A25" s="3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</row>
    <row r="26" spans="1:15" x14ac:dyDescent="0.25">
      <c r="A26" s="3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</row>
    <row r="27" spans="1:15" x14ac:dyDescent="0.25"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</row>
    <row r="28" spans="1:15" x14ac:dyDescent="0.25"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</row>
    <row r="29" spans="1:15" x14ac:dyDescent="0.25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1:15" x14ac:dyDescent="0.25"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</row>
    <row r="31" spans="1:15" x14ac:dyDescent="0.25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1:15" x14ac:dyDescent="0.25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25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25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</sheetData>
  <mergeCells count="1">
    <mergeCell ref="A23:J2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Drop Down 1">
              <controlPr defaultSize="0" autoLine="0" autoPict="0">
                <anchor moveWithCells="1">
                  <from>
                    <xdr:col>0</xdr:col>
                    <xdr:colOff>114300</xdr:colOff>
                    <xdr:row>3</xdr:row>
                    <xdr:rowOff>133350</xdr:rowOff>
                  </from>
                  <to>
                    <xdr:col>1</xdr:col>
                    <xdr:colOff>57150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Drop Down 2">
              <controlPr defaultSize="0" autoLine="0" autoPict="0">
                <anchor moveWithCells="1">
                  <from>
                    <xdr:col>1</xdr:col>
                    <xdr:colOff>419100</xdr:colOff>
                    <xdr:row>3</xdr:row>
                    <xdr:rowOff>133350</xdr:rowOff>
                  </from>
                  <to>
                    <xdr:col>2</xdr:col>
                    <xdr:colOff>628650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Drop Down 3">
              <controlPr defaultSize="0" autoLine="0" autoPict="0">
                <anchor moveWithCells="1">
                  <from>
                    <xdr:col>0</xdr:col>
                    <xdr:colOff>114300</xdr:colOff>
                    <xdr:row>12</xdr:row>
                    <xdr:rowOff>133350</xdr:rowOff>
                  </from>
                  <to>
                    <xdr:col>1</xdr:col>
                    <xdr:colOff>66675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Drop Down 4">
              <controlPr defaultSize="0" autoLine="0" autoPict="0">
                <anchor moveWithCells="1">
                  <from>
                    <xdr:col>1</xdr:col>
                    <xdr:colOff>419100</xdr:colOff>
                    <xdr:row>12</xdr:row>
                    <xdr:rowOff>142875</xdr:rowOff>
                  </from>
                  <to>
                    <xdr:col>2</xdr:col>
                    <xdr:colOff>628650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Drop Down 5">
              <controlPr defaultSize="0" autoLine="0" autoPict="0">
                <anchor moveWithCells="1">
                  <from>
                    <xdr:col>0</xdr:col>
                    <xdr:colOff>114300</xdr:colOff>
                    <xdr:row>12</xdr:row>
                    <xdr:rowOff>133350</xdr:rowOff>
                  </from>
                  <to>
                    <xdr:col>1</xdr:col>
                    <xdr:colOff>66675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Drop Down 6">
              <controlPr defaultSize="0" autoLine="0" autoPict="0">
                <anchor moveWithCells="1">
                  <from>
                    <xdr:col>1</xdr:col>
                    <xdr:colOff>419100</xdr:colOff>
                    <xdr:row>12</xdr:row>
                    <xdr:rowOff>133350</xdr:rowOff>
                  </from>
                  <to>
                    <xdr:col>2</xdr:col>
                    <xdr:colOff>628650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43"/>
  <sheetViews>
    <sheetView topLeftCell="A3" zoomScaleNormal="100" workbookViewId="0">
      <selection activeCell="L37" sqref="L37"/>
    </sheetView>
  </sheetViews>
  <sheetFormatPr baseColWidth="10" defaultRowHeight="15" x14ac:dyDescent="0.25"/>
  <cols>
    <col min="1" max="1" width="15.28515625" style="1" bestFit="1" customWidth="1"/>
    <col min="2" max="2" width="11.42578125" style="1"/>
    <col min="3" max="3" width="14.140625" style="1" bestFit="1" customWidth="1"/>
    <col min="4" max="4" width="11.42578125" style="1"/>
    <col min="5" max="5" width="14.140625" style="1" bestFit="1" customWidth="1"/>
    <col min="6" max="6" width="12.7109375" style="1" bestFit="1" customWidth="1"/>
    <col min="7" max="7" width="12.28515625" style="1" bestFit="1" customWidth="1"/>
    <col min="8" max="16384" width="11.42578125" style="1"/>
  </cols>
  <sheetData>
    <row r="1" spans="1:15" ht="21" x14ac:dyDescent="0.25">
      <c r="A1" s="11" t="str">
        <f>IF(I1=1,IF(I4=1,"Call Largo","Call Corto"),IF(I1=2,IF(I4=1,"Put Largo","Put Corto"),IF(I1=3,IF(I4=1, "Stock Largo", "Stock Corto"))))</f>
        <v>Put Largo</v>
      </c>
      <c r="B1" s="2"/>
      <c r="C1" s="2"/>
      <c r="D1" s="2"/>
      <c r="E1" s="2"/>
      <c r="F1" s="2"/>
      <c r="G1" s="6"/>
      <c r="H1" s="5" t="s">
        <v>0</v>
      </c>
      <c r="I1" s="5">
        <v>2</v>
      </c>
    </row>
    <row r="2" spans="1:15" x14ac:dyDescent="0.25">
      <c r="A2" s="1" t="s">
        <v>3</v>
      </c>
      <c r="B2" s="1">
        <v>60</v>
      </c>
      <c r="G2" s="5"/>
      <c r="H2" s="5" t="s">
        <v>1</v>
      </c>
      <c r="I2" s="5"/>
    </row>
    <row r="3" spans="1:15" x14ac:dyDescent="0.25">
      <c r="A3" s="1" t="s">
        <v>2</v>
      </c>
      <c r="B3" s="1">
        <v>20</v>
      </c>
      <c r="G3" s="5"/>
      <c r="H3" s="5" t="s">
        <v>6</v>
      </c>
      <c r="I3" s="5"/>
    </row>
    <row r="4" spans="1:15" x14ac:dyDescent="0.25">
      <c r="G4" s="5"/>
      <c r="H4" s="5" t="s">
        <v>5</v>
      </c>
      <c r="I4" s="5">
        <v>1</v>
      </c>
    </row>
    <row r="5" spans="1:15" x14ac:dyDescent="0.25">
      <c r="G5" s="5"/>
      <c r="H5" s="5" t="s">
        <v>4</v>
      </c>
      <c r="I5" s="5"/>
    </row>
    <row r="6" spans="1:15" x14ac:dyDescent="0.25">
      <c r="G6" s="5"/>
      <c r="H6" s="5"/>
      <c r="I6" s="5"/>
    </row>
    <row r="7" spans="1:15" x14ac:dyDescent="0.25">
      <c r="A7" s="1">
        <v>0.01</v>
      </c>
      <c r="B7" s="1">
        <f>5</f>
        <v>5</v>
      </c>
      <c r="C7" s="1">
        <f>B7+5</f>
        <v>10</v>
      </c>
      <c r="D7" s="1">
        <f t="shared" ref="D7:O7" si="0">C7+5</f>
        <v>15</v>
      </c>
      <c r="E7" s="1">
        <f t="shared" si="0"/>
        <v>20</v>
      </c>
      <c r="F7" s="1">
        <f t="shared" si="0"/>
        <v>25</v>
      </c>
      <c r="G7" s="1">
        <f t="shared" si="0"/>
        <v>30</v>
      </c>
      <c r="H7" s="1">
        <f t="shared" si="0"/>
        <v>35</v>
      </c>
      <c r="I7" s="1">
        <f t="shared" si="0"/>
        <v>40</v>
      </c>
      <c r="J7" s="1">
        <f t="shared" si="0"/>
        <v>45</v>
      </c>
      <c r="K7" s="1">
        <f t="shared" si="0"/>
        <v>50</v>
      </c>
      <c r="L7" s="1">
        <f t="shared" si="0"/>
        <v>55</v>
      </c>
      <c r="M7" s="1">
        <f t="shared" si="0"/>
        <v>60</v>
      </c>
      <c r="N7" s="1">
        <f t="shared" si="0"/>
        <v>65</v>
      </c>
      <c r="O7" s="1">
        <f t="shared" si="0"/>
        <v>70</v>
      </c>
    </row>
    <row r="8" spans="1:15" x14ac:dyDescent="0.25">
      <c r="A8" s="1">
        <f>IF($I$1=1,(IF($I$4=1,MAX(A7-$B$3,0),-MAX(A7-$B$3,0))),IF($I$1=2,(IF($I$4=1,MAX($B$3-A7,0),-MAX($B$3-A7,0))),IF($I$4=1,A7-$B$3,$B$3-A7)))</f>
        <v>19.989999999999998</v>
      </c>
      <c r="B8" s="1">
        <f t="shared" ref="B8:O8" si="1">IF($I$1=1,(IF($I$4=1,MAX(B7-$B$3,0),-MAX(B7-$B$3,0))),IF($I$1=2,(IF($I$4=1,MAX($B$3-B7,0),-MAX($B$3-B7,0))),IF($I$4=1,B7-$B$3,$B$3-B7)))</f>
        <v>15</v>
      </c>
      <c r="C8" s="1">
        <f t="shared" si="1"/>
        <v>10</v>
      </c>
      <c r="D8" s="1">
        <f t="shared" si="1"/>
        <v>5</v>
      </c>
      <c r="E8" s="1">
        <f t="shared" si="1"/>
        <v>0</v>
      </c>
      <c r="F8" s="1">
        <f t="shared" si="1"/>
        <v>0</v>
      </c>
      <c r="G8" s="1">
        <f t="shared" si="1"/>
        <v>0</v>
      </c>
      <c r="H8" s="1">
        <f t="shared" si="1"/>
        <v>0</v>
      </c>
      <c r="I8" s="1">
        <f t="shared" si="1"/>
        <v>0</v>
      </c>
      <c r="J8" s="1">
        <f t="shared" si="1"/>
        <v>0</v>
      </c>
      <c r="K8" s="1">
        <f t="shared" si="1"/>
        <v>0</v>
      </c>
      <c r="L8" s="1">
        <f t="shared" si="1"/>
        <v>0</v>
      </c>
      <c r="M8" s="1">
        <f t="shared" si="1"/>
        <v>0</v>
      </c>
      <c r="N8" s="1">
        <f t="shared" si="1"/>
        <v>0</v>
      </c>
      <c r="O8" s="1">
        <f t="shared" si="1"/>
        <v>0</v>
      </c>
    </row>
    <row r="10" spans="1:15" ht="21" x14ac:dyDescent="0.25">
      <c r="A10" s="10" t="str">
        <f>IF(I10=1,IF(I13=1,"Call Largo","Call Corto"),IF(I10=2,IF(I13=1,"Put Largo","Put Corto"),IF(I10=3,IF(I13=1, "Stock Largo", "Stock Corto"))))</f>
        <v>Stock Largo</v>
      </c>
      <c r="B10" s="2"/>
      <c r="C10" s="2"/>
      <c r="D10" s="2"/>
      <c r="E10" s="2"/>
      <c r="F10" s="2"/>
      <c r="G10" s="6"/>
      <c r="H10" s="5" t="s">
        <v>0</v>
      </c>
      <c r="I10" s="5">
        <v>3</v>
      </c>
    </row>
    <row r="11" spans="1:15" x14ac:dyDescent="0.25">
      <c r="A11" s="1" t="s">
        <v>3</v>
      </c>
      <c r="B11" s="1">
        <v>70</v>
      </c>
      <c r="G11" s="5"/>
      <c r="H11" s="5" t="s">
        <v>1</v>
      </c>
      <c r="I11" s="5"/>
    </row>
    <row r="12" spans="1:15" x14ac:dyDescent="0.25">
      <c r="A12" s="1" t="s">
        <v>2</v>
      </c>
      <c r="B12" s="1">
        <v>20</v>
      </c>
      <c r="G12" s="5"/>
      <c r="H12" s="5" t="s">
        <v>6</v>
      </c>
      <c r="I12" s="5"/>
    </row>
    <row r="13" spans="1:15" x14ac:dyDescent="0.25">
      <c r="G13" s="5"/>
      <c r="H13" s="5" t="s">
        <v>5</v>
      </c>
      <c r="I13" s="5">
        <v>1</v>
      </c>
    </row>
    <row r="14" spans="1:15" x14ac:dyDescent="0.25">
      <c r="G14" s="5"/>
      <c r="H14" s="5" t="s">
        <v>4</v>
      </c>
      <c r="I14" s="5"/>
    </row>
    <row r="15" spans="1:15" x14ac:dyDescent="0.25">
      <c r="G15" s="5"/>
      <c r="H15" s="5"/>
      <c r="I15" s="5"/>
    </row>
    <row r="16" spans="1:15" x14ac:dyDescent="0.25">
      <c r="A16" s="1">
        <v>0.01</v>
      </c>
      <c r="B16" s="1">
        <f>5</f>
        <v>5</v>
      </c>
      <c r="C16" s="1">
        <f>B16+5</f>
        <v>10</v>
      </c>
      <c r="D16" s="1">
        <f t="shared" ref="D16:O16" si="2">C16+5</f>
        <v>15</v>
      </c>
      <c r="E16" s="1">
        <f t="shared" si="2"/>
        <v>20</v>
      </c>
      <c r="F16" s="1">
        <f t="shared" si="2"/>
        <v>25</v>
      </c>
      <c r="G16" s="1">
        <f t="shared" si="2"/>
        <v>30</v>
      </c>
      <c r="H16" s="1">
        <f t="shared" si="2"/>
        <v>35</v>
      </c>
      <c r="I16" s="1">
        <f t="shared" si="2"/>
        <v>40</v>
      </c>
      <c r="J16" s="1">
        <f t="shared" si="2"/>
        <v>45</v>
      </c>
      <c r="K16" s="1">
        <f t="shared" si="2"/>
        <v>50</v>
      </c>
      <c r="L16" s="1">
        <f t="shared" si="2"/>
        <v>55</v>
      </c>
      <c r="M16" s="1">
        <f t="shared" si="2"/>
        <v>60</v>
      </c>
      <c r="N16" s="1">
        <f t="shared" si="2"/>
        <v>65</v>
      </c>
      <c r="O16" s="1">
        <f t="shared" si="2"/>
        <v>70</v>
      </c>
    </row>
    <row r="17" spans="1:15" x14ac:dyDescent="0.25">
      <c r="A17" s="1">
        <f>IF($I$10=1,(IF($I$13=1,MAX(A16-$B$12,0),-MAX(A16-$B$12,0))),IF($I$10=2,(IF($I$13=1,MAX($B$12-A16,0),-MAX($B$12-A16,0))),IF($I$13=1,A16-$B$12,$B$12-A16)))</f>
        <v>-19.989999999999998</v>
      </c>
      <c r="B17" s="1">
        <f t="shared" ref="B17:O17" si="3">IF($I$10=1,(IF($I$13=1,MAX(B16-$B$12,0),-MAX(B16-$B$12,0))),IF($I$10=2,(IF($I$13=1,MAX($B$12-B16,0),-MAX($B$12-B16,0))),IF($I$13=1,B16-$B$12,$B$12-B16)))</f>
        <v>-15</v>
      </c>
      <c r="C17" s="1">
        <f t="shared" si="3"/>
        <v>-10</v>
      </c>
      <c r="D17" s="1">
        <f t="shared" si="3"/>
        <v>-5</v>
      </c>
      <c r="E17" s="1">
        <f t="shared" si="3"/>
        <v>0</v>
      </c>
      <c r="F17" s="1">
        <f t="shared" si="3"/>
        <v>5</v>
      </c>
      <c r="G17" s="1">
        <f t="shared" si="3"/>
        <v>10</v>
      </c>
      <c r="H17" s="1">
        <f t="shared" si="3"/>
        <v>15</v>
      </c>
      <c r="I17" s="1">
        <f t="shared" si="3"/>
        <v>20</v>
      </c>
      <c r="J17" s="1">
        <f t="shared" si="3"/>
        <v>25</v>
      </c>
      <c r="K17" s="1">
        <f t="shared" si="3"/>
        <v>30</v>
      </c>
      <c r="L17" s="1">
        <f t="shared" si="3"/>
        <v>35</v>
      </c>
      <c r="M17" s="1">
        <f t="shared" si="3"/>
        <v>40</v>
      </c>
      <c r="N17" s="1">
        <f t="shared" si="3"/>
        <v>45</v>
      </c>
      <c r="O17" s="1">
        <f t="shared" si="3"/>
        <v>50</v>
      </c>
    </row>
    <row r="19" spans="1:15" ht="21" x14ac:dyDescent="0.25">
      <c r="A19" s="9" t="str">
        <f>IF(I19=1,IF(I22=1,"Call Largo","Call Corto"),IF(I19=2,IF(I22=1,"Put Largo","Put Corto"),IF(I19=3,IF(I22=1, "Stock Largo", "Stock Corto"))))</f>
        <v>Call Corto</v>
      </c>
      <c r="B19" s="2"/>
      <c r="C19" s="2"/>
      <c r="D19" s="2"/>
      <c r="E19" s="2"/>
      <c r="F19" s="2"/>
      <c r="G19" s="6"/>
      <c r="H19" s="5" t="s">
        <v>0</v>
      </c>
      <c r="I19" s="5">
        <v>1</v>
      </c>
    </row>
    <row r="20" spans="1:15" x14ac:dyDescent="0.25">
      <c r="A20" s="1" t="s">
        <v>3</v>
      </c>
      <c r="B20" s="1">
        <v>60</v>
      </c>
      <c r="G20" s="5"/>
      <c r="H20" s="5" t="s">
        <v>1</v>
      </c>
      <c r="I20" s="5"/>
    </row>
    <row r="21" spans="1:15" x14ac:dyDescent="0.25">
      <c r="A21" s="1" t="s">
        <v>2</v>
      </c>
      <c r="B21" s="1">
        <v>50</v>
      </c>
      <c r="G21" s="5"/>
      <c r="H21" s="5" t="s">
        <v>6</v>
      </c>
      <c r="I21" s="5"/>
    </row>
    <row r="22" spans="1:15" x14ac:dyDescent="0.25">
      <c r="G22" s="5"/>
      <c r="H22" s="5" t="s">
        <v>5</v>
      </c>
      <c r="I22" s="5">
        <v>2</v>
      </c>
    </row>
    <row r="23" spans="1:15" x14ac:dyDescent="0.25">
      <c r="G23" s="5"/>
      <c r="H23" s="5" t="s">
        <v>4</v>
      </c>
      <c r="I23" s="5"/>
    </row>
    <row r="24" spans="1:15" x14ac:dyDescent="0.25">
      <c r="G24" s="5"/>
      <c r="H24" s="5"/>
      <c r="I24" s="5"/>
    </row>
    <row r="25" spans="1:15" x14ac:dyDescent="0.25">
      <c r="A25" s="1">
        <v>0.01</v>
      </c>
      <c r="B25" s="1">
        <f>5</f>
        <v>5</v>
      </c>
      <c r="C25" s="1">
        <f>B25+5</f>
        <v>10</v>
      </c>
      <c r="D25" s="1">
        <f t="shared" ref="D25:O25" si="4">C25+5</f>
        <v>15</v>
      </c>
      <c r="E25" s="1">
        <f t="shared" si="4"/>
        <v>20</v>
      </c>
      <c r="F25" s="1">
        <f t="shared" si="4"/>
        <v>25</v>
      </c>
      <c r="G25" s="1">
        <f t="shared" si="4"/>
        <v>30</v>
      </c>
      <c r="H25" s="1">
        <f t="shared" si="4"/>
        <v>35</v>
      </c>
      <c r="I25" s="1">
        <f t="shared" si="4"/>
        <v>40</v>
      </c>
      <c r="J25" s="1">
        <f t="shared" si="4"/>
        <v>45</v>
      </c>
      <c r="K25" s="1">
        <f t="shared" si="4"/>
        <v>50</v>
      </c>
      <c r="L25" s="1">
        <f t="shared" si="4"/>
        <v>55</v>
      </c>
      <c r="M25" s="1">
        <f t="shared" si="4"/>
        <v>60</v>
      </c>
      <c r="N25" s="1">
        <f t="shared" si="4"/>
        <v>65</v>
      </c>
      <c r="O25" s="1">
        <f t="shared" si="4"/>
        <v>70</v>
      </c>
    </row>
    <row r="26" spans="1:15" x14ac:dyDescent="0.25">
      <c r="A26" s="1">
        <f>IF($I$19=1,(IF($I$22=1,MAX(A25-$B$21,0),-MAX(A25-$B$21,0))),IF($I$19=2,(IF($I$22=1,MAX($B$21-A25,0),-MAX($B$21-A25,0))),IF($I$22=1,A25-$B$21,$B$21-A25)))</f>
        <v>0</v>
      </c>
      <c r="B26" s="1">
        <f t="shared" ref="B26:O26" si="5">IF($I$19=1,(IF($I$22=1,MAX(B25-$B$21,0),-MAX(B25-$B$21,0))),IF($I$19=2,(IF($I$22=1,MAX($B$21-B25,0),-MAX($B$21-B25,0))),IF($I$22=1,B25-$B$21,$B$21-B25)))</f>
        <v>0</v>
      </c>
      <c r="C26" s="1">
        <f t="shared" si="5"/>
        <v>0</v>
      </c>
      <c r="D26" s="1">
        <f t="shared" si="5"/>
        <v>0</v>
      </c>
      <c r="E26" s="1">
        <f t="shared" si="5"/>
        <v>0</v>
      </c>
      <c r="F26" s="1">
        <f t="shared" si="5"/>
        <v>0</v>
      </c>
      <c r="G26" s="1">
        <f t="shared" si="5"/>
        <v>0</v>
      </c>
      <c r="H26" s="1">
        <f t="shared" si="5"/>
        <v>0</v>
      </c>
      <c r="I26" s="1">
        <f t="shared" si="5"/>
        <v>0</v>
      </c>
      <c r="J26" s="1">
        <f t="shared" si="5"/>
        <v>0</v>
      </c>
      <c r="K26" s="1">
        <f t="shared" si="5"/>
        <v>0</v>
      </c>
      <c r="L26" s="1">
        <f t="shared" si="5"/>
        <v>-5</v>
      </c>
      <c r="M26" s="1">
        <f t="shared" si="5"/>
        <v>-10</v>
      </c>
      <c r="N26" s="1">
        <f t="shared" si="5"/>
        <v>-15</v>
      </c>
      <c r="O26" s="1">
        <f t="shared" si="5"/>
        <v>-20</v>
      </c>
    </row>
    <row r="28" spans="1:15" ht="21" x14ac:dyDescent="0.25">
      <c r="A28" s="7" t="str">
        <f>A1</f>
        <v>Put Largo</v>
      </c>
      <c r="B28" s="7" t="s">
        <v>7</v>
      </c>
      <c r="C28" s="7" t="str">
        <f>A10</f>
        <v>Stock Largo</v>
      </c>
      <c r="D28" s="7" t="s">
        <v>7</v>
      </c>
      <c r="E28" s="7" t="str">
        <f>A19</f>
        <v>Call Corto</v>
      </c>
      <c r="F28" s="4"/>
      <c r="G28" s="4"/>
      <c r="H28" s="5"/>
      <c r="I28" s="5"/>
    </row>
    <row r="29" spans="1:15" x14ac:dyDescent="0.25">
      <c r="A29" s="1">
        <v>0.01</v>
      </c>
      <c r="B29" s="1">
        <f>5</f>
        <v>5</v>
      </c>
      <c r="C29" s="1">
        <f>B29+5</f>
        <v>10</v>
      </c>
      <c r="D29" s="1">
        <f t="shared" ref="D29:O29" si="6">C29+5</f>
        <v>15</v>
      </c>
      <c r="E29" s="1">
        <f t="shared" si="6"/>
        <v>20</v>
      </c>
      <c r="F29" s="1">
        <f t="shared" si="6"/>
        <v>25</v>
      </c>
      <c r="G29" s="1">
        <f t="shared" si="6"/>
        <v>30</v>
      </c>
      <c r="H29" s="1">
        <f t="shared" si="6"/>
        <v>35</v>
      </c>
      <c r="I29" s="1">
        <f t="shared" si="6"/>
        <v>40</v>
      </c>
      <c r="J29" s="1">
        <f t="shared" si="6"/>
        <v>45</v>
      </c>
      <c r="K29" s="1">
        <f t="shared" si="6"/>
        <v>50</v>
      </c>
      <c r="L29" s="1">
        <f t="shared" si="6"/>
        <v>55</v>
      </c>
      <c r="M29" s="1">
        <f t="shared" si="6"/>
        <v>60</v>
      </c>
      <c r="N29" s="1">
        <f t="shared" si="6"/>
        <v>65</v>
      </c>
      <c r="O29" s="1">
        <f t="shared" si="6"/>
        <v>70</v>
      </c>
    </row>
    <row r="30" spans="1:15" x14ac:dyDescent="0.25">
      <c r="A30" s="1">
        <f t="shared" ref="A30:O30" si="7">A8+A17+A26</f>
        <v>0</v>
      </c>
      <c r="B30" s="1">
        <f t="shared" si="7"/>
        <v>0</v>
      </c>
      <c r="C30" s="1">
        <f t="shared" si="7"/>
        <v>0</v>
      </c>
      <c r="D30" s="1">
        <f t="shared" si="7"/>
        <v>0</v>
      </c>
      <c r="E30" s="1">
        <f t="shared" si="7"/>
        <v>0</v>
      </c>
      <c r="F30" s="1">
        <f t="shared" si="7"/>
        <v>5</v>
      </c>
      <c r="G30" s="1">
        <f t="shared" si="7"/>
        <v>10</v>
      </c>
      <c r="H30" s="1">
        <f t="shared" si="7"/>
        <v>15</v>
      </c>
      <c r="I30" s="1">
        <f t="shared" si="7"/>
        <v>20</v>
      </c>
      <c r="J30" s="1">
        <f t="shared" si="7"/>
        <v>25</v>
      </c>
      <c r="K30" s="1">
        <f t="shared" si="7"/>
        <v>30</v>
      </c>
      <c r="L30" s="1">
        <f t="shared" si="7"/>
        <v>30</v>
      </c>
      <c r="M30" s="1">
        <f t="shared" si="7"/>
        <v>30</v>
      </c>
      <c r="N30" s="1">
        <f t="shared" si="7"/>
        <v>30</v>
      </c>
      <c r="O30" s="1">
        <f t="shared" si="7"/>
        <v>30</v>
      </c>
    </row>
    <row r="31" spans="1:15" x14ac:dyDescent="0.25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1:15" x14ac:dyDescent="0.25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1:13" x14ac:dyDescent="0.25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1:13" x14ac:dyDescent="0.25">
      <c r="A34" s="3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1:13" x14ac:dyDescent="0.25">
      <c r="A35" s="3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1:13" x14ac:dyDescent="0.25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1:13" x14ac:dyDescent="0.25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1:13" x14ac:dyDescent="0.25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1:13" x14ac:dyDescent="0.25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1:13" x14ac:dyDescent="0.25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1:13" x14ac:dyDescent="0.25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1:13" x14ac:dyDescent="0.25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1:13" x14ac:dyDescent="0.25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Drop Down 1">
              <controlPr defaultSize="0" autoLine="0" autoPict="0">
                <anchor moveWithCells="1">
                  <from>
                    <xdr:col>0</xdr:col>
                    <xdr:colOff>114300</xdr:colOff>
                    <xdr:row>3</xdr:row>
                    <xdr:rowOff>133350</xdr:rowOff>
                  </from>
                  <to>
                    <xdr:col>1</xdr:col>
                    <xdr:colOff>57150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Drop Down 2">
              <controlPr defaultSize="0" autoLine="0" autoPict="0">
                <anchor moveWithCells="1">
                  <from>
                    <xdr:col>1</xdr:col>
                    <xdr:colOff>419100</xdr:colOff>
                    <xdr:row>3</xdr:row>
                    <xdr:rowOff>133350</xdr:rowOff>
                  </from>
                  <to>
                    <xdr:col>2</xdr:col>
                    <xdr:colOff>628650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Drop Down 3">
              <controlPr defaultSize="0" autoLine="0" autoPict="0">
                <anchor moveWithCells="1">
                  <from>
                    <xdr:col>0</xdr:col>
                    <xdr:colOff>114300</xdr:colOff>
                    <xdr:row>12</xdr:row>
                    <xdr:rowOff>133350</xdr:rowOff>
                  </from>
                  <to>
                    <xdr:col>1</xdr:col>
                    <xdr:colOff>66675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Drop Down 4">
              <controlPr defaultSize="0" autoLine="0" autoPict="0">
                <anchor moveWithCells="1">
                  <from>
                    <xdr:col>1</xdr:col>
                    <xdr:colOff>419100</xdr:colOff>
                    <xdr:row>12</xdr:row>
                    <xdr:rowOff>142875</xdr:rowOff>
                  </from>
                  <to>
                    <xdr:col>2</xdr:col>
                    <xdr:colOff>628650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Drop Down 5">
              <controlPr defaultSize="0" autoLine="0" autoPict="0">
                <anchor moveWithCells="1">
                  <from>
                    <xdr:col>0</xdr:col>
                    <xdr:colOff>114300</xdr:colOff>
                    <xdr:row>12</xdr:row>
                    <xdr:rowOff>133350</xdr:rowOff>
                  </from>
                  <to>
                    <xdr:col>1</xdr:col>
                    <xdr:colOff>66675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Drop Down 6">
              <controlPr defaultSize="0" autoLine="0" autoPict="0">
                <anchor moveWithCells="1">
                  <from>
                    <xdr:col>1</xdr:col>
                    <xdr:colOff>419100</xdr:colOff>
                    <xdr:row>12</xdr:row>
                    <xdr:rowOff>133350</xdr:rowOff>
                  </from>
                  <to>
                    <xdr:col>2</xdr:col>
                    <xdr:colOff>628650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Drop Down 7">
              <controlPr defaultSize="0" autoLine="0" autoPict="0">
                <anchor moveWithCells="1">
                  <from>
                    <xdr:col>0</xdr:col>
                    <xdr:colOff>114300</xdr:colOff>
                    <xdr:row>21</xdr:row>
                    <xdr:rowOff>133350</xdr:rowOff>
                  </from>
                  <to>
                    <xdr:col>1</xdr:col>
                    <xdr:colOff>66675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Drop Down 8">
              <controlPr defaultSize="0" autoLine="0" autoPict="0">
                <anchor moveWithCells="1">
                  <from>
                    <xdr:col>1</xdr:col>
                    <xdr:colOff>419100</xdr:colOff>
                    <xdr:row>21</xdr:row>
                    <xdr:rowOff>142875</xdr:rowOff>
                  </from>
                  <to>
                    <xdr:col>2</xdr:col>
                    <xdr:colOff>628650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Drop Down 9">
              <controlPr defaultSize="0" autoLine="0" autoPict="0">
                <anchor moveWithCells="1">
                  <from>
                    <xdr:col>0</xdr:col>
                    <xdr:colOff>114300</xdr:colOff>
                    <xdr:row>21</xdr:row>
                    <xdr:rowOff>133350</xdr:rowOff>
                  </from>
                  <to>
                    <xdr:col>1</xdr:col>
                    <xdr:colOff>66675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Drop Down 10">
              <controlPr defaultSize="0" autoLine="0" autoPict="0">
                <anchor moveWithCells="1">
                  <from>
                    <xdr:col>1</xdr:col>
                    <xdr:colOff>419100</xdr:colOff>
                    <xdr:row>21</xdr:row>
                    <xdr:rowOff>133350</xdr:rowOff>
                  </from>
                  <to>
                    <xdr:col>2</xdr:col>
                    <xdr:colOff>628650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43"/>
  <sheetViews>
    <sheetView topLeftCell="A3" zoomScaleNormal="100" workbookViewId="0">
      <selection activeCell="K36" sqref="K36"/>
    </sheetView>
  </sheetViews>
  <sheetFormatPr baseColWidth="10" defaultRowHeight="15" x14ac:dyDescent="0.25"/>
  <cols>
    <col min="1" max="1" width="15.28515625" style="1" bestFit="1" customWidth="1"/>
    <col min="2" max="2" width="11.42578125" style="1"/>
    <col min="3" max="3" width="14.140625" style="1" bestFit="1" customWidth="1"/>
    <col min="4" max="4" width="11.42578125" style="1"/>
    <col min="5" max="5" width="14.140625" style="1" bestFit="1" customWidth="1"/>
    <col min="6" max="6" width="12.7109375" style="1" bestFit="1" customWidth="1"/>
    <col min="7" max="7" width="12.28515625" style="1" bestFit="1" customWidth="1"/>
    <col min="8" max="16384" width="11.42578125" style="1"/>
  </cols>
  <sheetData>
    <row r="1" spans="1:15" ht="21" x14ac:dyDescent="0.25">
      <c r="A1" s="11" t="str">
        <f>IF(I1=1,IF(I4=1,"Call Largo","Call Corto"),IF(I1=2,IF(I4=1,"Put Largo","Put Corto"),IF(I1=3,IF(I4=1, "Stock Largo", "Stock Corto"))))</f>
        <v>Put Largo</v>
      </c>
      <c r="B1" s="2"/>
      <c r="C1" s="2"/>
      <c r="D1" s="2"/>
      <c r="E1" s="2"/>
      <c r="F1" s="2"/>
      <c r="G1" s="6"/>
      <c r="H1" s="5" t="s">
        <v>0</v>
      </c>
      <c r="I1" s="5">
        <v>2</v>
      </c>
    </row>
    <row r="2" spans="1:15" x14ac:dyDescent="0.25">
      <c r="A2" s="1" t="s">
        <v>3</v>
      </c>
      <c r="B2" s="1">
        <v>60</v>
      </c>
      <c r="G2" s="5"/>
      <c r="H2" s="5" t="s">
        <v>1</v>
      </c>
      <c r="I2" s="5"/>
    </row>
    <row r="3" spans="1:15" x14ac:dyDescent="0.25">
      <c r="A3" s="1" t="s">
        <v>2</v>
      </c>
      <c r="B3" s="1">
        <v>50</v>
      </c>
      <c r="G3" s="5"/>
      <c r="H3" s="5" t="s">
        <v>6</v>
      </c>
      <c r="I3" s="5"/>
    </row>
    <row r="4" spans="1:15" x14ac:dyDescent="0.25">
      <c r="G4" s="5"/>
      <c r="H4" s="5" t="s">
        <v>5</v>
      </c>
      <c r="I4" s="5">
        <v>1</v>
      </c>
    </row>
    <row r="5" spans="1:15" x14ac:dyDescent="0.25">
      <c r="G5" s="5"/>
      <c r="H5" s="5" t="s">
        <v>4</v>
      </c>
      <c r="I5" s="5"/>
    </row>
    <row r="6" spans="1:15" x14ac:dyDescent="0.25">
      <c r="G6" s="5"/>
      <c r="H6" s="5"/>
      <c r="I6" s="5"/>
    </row>
    <row r="7" spans="1:15" x14ac:dyDescent="0.25">
      <c r="A7" s="1">
        <v>0.01</v>
      </c>
      <c r="B7" s="1">
        <f>5</f>
        <v>5</v>
      </c>
      <c r="C7" s="1">
        <f>B7+5</f>
        <v>10</v>
      </c>
      <c r="D7" s="1">
        <f t="shared" ref="D7:O7" si="0">C7+5</f>
        <v>15</v>
      </c>
      <c r="E7" s="1">
        <f t="shared" si="0"/>
        <v>20</v>
      </c>
      <c r="F7" s="1">
        <f t="shared" si="0"/>
        <v>25</v>
      </c>
      <c r="G7" s="1">
        <f t="shared" si="0"/>
        <v>30</v>
      </c>
      <c r="H7" s="1">
        <f t="shared" si="0"/>
        <v>35</v>
      </c>
      <c r="I7" s="1">
        <f t="shared" si="0"/>
        <v>40</v>
      </c>
      <c r="J7" s="1">
        <f t="shared" si="0"/>
        <v>45</v>
      </c>
      <c r="K7" s="1">
        <f t="shared" si="0"/>
        <v>50</v>
      </c>
      <c r="L7" s="1">
        <f t="shared" si="0"/>
        <v>55</v>
      </c>
      <c r="M7" s="1">
        <f t="shared" si="0"/>
        <v>60</v>
      </c>
      <c r="N7" s="1">
        <f t="shared" si="0"/>
        <v>65</v>
      </c>
      <c r="O7" s="1">
        <f t="shared" si="0"/>
        <v>70</v>
      </c>
    </row>
    <row r="8" spans="1:15" x14ac:dyDescent="0.25">
      <c r="A8" s="1">
        <f>IF($I$1=1,(IF($I$4=1,MAX(A7-$B$3,0),-MAX(A7-$B$3,0))),IF($I$1=2,(IF($I$4=1,MAX($B$3-A7,0),-MAX($B$3-A7,0))),IF($I$4=1,A7-$B$3,$B$3-A7)))</f>
        <v>49.99</v>
      </c>
      <c r="B8" s="1">
        <f t="shared" ref="B8:O8" si="1">IF($I$1=1,(IF($I$4=1,MAX(B7-$B$3,0),-MAX(B7-$B$3,0))),IF($I$1=2,(IF($I$4=1,MAX($B$3-B7,0),-MAX($B$3-B7,0))),IF($I$4=1,B7-$B$3,$B$3-B7)))</f>
        <v>45</v>
      </c>
      <c r="C8" s="1">
        <f t="shared" si="1"/>
        <v>40</v>
      </c>
      <c r="D8" s="1">
        <f t="shared" si="1"/>
        <v>35</v>
      </c>
      <c r="E8" s="1">
        <f t="shared" si="1"/>
        <v>30</v>
      </c>
      <c r="F8" s="1">
        <f t="shared" si="1"/>
        <v>25</v>
      </c>
      <c r="G8" s="1">
        <f t="shared" si="1"/>
        <v>20</v>
      </c>
      <c r="H8" s="1">
        <f t="shared" si="1"/>
        <v>15</v>
      </c>
      <c r="I8" s="1">
        <f t="shared" si="1"/>
        <v>10</v>
      </c>
      <c r="J8" s="1">
        <f t="shared" si="1"/>
        <v>5</v>
      </c>
      <c r="K8" s="1">
        <f t="shared" si="1"/>
        <v>0</v>
      </c>
      <c r="L8" s="1">
        <f t="shared" si="1"/>
        <v>0</v>
      </c>
      <c r="M8" s="1">
        <f t="shared" si="1"/>
        <v>0</v>
      </c>
      <c r="N8" s="1">
        <f t="shared" si="1"/>
        <v>0</v>
      </c>
      <c r="O8" s="1">
        <f t="shared" si="1"/>
        <v>0</v>
      </c>
    </row>
    <row r="10" spans="1:15" ht="21" x14ac:dyDescent="0.25">
      <c r="A10" s="10" t="str">
        <f>IF(I10=1,IF(I13=1,"Call Largo","Call Corto"),IF(I10=2,IF(I13=1,"Put Largo","Put Corto"),IF(I10=3,IF(I13=1, "Stock Largo", "Stock Corto"))))</f>
        <v>Stock Largo</v>
      </c>
      <c r="B10" s="2"/>
      <c r="C10" s="2"/>
      <c r="D10" s="2"/>
      <c r="E10" s="2"/>
      <c r="F10" s="2"/>
      <c r="G10" s="6"/>
      <c r="H10" s="5" t="s">
        <v>0</v>
      </c>
      <c r="I10" s="5">
        <v>3</v>
      </c>
    </row>
    <row r="11" spans="1:15" x14ac:dyDescent="0.25">
      <c r="A11" s="1" t="s">
        <v>3</v>
      </c>
      <c r="B11" s="1">
        <v>70</v>
      </c>
      <c r="G11" s="5"/>
      <c r="H11" s="5" t="s">
        <v>1</v>
      </c>
      <c r="I11" s="5"/>
    </row>
    <row r="12" spans="1:15" x14ac:dyDescent="0.25">
      <c r="A12" s="1" t="s">
        <v>2</v>
      </c>
      <c r="B12" s="1">
        <v>40</v>
      </c>
      <c r="G12" s="5"/>
      <c r="H12" s="5" t="s">
        <v>6</v>
      </c>
      <c r="I12" s="5"/>
    </row>
    <row r="13" spans="1:15" x14ac:dyDescent="0.25">
      <c r="G13" s="5"/>
      <c r="H13" s="5" t="s">
        <v>5</v>
      </c>
      <c r="I13" s="5">
        <v>1</v>
      </c>
    </row>
    <row r="14" spans="1:15" x14ac:dyDescent="0.25">
      <c r="G14" s="5"/>
      <c r="H14" s="5" t="s">
        <v>4</v>
      </c>
      <c r="I14" s="5"/>
    </row>
    <row r="15" spans="1:15" x14ac:dyDescent="0.25">
      <c r="G15" s="5"/>
      <c r="H15" s="5"/>
      <c r="I15" s="5"/>
    </row>
    <row r="16" spans="1:15" x14ac:dyDescent="0.25">
      <c r="A16" s="1">
        <v>0.01</v>
      </c>
      <c r="B16" s="1">
        <f>5</f>
        <v>5</v>
      </c>
      <c r="C16" s="1">
        <f>B16+5</f>
        <v>10</v>
      </c>
      <c r="D16" s="1">
        <f t="shared" ref="D16:O16" si="2">C16+5</f>
        <v>15</v>
      </c>
      <c r="E16" s="1">
        <f t="shared" si="2"/>
        <v>20</v>
      </c>
      <c r="F16" s="1">
        <f t="shared" si="2"/>
        <v>25</v>
      </c>
      <c r="G16" s="1">
        <f t="shared" si="2"/>
        <v>30</v>
      </c>
      <c r="H16" s="1">
        <f t="shared" si="2"/>
        <v>35</v>
      </c>
      <c r="I16" s="1">
        <f t="shared" si="2"/>
        <v>40</v>
      </c>
      <c r="J16" s="1">
        <f t="shared" si="2"/>
        <v>45</v>
      </c>
      <c r="K16" s="1">
        <f t="shared" si="2"/>
        <v>50</v>
      </c>
      <c r="L16" s="1">
        <f t="shared" si="2"/>
        <v>55</v>
      </c>
      <c r="M16" s="1">
        <f t="shared" si="2"/>
        <v>60</v>
      </c>
      <c r="N16" s="1">
        <f t="shared" si="2"/>
        <v>65</v>
      </c>
      <c r="O16" s="1">
        <f t="shared" si="2"/>
        <v>70</v>
      </c>
    </row>
    <row r="17" spans="1:15" x14ac:dyDescent="0.25">
      <c r="A17" s="1">
        <f>IF($I$10=1,(IF($I$13=1,MAX(A16-$B$12,0),-MAX(A16-$B$12,0))),IF($I$10=2,(IF($I$13=1,MAX($B$12-A16,0),-MAX($B$12-A16,0))),IF($I$13=1,A16-$B$12,$B$12-A16)))</f>
        <v>-39.99</v>
      </c>
      <c r="B17" s="1">
        <f t="shared" ref="B17:O17" si="3">IF($I$10=1,(IF($I$13=1,MAX(B16-$B$12,0),-MAX(B16-$B$12,0))),IF($I$10=2,(IF($I$13=1,MAX($B$12-B16,0),-MAX($B$12-B16,0))),IF($I$13=1,B16-$B$12,$B$12-B16)))</f>
        <v>-35</v>
      </c>
      <c r="C17" s="1">
        <f t="shared" si="3"/>
        <v>-30</v>
      </c>
      <c r="D17" s="1">
        <f t="shared" si="3"/>
        <v>-25</v>
      </c>
      <c r="E17" s="1">
        <f t="shared" si="3"/>
        <v>-20</v>
      </c>
      <c r="F17" s="1">
        <f t="shared" si="3"/>
        <v>-15</v>
      </c>
      <c r="G17" s="1">
        <f t="shared" si="3"/>
        <v>-10</v>
      </c>
      <c r="H17" s="1">
        <f t="shared" si="3"/>
        <v>-5</v>
      </c>
      <c r="I17" s="1">
        <f t="shared" si="3"/>
        <v>0</v>
      </c>
      <c r="J17" s="1">
        <f t="shared" si="3"/>
        <v>5</v>
      </c>
      <c r="K17" s="1">
        <f t="shared" si="3"/>
        <v>10</v>
      </c>
      <c r="L17" s="1">
        <f t="shared" si="3"/>
        <v>15</v>
      </c>
      <c r="M17" s="1">
        <f t="shared" si="3"/>
        <v>20</v>
      </c>
      <c r="N17" s="1">
        <f t="shared" si="3"/>
        <v>25</v>
      </c>
      <c r="O17" s="1">
        <f t="shared" si="3"/>
        <v>30</v>
      </c>
    </row>
    <row r="19" spans="1:15" ht="21" x14ac:dyDescent="0.25">
      <c r="A19" s="9" t="str">
        <f>IF(I19=1,IF(I22=1,"Call Largo","Call Corto"),IF(I19=2,IF(I22=1,"Put Largo","Put Corto"),IF(I19=3,IF(I22=1, "Stock Largo", "Stock Corto"))))</f>
        <v>Call Corto</v>
      </c>
      <c r="B19" s="2"/>
      <c r="C19" s="2"/>
      <c r="D19" s="2"/>
      <c r="E19" s="2"/>
      <c r="F19" s="2"/>
      <c r="G19" s="6"/>
      <c r="H19" s="5" t="s">
        <v>0</v>
      </c>
      <c r="I19" s="5">
        <v>1</v>
      </c>
    </row>
    <row r="20" spans="1:15" x14ac:dyDescent="0.25">
      <c r="A20" s="1" t="s">
        <v>3</v>
      </c>
      <c r="B20" s="1">
        <v>60</v>
      </c>
      <c r="G20" s="5"/>
      <c r="H20" s="5" t="s">
        <v>1</v>
      </c>
      <c r="I20" s="5"/>
    </row>
    <row r="21" spans="1:15" x14ac:dyDescent="0.25">
      <c r="A21" s="1" t="s">
        <v>2</v>
      </c>
      <c r="B21" s="1">
        <v>20</v>
      </c>
      <c r="G21" s="5"/>
      <c r="H21" s="5" t="s">
        <v>6</v>
      </c>
      <c r="I21" s="5"/>
    </row>
    <row r="22" spans="1:15" x14ac:dyDescent="0.25">
      <c r="G22" s="5"/>
      <c r="H22" s="5" t="s">
        <v>5</v>
      </c>
      <c r="I22" s="5">
        <v>2</v>
      </c>
    </row>
    <row r="23" spans="1:15" x14ac:dyDescent="0.25">
      <c r="G23" s="5"/>
      <c r="H23" s="5" t="s">
        <v>4</v>
      </c>
      <c r="I23" s="5"/>
    </row>
    <row r="24" spans="1:15" x14ac:dyDescent="0.25">
      <c r="G24" s="5"/>
      <c r="H24" s="5"/>
      <c r="I24" s="5"/>
    </row>
    <row r="25" spans="1:15" x14ac:dyDescent="0.25">
      <c r="A25" s="1">
        <v>0.01</v>
      </c>
      <c r="B25" s="1">
        <f>5</f>
        <v>5</v>
      </c>
      <c r="C25" s="1">
        <f>B25+5</f>
        <v>10</v>
      </c>
      <c r="D25" s="1">
        <f t="shared" ref="D25:O25" si="4">C25+5</f>
        <v>15</v>
      </c>
      <c r="E25" s="1">
        <f t="shared" si="4"/>
        <v>20</v>
      </c>
      <c r="F25" s="1">
        <f t="shared" si="4"/>
        <v>25</v>
      </c>
      <c r="G25" s="1">
        <f t="shared" si="4"/>
        <v>30</v>
      </c>
      <c r="H25" s="1">
        <f t="shared" si="4"/>
        <v>35</v>
      </c>
      <c r="I25" s="1">
        <f t="shared" si="4"/>
        <v>40</v>
      </c>
      <c r="J25" s="1">
        <f t="shared" si="4"/>
        <v>45</v>
      </c>
      <c r="K25" s="1">
        <f t="shared" si="4"/>
        <v>50</v>
      </c>
      <c r="L25" s="1">
        <f t="shared" si="4"/>
        <v>55</v>
      </c>
      <c r="M25" s="1">
        <f t="shared" si="4"/>
        <v>60</v>
      </c>
      <c r="N25" s="1">
        <f t="shared" si="4"/>
        <v>65</v>
      </c>
      <c r="O25" s="1">
        <f t="shared" si="4"/>
        <v>70</v>
      </c>
    </row>
    <row r="26" spans="1:15" x14ac:dyDescent="0.25">
      <c r="A26" s="1">
        <f>IF($I$19=1,(IF($I$22=1,MAX(A25-$B$21,0),-MAX(A25-$B$21,0))),IF($I$19=2,(IF($I$22=1,MAX($B$21-A25,0),-MAX($B$21-A25,0))),IF($I$22=1,A25-$B$21,$B$21-A25)))</f>
        <v>0</v>
      </c>
      <c r="B26" s="1">
        <f t="shared" ref="B26:O26" si="5">IF($I$19=1,(IF($I$22=1,MAX(B25-$B$21,0),-MAX(B25-$B$21,0))),IF($I$19=2,(IF($I$22=1,MAX($B$21-B25,0),-MAX($B$21-B25,0))),IF($I$22=1,B25-$B$21,$B$21-B25)))</f>
        <v>0</v>
      </c>
      <c r="C26" s="1">
        <f t="shared" si="5"/>
        <v>0</v>
      </c>
      <c r="D26" s="1">
        <f t="shared" si="5"/>
        <v>0</v>
      </c>
      <c r="E26" s="1">
        <f t="shared" si="5"/>
        <v>0</v>
      </c>
      <c r="F26" s="1">
        <f t="shared" si="5"/>
        <v>-5</v>
      </c>
      <c r="G26" s="1">
        <f t="shared" si="5"/>
        <v>-10</v>
      </c>
      <c r="H26" s="1">
        <f t="shared" si="5"/>
        <v>-15</v>
      </c>
      <c r="I26" s="1">
        <f t="shared" si="5"/>
        <v>-20</v>
      </c>
      <c r="J26" s="1">
        <f t="shared" si="5"/>
        <v>-25</v>
      </c>
      <c r="K26" s="1">
        <f t="shared" si="5"/>
        <v>-30</v>
      </c>
      <c r="L26" s="1">
        <f t="shared" si="5"/>
        <v>-35</v>
      </c>
      <c r="M26" s="1">
        <f t="shared" si="5"/>
        <v>-40</v>
      </c>
      <c r="N26" s="1">
        <f t="shared" si="5"/>
        <v>-45</v>
      </c>
      <c r="O26" s="1">
        <f t="shared" si="5"/>
        <v>-50</v>
      </c>
    </row>
    <row r="28" spans="1:15" ht="21" x14ac:dyDescent="0.25">
      <c r="A28" s="7" t="str">
        <f>A1</f>
        <v>Put Largo</v>
      </c>
      <c r="B28" s="7" t="s">
        <v>7</v>
      </c>
      <c r="C28" s="7" t="str">
        <f>A10</f>
        <v>Stock Largo</v>
      </c>
      <c r="D28" s="7" t="s">
        <v>7</v>
      </c>
      <c r="E28" s="7" t="str">
        <f>A19</f>
        <v>Call Corto</v>
      </c>
      <c r="F28" s="4"/>
      <c r="G28" s="4"/>
      <c r="H28" s="5"/>
      <c r="I28" s="5"/>
    </row>
    <row r="29" spans="1:15" x14ac:dyDescent="0.25">
      <c r="A29" s="1">
        <v>0.01</v>
      </c>
      <c r="B29" s="1">
        <f>5</f>
        <v>5</v>
      </c>
      <c r="C29" s="1">
        <f>B29+5</f>
        <v>10</v>
      </c>
      <c r="D29" s="1">
        <f t="shared" ref="D29:O29" si="6">C29+5</f>
        <v>15</v>
      </c>
      <c r="E29" s="1">
        <f t="shared" si="6"/>
        <v>20</v>
      </c>
      <c r="F29" s="1">
        <f t="shared" si="6"/>
        <v>25</v>
      </c>
      <c r="G29" s="1">
        <f t="shared" si="6"/>
        <v>30</v>
      </c>
      <c r="H29" s="1">
        <f t="shared" si="6"/>
        <v>35</v>
      </c>
      <c r="I29" s="1">
        <f t="shared" si="6"/>
        <v>40</v>
      </c>
      <c r="J29" s="1">
        <f t="shared" si="6"/>
        <v>45</v>
      </c>
      <c r="K29" s="1">
        <f t="shared" si="6"/>
        <v>50</v>
      </c>
      <c r="L29" s="1">
        <f t="shared" si="6"/>
        <v>55</v>
      </c>
      <c r="M29" s="1">
        <f t="shared" si="6"/>
        <v>60</v>
      </c>
      <c r="N29" s="1">
        <f t="shared" si="6"/>
        <v>65</v>
      </c>
      <c r="O29" s="1">
        <f t="shared" si="6"/>
        <v>70</v>
      </c>
    </row>
    <row r="30" spans="1:15" x14ac:dyDescent="0.25">
      <c r="A30" s="1">
        <f>A8+A17+A26</f>
        <v>10</v>
      </c>
      <c r="B30" s="1">
        <f t="shared" ref="B30:O30" si="7">B8+B17+B26</f>
        <v>10</v>
      </c>
      <c r="C30" s="1">
        <f t="shared" si="7"/>
        <v>10</v>
      </c>
      <c r="D30" s="1">
        <f t="shared" si="7"/>
        <v>10</v>
      </c>
      <c r="E30" s="1">
        <f t="shared" si="7"/>
        <v>10</v>
      </c>
      <c r="F30" s="1">
        <f t="shared" si="7"/>
        <v>5</v>
      </c>
      <c r="G30" s="1">
        <f t="shared" si="7"/>
        <v>0</v>
      </c>
      <c r="H30" s="1">
        <f t="shared" si="7"/>
        <v>-5</v>
      </c>
      <c r="I30" s="1">
        <f t="shared" si="7"/>
        <v>-10</v>
      </c>
      <c r="J30" s="1">
        <f t="shared" si="7"/>
        <v>-15</v>
      </c>
      <c r="K30" s="1">
        <f t="shared" si="7"/>
        <v>-20</v>
      </c>
      <c r="L30" s="1">
        <f t="shared" si="7"/>
        <v>-20</v>
      </c>
      <c r="M30" s="1">
        <f t="shared" si="7"/>
        <v>-20</v>
      </c>
      <c r="N30" s="1">
        <f t="shared" si="7"/>
        <v>-20</v>
      </c>
      <c r="O30" s="1">
        <f t="shared" si="7"/>
        <v>-20</v>
      </c>
    </row>
    <row r="31" spans="1:15" x14ac:dyDescent="0.25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1:15" x14ac:dyDescent="0.25">
      <c r="B32" s="4"/>
      <c r="C32" s="4"/>
      <c r="D32" s="4"/>
      <c r="E32" s="4"/>
      <c r="F32" s="4"/>
      <c r="G32" s="4"/>
      <c r="H32" s="4"/>
      <c r="I32" s="4"/>
      <c r="J32" s="4">
        <v>8</v>
      </c>
      <c r="K32" s="4"/>
      <c r="L32" s="4"/>
      <c r="M32" s="4"/>
    </row>
    <row r="33" spans="1:13" x14ac:dyDescent="0.25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1:13" x14ac:dyDescent="0.25">
      <c r="A34" s="3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1:13" x14ac:dyDescent="0.25">
      <c r="A35" s="3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1:13" x14ac:dyDescent="0.25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1:13" x14ac:dyDescent="0.25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1:13" x14ac:dyDescent="0.25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1:13" x14ac:dyDescent="0.25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1:13" x14ac:dyDescent="0.25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1:13" x14ac:dyDescent="0.25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1:13" x14ac:dyDescent="0.25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1:13" x14ac:dyDescent="0.25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Drop Down 1">
              <controlPr defaultSize="0" autoLine="0" autoPict="0">
                <anchor moveWithCells="1">
                  <from>
                    <xdr:col>0</xdr:col>
                    <xdr:colOff>114300</xdr:colOff>
                    <xdr:row>3</xdr:row>
                    <xdr:rowOff>133350</xdr:rowOff>
                  </from>
                  <to>
                    <xdr:col>1</xdr:col>
                    <xdr:colOff>57150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Drop Down 2">
              <controlPr defaultSize="0" autoLine="0" autoPict="0">
                <anchor moveWithCells="1">
                  <from>
                    <xdr:col>1</xdr:col>
                    <xdr:colOff>419100</xdr:colOff>
                    <xdr:row>3</xdr:row>
                    <xdr:rowOff>133350</xdr:rowOff>
                  </from>
                  <to>
                    <xdr:col>2</xdr:col>
                    <xdr:colOff>628650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Drop Down 3">
              <controlPr defaultSize="0" autoLine="0" autoPict="0">
                <anchor moveWithCells="1">
                  <from>
                    <xdr:col>0</xdr:col>
                    <xdr:colOff>114300</xdr:colOff>
                    <xdr:row>12</xdr:row>
                    <xdr:rowOff>133350</xdr:rowOff>
                  </from>
                  <to>
                    <xdr:col>1</xdr:col>
                    <xdr:colOff>66675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Drop Down 4">
              <controlPr defaultSize="0" autoLine="0" autoPict="0">
                <anchor moveWithCells="1">
                  <from>
                    <xdr:col>1</xdr:col>
                    <xdr:colOff>419100</xdr:colOff>
                    <xdr:row>12</xdr:row>
                    <xdr:rowOff>142875</xdr:rowOff>
                  </from>
                  <to>
                    <xdr:col>2</xdr:col>
                    <xdr:colOff>628650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Drop Down 5">
              <controlPr defaultSize="0" autoLine="0" autoPict="0">
                <anchor moveWithCells="1">
                  <from>
                    <xdr:col>0</xdr:col>
                    <xdr:colOff>114300</xdr:colOff>
                    <xdr:row>12</xdr:row>
                    <xdr:rowOff>133350</xdr:rowOff>
                  </from>
                  <to>
                    <xdr:col>1</xdr:col>
                    <xdr:colOff>66675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9" name="Drop Down 6">
              <controlPr defaultSize="0" autoLine="0" autoPict="0">
                <anchor moveWithCells="1">
                  <from>
                    <xdr:col>1</xdr:col>
                    <xdr:colOff>419100</xdr:colOff>
                    <xdr:row>12</xdr:row>
                    <xdr:rowOff>133350</xdr:rowOff>
                  </from>
                  <to>
                    <xdr:col>2</xdr:col>
                    <xdr:colOff>628650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10" name="Drop Down 7">
              <controlPr defaultSize="0" autoLine="0" autoPict="0">
                <anchor moveWithCells="1">
                  <from>
                    <xdr:col>0</xdr:col>
                    <xdr:colOff>114300</xdr:colOff>
                    <xdr:row>21</xdr:row>
                    <xdr:rowOff>133350</xdr:rowOff>
                  </from>
                  <to>
                    <xdr:col>1</xdr:col>
                    <xdr:colOff>66675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1" name="Drop Down 8">
              <controlPr defaultSize="0" autoLine="0" autoPict="0">
                <anchor moveWithCells="1">
                  <from>
                    <xdr:col>1</xdr:col>
                    <xdr:colOff>419100</xdr:colOff>
                    <xdr:row>21</xdr:row>
                    <xdr:rowOff>142875</xdr:rowOff>
                  </from>
                  <to>
                    <xdr:col>2</xdr:col>
                    <xdr:colOff>628650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12" name="Drop Down 9">
              <controlPr defaultSize="0" autoLine="0" autoPict="0">
                <anchor moveWithCells="1">
                  <from>
                    <xdr:col>0</xdr:col>
                    <xdr:colOff>114300</xdr:colOff>
                    <xdr:row>21</xdr:row>
                    <xdr:rowOff>133350</xdr:rowOff>
                  </from>
                  <to>
                    <xdr:col>1</xdr:col>
                    <xdr:colOff>66675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13" name="Drop Down 10">
              <controlPr defaultSize="0" autoLine="0" autoPict="0">
                <anchor moveWithCells="1">
                  <from>
                    <xdr:col>1</xdr:col>
                    <xdr:colOff>419100</xdr:colOff>
                    <xdr:row>21</xdr:row>
                    <xdr:rowOff>133350</xdr:rowOff>
                  </from>
                  <to>
                    <xdr:col>2</xdr:col>
                    <xdr:colOff>628650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W88"/>
  <sheetViews>
    <sheetView zoomScale="80" zoomScaleNormal="80" workbookViewId="0">
      <selection activeCell="C77" sqref="C77"/>
    </sheetView>
  </sheetViews>
  <sheetFormatPr baseColWidth="10" defaultRowHeight="15" x14ac:dyDescent="0.25"/>
  <cols>
    <col min="1" max="1" width="15.28515625" style="1" bestFit="1" customWidth="1"/>
    <col min="2" max="2" width="11.42578125" style="1"/>
    <col min="3" max="3" width="14.140625" style="1" bestFit="1" customWidth="1"/>
    <col min="4" max="4" width="11.42578125" style="1"/>
    <col min="5" max="5" width="14.140625" style="1" bestFit="1" customWidth="1"/>
    <col min="6" max="6" width="12.7109375" style="1" bestFit="1" customWidth="1"/>
    <col min="7" max="7" width="12.28515625" style="1" bestFit="1" customWidth="1"/>
    <col min="8" max="8" width="11.42578125" style="1"/>
    <col min="9" max="9" width="13.42578125" style="1" bestFit="1" customWidth="1"/>
    <col min="10" max="10" width="11.42578125" style="1"/>
    <col min="11" max="11" width="13.5703125" style="1" bestFit="1" customWidth="1"/>
    <col min="12" max="12" width="11.42578125" style="1"/>
    <col min="13" max="13" width="13.5703125" style="1" bestFit="1" customWidth="1"/>
    <col min="14" max="14" width="11.42578125" style="1"/>
    <col min="15" max="15" width="13.5703125" style="1" bestFit="1" customWidth="1"/>
    <col min="16" max="16384" width="11.42578125" style="1"/>
  </cols>
  <sheetData>
    <row r="1" spans="1:23" ht="21" x14ac:dyDescent="0.25">
      <c r="A1" s="11" t="str">
        <f>IF(I1=1,IF(I4=1,"Call Largo","Call Corto"),IF(I1=2,IF(I4=1,"Put Largo","Put Corto"),IF(I1=3,IF(I4=1, "Stock Largo", "Stock Corto"))))</f>
        <v>Stock Corto</v>
      </c>
      <c r="B1" s="2"/>
      <c r="C1" s="2"/>
      <c r="D1" s="2"/>
      <c r="E1" s="2"/>
      <c r="F1" s="2"/>
      <c r="G1" s="6"/>
      <c r="H1" s="13" t="s">
        <v>0</v>
      </c>
      <c r="I1" s="13">
        <v>3</v>
      </c>
    </row>
    <row r="2" spans="1:23" x14ac:dyDescent="0.25">
      <c r="A2" s="1" t="s">
        <v>3</v>
      </c>
      <c r="B2" s="1">
        <v>60</v>
      </c>
      <c r="G2" s="5"/>
      <c r="H2" s="13" t="s">
        <v>1</v>
      </c>
      <c r="I2" s="13"/>
    </row>
    <row r="3" spans="1:23" x14ac:dyDescent="0.25">
      <c r="A3" s="1" t="s">
        <v>2</v>
      </c>
      <c r="B3" s="1">
        <v>60</v>
      </c>
      <c r="G3" s="5"/>
      <c r="H3" s="13" t="s">
        <v>6</v>
      </c>
      <c r="I3" s="13"/>
    </row>
    <row r="4" spans="1:23" x14ac:dyDescent="0.25">
      <c r="G4" s="5"/>
      <c r="H4" s="13" t="s">
        <v>5</v>
      </c>
      <c r="I4" s="13">
        <v>2</v>
      </c>
    </row>
    <row r="5" spans="1:23" x14ac:dyDescent="0.25">
      <c r="G5" s="5"/>
      <c r="H5" s="13" t="s">
        <v>4</v>
      </c>
      <c r="I5" s="13"/>
    </row>
    <row r="6" spans="1:23" x14ac:dyDescent="0.25">
      <c r="G6" s="5"/>
      <c r="H6" s="5"/>
      <c r="I6" s="5"/>
    </row>
    <row r="7" spans="1:23" x14ac:dyDescent="0.25">
      <c r="A7" s="1">
        <v>0.01</v>
      </c>
      <c r="B7" s="1">
        <f>5</f>
        <v>5</v>
      </c>
      <c r="C7" s="1">
        <f>B7+5</f>
        <v>10</v>
      </c>
      <c r="D7" s="1">
        <f t="shared" ref="D7:O7" si="0">C7+5</f>
        <v>15</v>
      </c>
      <c r="E7" s="1">
        <f t="shared" si="0"/>
        <v>20</v>
      </c>
      <c r="F7" s="1">
        <f t="shared" si="0"/>
        <v>25</v>
      </c>
      <c r="G7" s="1">
        <f t="shared" si="0"/>
        <v>30</v>
      </c>
      <c r="H7" s="1">
        <f t="shared" si="0"/>
        <v>35</v>
      </c>
      <c r="I7" s="1">
        <f t="shared" si="0"/>
        <v>40</v>
      </c>
      <c r="J7" s="1">
        <f t="shared" si="0"/>
        <v>45</v>
      </c>
      <c r="K7" s="1">
        <f t="shared" si="0"/>
        <v>50</v>
      </c>
      <c r="L7" s="1">
        <f t="shared" si="0"/>
        <v>55</v>
      </c>
      <c r="M7" s="1">
        <f t="shared" si="0"/>
        <v>60</v>
      </c>
      <c r="N7" s="1">
        <f t="shared" si="0"/>
        <v>65</v>
      </c>
      <c r="O7" s="1">
        <f t="shared" si="0"/>
        <v>70</v>
      </c>
      <c r="P7" s="1">
        <f t="shared" ref="P7" si="1">O7+5</f>
        <v>75</v>
      </c>
      <c r="Q7" s="1">
        <f t="shared" ref="Q7" si="2">P7+5</f>
        <v>80</v>
      </c>
      <c r="R7" s="1">
        <f t="shared" ref="R7" si="3">Q7+5</f>
        <v>85</v>
      </c>
      <c r="S7" s="1">
        <f t="shared" ref="S7" si="4">R7+5</f>
        <v>90</v>
      </c>
      <c r="T7" s="1">
        <f t="shared" ref="T7" si="5">S7+5</f>
        <v>95</v>
      </c>
      <c r="U7" s="1">
        <f t="shared" ref="U7" si="6">T7+5</f>
        <v>100</v>
      </c>
      <c r="V7" s="1">
        <f t="shared" ref="V7" si="7">U7+5</f>
        <v>105</v>
      </c>
      <c r="W7" s="1">
        <f t="shared" ref="W7" si="8">V7+5</f>
        <v>110</v>
      </c>
    </row>
    <row r="8" spans="1:23" x14ac:dyDescent="0.25">
      <c r="A8" s="1">
        <f>IF($I$1=1,(IF($I$4=1,MAX(A7-$B$3,0),-MAX(A7-$B$3,0))),IF($I$1=2,(IF($I$4=1,MAX($B$3-A7,0),-MAX($B$3-A7,0))),IF($I$4=1,A7-$B$3,$B$3-A7)))</f>
        <v>59.99</v>
      </c>
      <c r="B8" s="1">
        <f t="shared" ref="B8:W8" si="9">IF($I$1=1,(IF($I$4=1,MAX(B7-$B$3,0),-MAX(B7-$B$3,0))),IF($I$1=2,(IF($I$4=1,MAX($B$3-B7,0),-MAX($B$3-B7,0))),IF($I$4=1,B7-$B$3,$B$3-B7)))</f>
        <v>55</v>
      </c>
      <c r="C8" s="1">
        <f t="shared" si="9"/>
        <v>50</v>
      </c>
      <c r="D8" s="1">
        <f t="shared" si="9"/>
        <v>45</v>
      </c>
      <c r="E8" s="1">
        <f t="shared" si="9"/>
        <v>40</v>
      </c>
      <c r="F8" s="1">
        <f t="shared" si="9"/>
        <v>35</v>
      </c>
      <c r="G8" s="1">
        <f t="shared" si="9"/>
        <v>30</v>
      </c>
      <c r="H8" s="1">
        <f t="shared" si="9"/>
        <v>25</v>
      </c>
      <c r="I8" s="1">
        <f t="shared" si="9"/>
        <v>20</v>
      </c>
      <c r="J8" s="1">
        <f t="shared" si="9"/>
        <v>15</v>
      </c>
      <c r="K8" s="1">
        <f t="shared" si="9"/>
        <v>10</v>
      </c>
      <c r="L8" s="1">
        <f t="shared" si="9"/>
        <v>5</v>
      </c>
      <c r="M8" s="1">
        <f t="shared" si="9"/>
        <v>0</v>
      </c>
      <c r="N8" s="1">
        <f t="shared" si="9"/>
        <v>-5</v>
      </c>
      <c r="O8" s="1">
        <f t="shared" si="9"/>
        <v>-10</v>
      </c>
      <c r="P8" s="1">
        <f t="shared" si="9"/>
        <v>-15</v>
      </c>
      <c r="Q8" s="1">
        <f t="shared" si="9"/>
        <v>-20</v>
      </c>
      <c r="R8" s="1">
        <f t="shared" si="9"/>
        <v>-25</v>
      </c>
      <c r="S8" s="1">
        <f t="shared" si="9"/>
        <v>-30</v>
      </c>
      <c r="T8" s="1">
        <f t="shared" si="9"/>
        <v>-35</v>
      </c>
      <c r="U8" s="1">
        <f t="shared" si="9"/>
        <v>-40</v>
      </c>
      <c r="V8" s="1">
        <f t="shared" si="9"/>
        <v>-45</v>
      </c>
      <c r="W8" s="1">
        <f t="shared" si="9"/>
        <v>-50</v>
      </c>
    </row>
    <row r="10" spans="1:23" ht="21" x14ac:dyDescent="0.25">
      <c r="A10" s="10" t="str">
        <f>IF(I10=1,IF(I13=1,"Call Largo","Call Corto"),IF(I10=2,IF(I13=1,"Put Largo","Put Corto"),IF(I10=3,IF(I13=1, "Stock Largo", "Stock Corto"))))</f>
        <v>Stock Largo</v>
      </c>
      <c r="B10" s="2"/>
      <c r="C10" s="2"/>
      <c r="D10" s="2"/>
      <c r="E10" s="2"/>
      <c r="F10" s="2"/>
      <c r="G10" s="6"/>
      <c r="H10" s="13" t="s">
        <v>0</v>
      </c>
      <c r="I10" s="13">
        <v>3</v>
      </c>
    </row>
    <row r="11" spans="1:23" x14ac:dyDescent="0.25">
      <c r="A11" s="1" t="s">
        <v>3</v>
      </c>
      <c r="B11" s="1">
        <v>70</v>
      </c>
      <c r="G11" s="5"/>
      <c r="H11" s="13" t="s">
        <v>1</v>
      </c>
      <c r="I11" s="13"/>
    </row>
    <row r="12" spans="1:23" x14ac:dyDescent="0.25">
      <c r="A12" s="1" t="s">
        <v>2</v>
      </c>
      <c r="B12" s="1">
        <v>50</v>
      </c>
      <c r="G12" s="5"/>
      <c r="H12" s="13" t="s">
        <v>6</v>
      </c>
      <c r="I12" s="13"/>
    </row>
    <row r="13" spans="1:23" x14ac:dyDescent="0.25">
      <c r="G13" s="5"/>
      <c r="H13" s="13" t="s">
        <v>5</v>
      </c>
      <c r="I13" s="13">
        <v>1</v>
      </c>
    </row>
    <row r="14" spans="1:23" x14ac:dyDescent="0.25">
      <c r="G14" s="5"/>
      <c r="H14" s="13" t="s">
        <v>4</v>
      </c>
      <c r="I14" s="13"/>
    </row>
    <row r="15" spans="1:23" x14ac:dyDescent="0.25">
      <c r="G15" s="5"/>
      <c r="H15" s="5"/>
      <c r="I15" s="5"/>
    </row>
    <row r="16" spans="1:23" x14ac:dyDescent="0.25">
      <c r="A16" s="1">
        <v>0.01</v>
      </c>
      <c r="B16" s="1">
        <f>5</f>
        <v>5</v>
      </c>
      <c r="C16" s="1">
        <f>B16+5</f>
        <v>10</v>
      </c>
      <c r="D16" s="1">
        <f t="shared" ref="D16:O16" si="10">C16+5</f>
        <v>15</v>
      </c>
      <c r="E16" s="1">
        <f t="shared" si="10"/>
        <v>20</v>
      </c>
      <c r="F16" s="1">
        <f t="shared" si="10"/>
        <v>25</v>
      </c>
      <c r="G16" s="1">
        <f t="shared" si="10"/>
        <v>30</v>
      </c>
      <c r="H16" s="1">
        <f t="shared" si="10"/>
        <v>35</v>
      </c>
      <c r="I16" s="1">
        <f t="shared" si="10"/>
        <v>40</v>
      </c>
      <c r="J16" s="1">
        <f t="shared" si="10"/>
        <v>45</v>
      </c>
      <c r="K16" s="1">
        <f t="shared" si="10"/>
        <v>50</v>
      </c>
      <c r="L16" s="1">
        <f t="shared" si="10"/>
        <v>55</v>
      </c>
      <c r="M16" s="1">
        <f t="shared" si="10"/>
        <v>60</v>
      </c>
      <c r="N16" s="1">
        <f t="shared" si="10"/>
        <v>65</v>
      </c>
      <c r="O16" s="1">
        <f t="shared" si="10"/>
        <v>70</v>
      </c>
      <c r="P16" s="1">
        <f t="shared" ref="P16" si="11">O16+5</f>
        <v>75</v>
      </c>
      <c r="Q16" s="1">
        <f t="shared" ref="Q16" si="12">P16+5</f>
        <v>80</v>
      </c>
      <c r="R16" s="1">
        <f t="shared" ref="R16" si="13">Q16+5</f>
        <v>85</v>
      </c>
      <c r="S16" s="1">
        <f t="shared" ref="S16" si="14">R16+5</f>
        <v>90</v>
      </c>
      <c r="T16" s="1">
        <f t="shared" ref="T16" si="15">S16+5</f>
        <v>95</v>
      </c>
      <c r="U16" s="1">
        <f t="shared" ref="U16" si="16">T16+5</f>
        <v>100</v>
      </c>
      <c r="V16" s="1">
        <f t="shared" ref="V16" si="17">U16+5</f>
        <v>105</v>
      </c>
      <c r="W16" s="1">
        <f t="shared" ref="W16" si="18">V16+5</f>
        <v>110</v>
      </c>
    </row>
    <row r="17" spans="1:23" x14ac:dyDescent="0.25">
      <c r="A17" s="1">
        <f>IF($I$10=1,(IF($I$13=1,MAX(A16-$B$12,0),-MAX(A16-$B$12,0))),IF($I$10=2,(IF($I$13=1,MAX($B$12-A16,0),-MAX($B$12-A16,0))),IF($I$13=1,A16-$B$12,$B$12-A16)))</f>
        <v>-49.99</v>
      </c>
      <c r="B17" s="1">
        <f t="shared" ref="B17:W17" si="19">IF($I$10=1,(IF($I$13=1,MAX(B16-$B$12,0),-MAX(B16-$B$12,0))),IF($I$10=2,(IF($I$13=1,MAX($B$12-B16,0),-MAX($B$12-B16,0))),IF($I$13=1,B16-$B$12,$B$12-B16)))</f>
        <v>-45</v>
      </c>
      <c r="C17" s="1">
        <f t="shared" si="19"/>
        <v>-40</v>
      </c>
      <c r="D17" s="1">
        <f t="shared" si="19"/>
        <v>-35</v>
      </c>
      <c r="E17" s="1">
        <f t="shared" si="19"/>
        <v>-30</v>
      </c>
      <c r="F17" s="1">
        <f t="shared" si="19"/>
        <v>-25</v>
      </c>
      <c r="G17" s="1">
        <f t="shared" si="19"/>
        <v>-20</v>
      </c>
      <c r="H17" s="1">
        <f t="shared" si="19"/>
        <v>-15</v>
      </c>
      <c r="I17" s="1">
        <f t="shared" si="19"/>
        <v>-10</v>
      </c>
      <c r="J17" s="1">
        <f t="shared" si="19"/>
        <v>-5</v>
      </c>
      <c r="K17" s="1">
        <f t="shared" si="19"/>
        <v>0</v>
      </c>
      <c r="L17" s="1">
        <f t="shared" si="19"/>
        <v>5</v>
      </c>
      <c r="M17" s="1">
        <f t="shared" si="19"/>
        <v>10</v>
      </c>
      <c r="N17" s="1">
        <f t="shared" si="19"/>
        <v>15</v>
      </c>
      <c r="O17" s="1">
        <f t="shared" si="19"/>
        <v>20</v>
      </c>
      <c r="P17" s="1">
        <f t="shared" si="19"/>
        <v>25</v>
      </c>
      <c r="Q17" s="1">
        <f t="shared" si="19"/>
        <v>30</v>
      </c>
      <c r="R17" s="1">
        <f t="shared" si="19"/>
        <v>35</v>
      </c>
      <c r="S17" s="1">
        <f t="shared" si="19"/>
        <v>40</v>
      </c>
      <c r="T17" s="1">
        <f t="shared" si="19"/>
        <v>45</v>
      </c>
      <c r="U17" s="1">
        <f t="shared" si="19"/>
        <v>50</v>
      </c>
      <c r="V17" s="1">
        <f t="shared" si="19"/>
        <v>55</v>
      </c>
      <c r="W17" s="1">
        <f t="shared" si="19"/>
        <v>60</v>
      </c>
    </row>
    <row r="19" spans="1:23" ht="21" x14ac:dyDescent="0.25">
      <c r="A19" s="9" t="str">
        <f>IF(I19=1,IF(I22=1,"Call Largo","Call Corto"),IF(I19=2,IF(I22=1,"Put Largo","Put Corto"),IF(I19=3,IF(I22=1, "Stock Largo", "Stock Corto"))))</f>
        <v>Put Corto</v>
      </c>
      <c r="B19" s="2"/>
      <c r="C19" s="2"/>
      <c r="D19" s="2"/>
      <c r="E19" s="2"/>
      <c r="F19" s="2"/>
      <c r="G19" s="6"/>
      <c r="H19" s="13" t="s">
        <v>0</v>
      </c>
      <c r="I19" s="13">
        <v>2</v>
      </c>
    </row>
    <row r="20" spans="1:23" x14ac:dyDescent="0.25">
      <c r="A20" s="1" t="s">
        <v>3</v>
      </c>
      <c r="B20" s="1">
        <v>60</v>
      </c>
      <c r="G20" s="5"/>
      <c r="H20" s="13" t="s">
        <v>1</v>
      </c>
      <c r="I20" s="13"/>
    </row>
    <row r="21" spans="1:23" x14ac:dyDescent="0.25">
      <c r="A21" s="1" t="s">
        <v>2</v>
      </c>
      <c r="B21" s="1">
        <v>50</v>
      </c>
      <c r="G21" s="5"/>
      <c r="H21" s="13" t="s">
        <v>6</v>
      </c>
      <c r="I21" s="13"/>
    </row>
    <row r="22" spans="1:23" x14ac:dyDescent="0.25">
      <c r="G22" s="5"/>
      <c r="H22" s="13" t="s">
        <v>5</v>
      </c>
      <c r="I22" s="13">
        <v>2</v>
      </c>
    </row>
    <row r="23" spans="1:23" x14ac:dyDescent="0.25">
      <c r="G23" s="5"/>
      <c r="H23" s="13" t="s">
        <v>4</v>
      </c>
      <c r="I23" s="13"/>
    </row>
    <row r="24" spans="1:23" x14ac:dyDescent="0.25">
      <c r="G24" s="5"/>
      <c r="H24" s="5"/>
      <c r="I24" s="5"/>
    </row>
    <row r="25" spans="1:23" x14ac:dyDescent="0.25">
      <c r="A25" s="1">
        <v>0.01</v>
      </c>
      <c r="B25" s="1">
        <f>5</f>
        <v>5</v>
      </c>
      <c r="C25" s="1">
        <f>B25+5</f>
        <v>10</v>
      </c>
      <c r="D25" s="1">
        <f t="shared" ref="D25:O25" si="20">C25+5</f>
        <v>15</v>
      </c>
      <c r="E25" s="1">
        <f t="shared" si="20"/>
        <v>20</v>
      </c>
      <c r="F25" s="1">
        <f t="shared" si="20"/>
        <v>25</v>
      </c>
      <c r="G25" s="1">
        <f t="shared" si="20"/>
        <v>30</v>
      </c>
      <c r="H25" s="1">
        <f t="shared" si="20"/>
        <v>35</v>
      </c>
      <c r="I25" s="1">
        <f t="shared" si="20"/>
        <v>40</v>
      </c>
      <c r="J25" s="1">
        <f t="shared" si="20"/>
        <v>45</v>
      </c>
      <c r="K25" s="1">
        <f t="shared" si="20"/>
        <v>50</v>
      </c>
      <c r="L25" s="1">
        <f t="shared" si="20"/>
        <v>55</v>
      </c>
      <c r="M25" s="1">
        <f t="shared" si="20"/>
        <v>60</v>
      </c>
      <c r="N25" s="1">
        <f t="shared" si="20"/>
        <v>65</v>
      </c>
      <c r="O25" s="1">
        <f t="shared" si="20"/>
        <v>70</v>
      </c>
      <c r="P25" s="1">
        <f t="shared" ref="P25" si="21">O25+5</f>
        <v>75</v>
      </c>
      <c r="Q25" s="1">
        <f t="shared" ref="Q25" si="22">P25+5</f>
        <v>80</v>
      </c>
      <c r="R25" s="1">
        <f t="shared" ref="R25" si="23">Q25+5</f>
        <v>85</v>
      </c>
      <c r="S25" s="1">
        <f t="shared" ref="S25" si="24">R25+5</f>
        <v>90</v>
      </c>
      <c r="T25" s="1">
        <f t="shared" ref="T25" si="25">S25+5</f>
        <v>95</v>
      </c>
      <c r="U25" s="1">
        <f t="shared" ref="U25" si="26">T25+5</f>
        <v>100</v>
      </c>
      <c r="V25" s="1">
        <f t="shared" ref="V25" si="27">U25+5</f>
        <v>105</v>
      </c>
      <c r="W25" s="1">
        <f t="shared" ref="W25" si="28">V25+5</f>
        <v>110</v>
      </c>
    </row>
    <row r="26" spans="1:23" x14ac:dyDescent="0.25">
      <c r="A26" s="1">
        <f>IF($I$19=1,(IF($I$22=1,MAX(A25-$B$21,0),-MAX(A35A25-$B$21,0))),IF($I$19=2,(IF($I$22=1,MAX($B$21-A25,0),-MAX($B$21-A25,0))),IF($I$22=1,A25-$B$21,$B$21-A25)))</f>
        <v>-49.99</v>
      </c>
      <c r="B26" s="1">
        <f>IF($I$19=1,(IF($I$22=1,MAX(B25-$B$21,0),-MAX(A35A25-$B$21,0))),IF($I$19=2,(IF($I$22=1,MAX($B$21-B25,0),-MAX($B$21-B25,0))),IF($I$22=1,B25-$B$21,$B$21-B25)))</f>
        <v>-45</v>
      </c>
      <c r="C26" s="1">
        <f>IF($I$19=1,(IF($I$22=1,MAX(C25-$B$21,0),-MAX(A35A25-$B$21,0))),IF($I$19=2,(IF($I$22=1,MAX($B$21-C25,0),-MAX($B$21-C25,0))),IF($I$22=1,C25-$B$21,$B$21-C25)))</f>
        <v>-40</v>
      </c>
      <c r="D26" s="1">
        <f>IF($I$19=1,(IF($I$22=1,MAX(D25-$B$21,0),-MAX(A35A25-$B$21,0))),IF($I$19=2,(IF($I$22=1,MAX($B$21-D25,0),-MAX($B$21-D25,0))),IF($I$22=1,D25-$B$21,$B$21-D25)))</f>
        <v>-35</v>
      </c>
      <c r="E26" s="1">
        <f>IF($I$19=1,(IF($I$22=1,MAX(E25-$B$21,0),-MAX(A35A25-$B$21,0))),IF($I$19=2,(IF($I$22=1,MAX($B$21-E25,0),-MAX($B$21-E25,0))),IF($I$22=1,E25-$B$21,$B$21-E25)))</f>
        <v>-30</v>
      </c>
      <c r="F26" s="1">
        <f>IF($I$19=1,(IF($I$22=1,MAX(F25-$B$21,0),-MAX(A35A25-$B$21,0))),IF($I$19=2,(IF($I$22=1,MAX($B$21-F25,0),-MAX($B$21-F25,0))),IF($I$22=1,F25-$B$21,$B$21-F25)))</f>
        <v>-25</v>
      </c>
      <c r="G26" s="1">
        <f>IF($I$19=1,(IF($I$22=1,MAX(G25-$B$21,0),-MAX(A35A25-$B$21,0))),IF($I$19=2,(IF($I$22=1,MAX($B$21-G25,0),-MAX($B$21-G25,0))),IF($I$22=1,G25-$B$21,$B$21-G25)))</f>
        <v>-20</v>
      </c>
      <c r="H26" s="1">
        <f>IF($I$19=1,(IF($I$22=1,MAX(H25-$B$21,0),-MAX(A35A25-$B$21,0))),IF($I$19=2,(IF($I$22=1,MAX($B$21-H25,0),-MAX($B$21-H25,0))),IF($I$22=1,H25-$B$21,$B$21-H25)))</f>
        <v>-15</v>
      </c>
      <c r="I26" s="1">
        <f>IF($I$19=1,(IF($I$22=1,MAX(I25-$B$21,0),-MAX(A35A25-$B$21,0))),IF($I$19=2,(IF($I$22=1,MAX($B$21-I25,0),-MAX($B$21-I25,0))),IF($I$22=1,I25-$B$21,$B$21-I25)))</f>
        <v>-10</v>
      </c>
      <c r="J26" s="1">
        <f>IF($I$19=1,(IF($I$22=1,MAX(J25-$B$21,0),-MAX(A35A25-$B$21,0))),IF($I$19=2,(IF($I$22=1,MAX($B$21-J25,0),-MAX($B$21-J25,0))),IF($I$22=1,J25-$B$21,$B$21-J25)))</f>
        <v>-5</v>
      </c>
      <c r="K26" s="1">
        <f>IF($I$19=1,(IF($I$22=1,MAX(K25-$B$21,0),-MAX(A35A25-$B$21,0))),IF($I$19=2,(IF($I$22=1,MAX($B$21-K25,0),-MAX($B$21-K25,0))),IF($I$22=1,K25-$B$21,$B$21-K25)))</f>
        <v>0</v>
      </c>
      <c r="L26" s="1">
        <f>IF($I$19=1,(IF($I$22=1,MAX(L25-$B$21,0),-MAX(A35A25-$B$21,0))),IF($I$19=2,(IF($I$22=1,MAX($B$21-L25,0),-MAX($B$21-L25,0))),IF($I$22=1,L25-$B$21,$B$21-L25)))</f>
        <v>0</v>
      </c>
      <c r="M26" s="1">
        <f>IF($I$19=1,(IF($I$22=1,MAX(M25-$B$21,0),-MAX(A35A25-$B$21,0))),IF($I$19=2,(IF($I$22=1,MAX($B$21-M25,0),-MAX($B$21-M25,0))),IF($I$22=1,M25-$B$21,$B$21-M25)))</f>
        <v>0</v>
      </c>
      <c r="N26" s="1">
        <f>IF($I$19=1,(IF($I$22=1,MAX(N25-$B$21,0),-MAX(A35A25-$B$21,0))),IF($I$19=2,(IF($I$22=1,MAX($B$21-N25,0),-MAX($B$21-N25,0))),IF($I$22=1,N25-$B$21,$B$21-N25)))</f>
        <v>0</v>
      </c>
      <c r="O26" s="1">
        <f>IF($I$19=1,(IF($I$22=1,MAX(O25-$B$21,0),-MAX(A35A25-$B$21,0))),IF($I$19=2,(IF($I$22=1,MAX($B$21-O25,0),-MAX($B$21-O25,0))),IF($I$22=1,O25-$B$21,$B$21-O25)))</f>
        <v>0</v>
      </c>
      <c r="P26" s="1">
        <f>IF($I$19=1,(IF($I$22=1,MAX(P25-$B$21,0),-MAX(A35A25-$B$21,0))),IF($I$19=2,(IF($I$22=1,MAX($B$21-P25,0),-MAX($B$21-P25,0))),IF($I$22=1,P25-$B$21,$B$21-P25)))</f>
        <v>0</v>
      </c>
      <c r="Q26" s="1">
        <f>IF($I$19=1,(IF($I$22=1,MAX(Q25-$B$21,0),-MAX(A35A25-$B$21,0))),IF($I$19=2,(IF($I$22=1,MAX($B$21-Q25,0),-MAX($B$21-Q25,0))),IF($I$22=1,Q25-$B$21,$B$21-Q25)))</f>
        <v>0</v>
      </c>
      <c r="R26" s="1">
        <f>IF($I$19=1,(IF($I$22=1,MAX(R25-$B$21,0),-MAX(A35A25-$B$21,0))),IF($I$19=2,(IF($I$22=1,MAX($B$21-R25,0),-MAX($B$21-R25,0))),IF($I$22=1,R25-$B$21,$B$21-R25)))</f>
        <v>0</v>
      </c>
      <c r="S26" s="1">
        <f>IF($I$19=1,(IF($I$22=1,MAX(S25-$B$21,0),-MAX(A35A25-$B$21,0))),IF($I$19=2,(IF($I$22=1,MAX($B$21-S25,0),-MAX($B$21-S25,0))),IF($I$22=1,S25-$B$21,$B$21-S25)))</f>
        <v>0</v>
      </c>
      <c r="T26" s="1">
        <f>IF($I$19=1,(IF($I$22=1,MAX(T25-$B$21,0),-MAX(A35A25-$B$21,0))),IF($I$19=2,(IF($I$22=1,MAX($B$21-T25,0),-MAX($B$21-T25,0))),IF($I$22=1,T25-$B$21,$B$21-T25)))</f>
        <v>0</v>
      </c>
      <c r="U26" s="1">
        <f>IF($I$19=1,(IF($I$22=1,MAX(U25-$B$21,0),-MAX(A35A25-$B$21,0))),IF($I$19=2,(IF($I$22=1,MAX($B$21-U25,0),-MAX($B$21-U25,0))),IF($I$22=1,U25-$B$21,$B$21-U25)))</f>
        <v>0</v>
      </c>
      <c r="V26" s="1">
        <f>IF($I$19=1,(IF($I$22=1,MAX(V25-$B$21,0),-MAX(A35A25-$B$21,0))),IF($I$19=2,(IF($I$22=1,MAX($B$21-V25,0),-MAX($B$21-V25,0))),IF($I$22=1,V25-$B$21,$B$21-V25)))</f>
        <v>0</v>
      </c>
      <c r="W26" s="1">
        <f>IF($I$19=1,(IF($I$22=1,MAX(W25-$B$21,0),-MAX(A35A25-$B$21,0))),IF($I$19=2,(IF($I$22=1,MAX($B$21-W25,0),-MAX($B$21-W25,0))),IF($I$22=1,W25-$B$21,$B$21-W25)))</f>
        <v>0</v>
      </c>
    </row>
    <row r="27" spans="1:23" x14ac:dyDescent="0.25">
      <c r="H27" s="13"/>
      <c r="I27" s="13"/>
    </row>
    <row r="28" spans="1:23" ht="21" x14ac:dyDescent="0.25">
      <c r="A28" s="8" t="str">
        <f>IF(I28=1,IF(I31=1,"Call Largo","Call Corto"),IF(I28=2,IF(I31=1,"Put Largo","Put Corto"),IF(I28=3,IF(I31=1, "Stock Largo", "Stock Corto"))))</f>
        <v>Call Corto</v>
      </c>
      <c r="B28" s="2"/>
      <c r="C28" s="2"/>
      <c r="D28" s="2"/>
      <c r="E28" s="2"/>
      <c r="F28" s="2"/>
      <c r="G28" s="6"/>
      <c r="H28" s="13" t="s">
        <v>0</v>
      </c>
      <c r="I28" s="13">
        <v>1</v>
      </c>
    </row>
    <row r="29" spans="1:23" x14ac:dyDescent="0.25">
      <c r="A29" s="1" t="s">
        <v>3</v>
      </c>
      <c r="B29" s="1">
        <v>60</v>
      </c>
      <c r="G29" s="5"/>
      <c r="H29" s="13" t="s">
        <v>1</v>
      </c>
      <c r="I29" s="13"/>
    </row>
    <row r="30" spans="1:23" x14ac:dyDescent="0.25">
      <c r="A30" s="1" t="s">
        <v>2</v>
      </c>
      <c r="B30" s="1">
        <v>60</v>
      </c>
      <c r="G30" s="12"/>
      <c r="H30" s="13" t="s">
        <v>6</v>
      </c>
      <c r="I30" s="13"/>
      <c r="J30" s="12"/>
    </row>
    <row r="31" spans="1:23" x14ac:dyDescent="0.25">
      <c r="G31" s="12"/>
      <c r="H31" s="13" t="s">
        <v>5</v>
      </c>
      <c r="I31" s="13">
        <v>2</v>
      </c>
      <c r="J31" s="12"/>
    </row>
    <row r="32" spans="1:23" x14ac:dyDescent="0.25">
      <c r="G32" s="12"/>
      <c r="H32" s="13" t="s">
        <v>4</v>
      </c>
      <c r="I32" s="13"/>
      <c r="J32" s="12"/>
    </row>
    <row r="33" spans="1:23" x14ac:dyDescent="0.25">
      <c r="G33" s="12"/>
      <c r="H33" s="13"/>
      <c r="I33" s="13"/>
      <c r="J33" s="12"/>
    </row>
    <row r="34" spans="1:23" x14ac:dyDescent="0.25">
      <c r="A34" s="1">
        <v>0.01</v>
      </c>
      <c r="B34" s="1">
        <f>5</f>
        <v>5</v>
      </c>
      <c r="C34" s="1">
        <f>B34+5</f>
        <v>10</v>
      </c>
      <c r="D34" s="1">
        <f t="shared" ref="D34" si="29">C34+5</f>
        <v>15</v>
      </c>
      <c r="E34" s="1">
        <f t="shared" ref="E34" si="30">D34+5</f>
        <v>20</v>
      </c>
      <c r="F34" s="1">
        <f t="shared" ref="F34" si="31">E34+5</f>
        <v>25</v>
      </c>
      <c r="G34" s="1">
        <f t="shared" ref="G34" si="32">F34+5</f>
        <v>30</v>
      </c>
      <c r="H34" s="1">
        <f t="shared" ref="H34" si="33">G34+5</f>
        <v>35</v>
      </c>
      <c r="I34" s="1">
        <f t="shared" ref="I34" si="34">H34+5</f>
        <v>40</v>
      </c>
      <c r="J34" s="1">
        <f t="shared" ref="J34" si="35">I34+5</f>
        <v>45</v>
      </c>
      <c r="K34" s="1">
        <f t="shared" ref="K34" si="36">J34+5</f>
        <v>50</v>
      </c>
      <c r="L34" s="1">
        <f t="shared" ref="L34" si="37">K34+5</f>
        <v>55</v>
      </c>
      <c r="M34" s="1">
        <f t="shared" ref="M34" si="38">L34+5</f>
        <v>60</v>
      </c>
      <c r="N34" s="1">
        <f t="shared" ref="N34" si="39">M34+5</f>
        <v>65</v>
      </c>
      <c r="O34" s="1">
        <f t="shared" ref="O34" si="40">N34+5</f>
        <v>70</v>
      </c>
      <c r="P34" s="1">
        <f t="shared" ref="P34" si="41">O34+5</f>
        <v>75</v>
      </c>
      <c r="Q34" s="1">
        <f t="shared" ref="Q34" si="42">P34+5</f>
        <v>80</v>
      </c>
      <c r="R34" s="1">
        <f t="shared" ref="R34" si="43">Q34+5</f>
        <v>85</v>
      </c>
      <c r="S34" s="1">
        <f t="shared" ref="S34" si="44">R34+5</f>
        <v>90</v>
      </c>
      <c r="T34" s="1">
        <f t="shared" ref="T34" si="45">S34+5</f>
        <v>95</v>
      </c>
      <c r="U34" s="1">
        <f t="shared" ref="U34" si="46">T34+5</f>
        <v>100</v>
      </c>
      <c r="V34" s="1">
        <f t="shared" ref="V34" si="47">U34+5</f>
        <v>105</v>
      </c>
      <c r="W34" s="1">
        <f t="shared" ref="W34" si="48">V34+5</f>
        <v>110</v>
      </c>
    </row>
    <row r="35" spans="1:23" x14ac:dyDescent="0.25">
      <c r="A35" s="1">
        <f>IF($I$28=1,(IF($I$31=1,MAX(A34-$B$30,0),-MAX(A34-$B$30,0))),IF($I$28=2,(IF($I$31=1,MAX($B$30-A34,0),-MAX($B$30-A34,0))),IF($I$31=1,A34-$B$30,$B$30-A34)))</f>
        <v>0</v>
      </c>
      <c r="B35" s="1">
        <f t="shared" ref="B35:W35" si="49">IF($I$28=1,(IF($I$31=1,MAX(B34-$B$30,0),-MAX(B34-$B$30,0))),IF($I$28=2,(IF($I$31=1,MAX($B$30-B34,0),-MAX($B$30-B34,0))),IF($I$31=1,B34-$B$30,$B$30-B34)))</f>
        <v>0</v>
      </c>
      <c r="C35" s="1">
        <f t="shared" si="49"/>
        <v>0</v>
      </c>
      <c r="D35" s="1">
        <f t="shared" si="49"/>
        <v>0</v>
      </c>
      <c r="E35" s="1">
        <f t="shared" si="49"/>
        <v>0</v>
      </c>
      <c r="F35" s="1">
        <f t="shared" si="49"/>
        <v>0</v>
      </c>
      <c r="G35" s="1">
        <f t="shared" si="49"/>
        <v>0</v>
      </c>
      <c r="H35" s="1">
        <f t="shared" si="49"/>
        <v>0</v>
      </c>
      <c r="I35" s="1">
        <f t="shared" si="49"/>
        <v>0</v>
      </c>
      <c r="J35" s="1">
        <f t="shared" si="49"/>
        <v>0</v>
      </c>
      <c r="K35" s="1">
        <f t="shared" si="49"/>
        <v>0</v>
      </c>
      <c r="L35" s="1">
        <f t="shared" si="49"/>
        <v>0</v>
      </c>
      <c r="M35" s="1">
        <f t="shared" si="49"/>
        <v>0</v>
      </c>
      <c r="N35" s="1">
        <f t="shared" si="49"/>
        <v>-5</v>
      </c>
      <c r="O35" s="1">
        <f t="shared" si="49"/>
        <v>-10</v>
      </c>
      <c r="P35" s="1">
        <f t="shared" si="49"/>
        <v>-15</v>
      </c>
      <c r="Q35" s="1">
        <f t="shared" si="49"/>
        <v>-20</v>
      </c>
      <c r="R35" s="1">
        <f t="shared" si="49"/>
        <v>-25</v>
      </c>
      <c r="S35" s="1">
        <f t="shared" si="49"/>
        <v>-30</v>
      </c>
      <c r="T35" s="1">
        <f t="shared" si="49"/>
        <v>-35</v>
      </c>
      <c r="U35" s="1">
        <f t="shared" si="49"/>
        <v>-40</v>
      </c>
      <c r="V35" s="1">
        <f t="shared" si="49"/>
        <v>-45</v>
      </c>
      <c r="W35" s="1">
        <f t="shared" si="49"/>
        <v>-50</v>
      </c>
    </row>
    <row r="37" spans="1:23" ht="21" x14ac:dyDescent="0.25">
      <c r="A37" s="16" t="str">
        <f>IF(I37=1,IF(I40=1,"Call Largo","Call Corto"),IF(I37=2,IF(I40=1,"Put Largo","Put Corto"),IF(I37=3,IF(I40=1, "Stock Largo", "Stock Corto"))))</f>
        <v>Call Corto</v>
      </c>
      <c r="B37" s="2"/>
      <c r="C37" s="2"/>
      <c r="D37" s="2"/>
      <c r="E37" s="2"/>
      <c r="F37" s="2"/>
      <c r="G37" s="6"/>
      <c r="H37" s="13" t="s">
        <v>0</v>
      </c>
      <c r="I37" s="13">
        <v>1</v>
      </c>
    </row>
    <row r="38" spans="1:23" x14ac:dyDescent="0.25">
      <c r="A38" s="1" t="s">
        <v>3</v>
      </c>
      <c r="B38" s="1">
        <v>60</v>
      </c>
      <c r="G38" s="5"/>
      <c r="H38" s="13" t="s">
        <v>1</v>
      </c>
      <c r="I38" s="13"/>
    </row>
    <row r="39" spans="1:23" x14ac:dyDescent="0.25">
      <c r="A39" s="1" t="s">
        <v>2</v>
      </c>
      <c r="B39" s="1">
        <v>80</v>
      </c>
      <c r="G39" s="5"/>
      <c r="H39" s="13" t="s">
        <v>6</v>
      </c>
      <c r="I39" s="13"/>
    </row>
    <row r="40" spans="1:23" x14ac:dyDescent="0.25">
      <c r="G40" s="5"/>
      <c r="H40" s="13" t="s">
        <v>5</v>
      </c>
      <c r="I40" s="13">
        <v>2</v>
      </c>
      <c r="J40" s="12"/>
    </row>
    <row r="41" spans="1:23" x14ac:dyDescent="0.25">
      <c r="G41" s="5"/>
      <c r="H41" s="13" t="s">
        <v>4</v>
      </c>
      <c r="I41" s="13"/>
      <c r="J41" s="12"/>
    </row>
    <row r="42" spans="1:23" x14ac:dyDescent="0.25">
      <c r="G42" s="5"/>
      <c r="H42" s="12"/>
      <c r="I42" s="12"/>
      <c r="J42" s="12"/>
    </row>
    <row r="43" spans="1:23" x14ac:dyDescent="0.25">
      <c r="A43" s="1">
        <v>0.01</v>
      </c>
      <c r="B43" s="1">
        <f>5</f>
        <v>5</v>
      </c>
      <c r="C43" s="1">
        <f>B43+5</f>
        <v>10</v>
      </c>
      <c r="D43" s="1">
        <f t="shared" ref="D43" si="50">C43+5</f>
        <v>15</v>
      </c>
      <c r="E43" s="1">
        <f t="shared" ref="E43" si="51">D43+5</f>
        <v>20</v>
      </c>
      <c r="F43" s="1">
        <f t="shared" ref="F43" si="52">E43+5</f>
        <v>25</v>
      </c>
      <c r="G43" s="1">
        <f t="shared" ref="G43" si="53">F43+5</f>
        <v>30</v>
      </c>
      <c r="H43" s="1">
        <f t="shared" ref="H43" si="54">G43+5</f>
        <v>35</v>
      </c>
      <c r="I43" s="1">
        <f t="shared" ref="I43" si="55">H43+5</f>
        <v>40</v>
      </c>
      <c r="J43" s="1">
        <f t="shared" ref="J43" si="56">I43+5</f>
        <v>45</v>
      </c>
      <c r="K43" s="1">
        <f t="shared" ref="K43" si="57">J43+5</f>
        <v>50</v>
      </c>
      <c r="L43" s="1">
        <f t="shared" ref="L43" si="58">K43+5</f>
        <v>55</v>
      </c>
      <c r="M43" s="1">
        <f t="shared" ref="M43" si="59">L43+5</f>
        <v>60</v>
      </c>
      <c r="N43" s="1">
        <f t="shared" ref="N43" si="60">M43+5</f>
        <v>65</v>
      </c>
      <c r="O43" s="1">
        <f t="shared" ref="O43" si="61">N43+5</f>
        <v>70</v>
      </c>
      <c r="P43" s="1">
        <f t="shared" ref="P43" si="62">O43+5</f>
        <v>75</v>
      </c>
      <c r="Q43" s="1">
        <f t="shared" ref="Q43" si="63">P43+5</f>
        <v>80</v>
      </c>
      <c r="R43" s="1">
        <f t="shared" ref="R43" si="64">Q43+5</f>
        <v>85</v>
      </c>
      <c r="S43" s="1">
        <f t="shared" ref="S43" si="65">R43+5</f>
        <v>90</v>
      </c>
      <c r="T43" s="1">
        <f t="shared" ref="T43" si="66">S43+5</f>
        <v>95</v>
      </c>
      <c r="U43" s="1">
        <f t="shared" ref="U43" si="67">T43+5</f>
        <v>100</v>
      </c>
      <c r="V43" s="1">
        <f t="shared" ref="V43" si="68">U43+5</f>
        <v>105</v>
      </c>
      <c r="W43" s="1">
        <f t="shared" ref="W43" si="69">V43+5</f>
        <v>110</v>
      </c>
    </row>
    <row r="44" spans="1:23" x14ac:dyDescent="0.25">
      <c r="A44" s="1">
        <f>IF($I$37=1,(IF($I$40=1,MAX(A43-$B$39,0),-MAX(A43-$B$39,0))),IF(I37=2,(IF($I$40=1,MAX($B$39-A43,0),-MAX($B$39-A43,0))),IF($I$40=1,A43-$B$39,$B$39-A43)))</f>
        <v>0</v>
      </c>
      <c r="B44" s="1">
        <f t="shared" ref="B44:W44" si="70">IF($I$37=1,(IF($I$40=1,MAX(B43-$B$39,0),-MAX(B43-$B$39,0))),IF(J37=2,(IF($I$40=1,MAX($B$39-B43,0),-MAX($B$39-B43,0))),IF($I$40=1,B43-$B$39,$B$39-B43)))</f>
        <v>0</v>
      </c>
      <c r="C44" s="1">
        <f t="shared" si="70"/>
        <v>0</v>
      </c>
      <c r="D44" s="1">
        <f t="shared" si="70"/>
        <v>0</v>
      </c>
      <c r="E44" s="1">
        <f t="shared" si="70"/>
        <v>0</v>
      </c>
      <c r="F44" s="1">
        <f t="shared" si="70"/>
        <v>0</v>
      </c>
      <c r="G44" s="1">
        <f t="shared" si="70"/>
        <v>0</v>
      </c>
      <c r="H44" s="1">
        <f t="shared" si="70"/>
        <v>0</v>
      </c>
      <c r="I44" s="1">
        <f t="shared" si="70"/>
        <v>0</v>
      </c>
      <c r="J44" s="1">
        <f t="shared" si="70"/>
        <v>0</v>
      </c>
      <c r="K44" s="1">
        <f t="shared" si="70"/>
        <v>0</v>
      </c>
      <c r="L44" s="1">
        <f t="shared" si="70"/>
        <v>0</v>
      </c>
      <c r="M44" s="1">
        <f t="shared" si="70"/>
        <v>0</v>
      </c>
      <c r="N44" s="1">
        <f t="shared" si="70"/>
        <v>0</v>
      </c>
      <c r="O44" s="1">
        <f t="shared" si="70"/>
        <v>0</v>
      </c>
      <c r="P44" s="1">
        <f t="shared" si="70"/>
        <v>0</v>
      </c>
      <c r="Q44" s="1">
        <f t="shared" si="70"/>
        <v>0</v>
      </c>
      <c r="R44" s="1">
        <f t="shared" si="70"/>
        <v>-5</v>
      </c>
      <c r="S44" s="1">
        <f t="shared" si="70"/>
        <v>-10</v>
      </c>
      <c r="T44" s="1">
        <f t="shared" si="70"/>
        <v>-15</v>
      </c>
      <c r="U44" s="1">
        <f t="shared" si="70"/>
        <v>-20</v>
      </c>
      <c r="V44" s="1">
        <f t="shared" si="70"/>
        <v>-25</v>
      </c>
      <c r="W44" s="1">
        <f t="shared" si="70"/>
        <v>-30</v>
      </c>
    </row>
    <row r="46" spans="1:23" ht="21" x14ac:dyDescent="0.25">
      <c r="A46" s="14" t="str">
        <f>IF(I46=1,IF(I49=1,"Call Largo","Call Corto"),IF(I46=2,IF(I49=1,"Put Largo","Put Corto"),IF(I46=3,IF(I49=1, "Stock Largo", "Stock Corto"))))</f>
        <v>Call Largo</v>
      </c>
      <c r="B46" s="2"/>
      <c r="C46" s="2"/>
      <c r="D46" s="2"/>
      <c r="E46" s="2"/>
      <c r="F46" s="2"/>
      <c r="G46" s="6"/>
      <c r="H46" s="13" t="s">
        <v>0</v>
      </c>
      <c r="I46" s="13">
        <v>1</v>
      </c>
    </row>
    <row r="47" spans="1:23" x14ac:dyDescent="0.25">
      <c r="A47" s="1" t="s">
        <v>3</v>
      </c>
      <c r="B47" s="1">
        <v>60</v>
      </c>
      <c r="G47" s="5"/>
      <c r="H47" s="13" t="s">
        <v>1</v>
      </c>
      <c r="I47" s="13"/>
    </row>
    <row r="48" spans="1:23" x14ac:dyDescent="0.25">
      <c r="A48" s="1" t="s">
        <v>2</v>
      </c>
      <c r="B48" s="1">
        <v>80</v>
      </c>
      <c r="G48" s="5"/>
      <c r="H48" s="13" t="s">
        <v>6</v>
      </c>
      <c r="I48" s="13"/>
    </row>
    <row r="49" spans="1:23" x14ac:dyDescent="0.25">
      <c r="G49" s="5"/>
      <c r="H49" s="13" t="s">
        <v>5</v>
      </c>
      <c r="I49" s="13">
        <v>1</v>
      </c>
      <c r="J49" s="12"/>
    </row>
    <row r="50" spans="1:23" x14ac:dyDescent="0.25">
      <c r="G50" s="5"/>
      <c r="H50" s="13" t="s">
        <v>4</v>
      </c>
      <c r="I50" s="13"/>
      <c r="J50" s="12"/>
    </row>
    <row r="51" spans="1:23" x14ac:dyDescent="0.25">
      <c r="G51" s="5"/>
      <c r="H51" s="12"/>
      <c r="I51" s="12"/>
      <c r="J51" s="12"/>
    </row>
    <row r="52" spans="1:23" x14ac:dyDescent="0.25">
      <c r="A52" s="1">
        <v>0.01</v>
      </c>
      <c r="B52" s="1">
        <f>5</f>
        <v>5</v>
      </c>
      <c r="C52" s="1">
        <f>B52+5</f>
        <v>10</v>
      </c>
      <c r="D52" s="1">
        <f t="shared" ref="D52" si="71">C52+5</f>
        <v>15</v>
      </c>
      <c r="E52" s="1">
        <f t="shared" ref="E52" si="72">D52+5</f>
        <v>20</v>
      </c>
      <c r="F52" s="1">
        <f t="shared" ref="F52" si="73">E52+5</f>
        <v>25</v>
      </c>
      <c r="G52" s="1">
        <f t="shared" ref="G52" si="74">F52+5</f>
        <v>30</v>
      </c>
      <c r="H52" s="1">
        <f t="shared" ref="H52" si="75">G52+5</f>
        <v>35</v>
      </c>
      <c r="I52" s="1">
        <f t="shared" ref="I52" si="76">H52+5</f>
        <v>40</v>
      </c>
      <c r="J52" s="1">
        <f t="shared" ref="J52" si="77">I52+5</f>
        <v>45</v>
      </c>
      <c r="K52" s="1">
        <f t="shared" ref="K52" si="78">J52+5</f>
        <v>50</v>
      </c>
      <c r="L52" s="1">
        <f t="shared" ref="L52" si="79">K52+5</f>
        <v>55</v>
      </c>
      <c r="M52" s="1">
        <f t="shared" ref="M52" si="80">L52+5</f>
        <v>60</v>
      </c>
      <c r="N52" s="1">
        <f t="shared" ref="N52" si="81">M52+5</f>
        <v>65</v>
      </c>
      <c r="O52" s="1">
        <f t="shared" ref="O52" si="82">N52+5</f>
        <v>70</v>
      </c>
      <c r="P52" s="1">
        <f t="shared" ref="P52" si="83">O52+5</f>
        <v>75</v>
      </c>
      <c r="Q52" s="1">
        <f t="shared" ref="Q52" si="84">P52+5</f>
        <v>80</v>
      </c>
      <c r="R52" s="1">
        <f t="shared" ref="R52" si="85">Q52+5</f>
        <v>85</v>
      </c>
      <c r="S52" s="1">
        <f t="shared" ref="S52" si="86">R52+5</f>
        <v>90</v>
      </c>
      <c r="T52" s="1">
        <f t="shared" ref="T52" si="87">S52+5</f>
        <v>95</v>
      </c>
      <c r="U52" s="1">
        <f t="shared" ref="U52" si="88">T52+5</f>
        <v>100</v>
      </c>
      <c r="V52" s="1">
        <f t="shared" ref="V52" si="89">U52+5</f>
        <v>105</v>
      </c>
      <c r="W52" s="1">
        <f t="shared" ref="W52" si="90">V52+5</f>
        <v>110</v>
      </c>
    </row>
    <row r="53" spans="1:23" x14ac:dyDescent="0.25">
      <c r="A53" s="1">
        <f>IF($I$46=1,(IF($I$49=1,MAX(A52-$B$48,0),-MAX(A52-$B$48,0))),IF($I$46=2,(IF($I$49=1,MAX($B$48-A52,0),-MAX($B$48-A52,0))),IF($I$49=1,A52-$B$48,$B$48-A52)))</f>
        <v>0</v>
      </c>
      <c r="B53" s="1">
        <f t="shared" ref="B53:W53" si="91">IF($I$46=1,(IF($I$49=1,MAX(B52-$B$48,0),-MAX(B52-$B$48,0))),IF($I$46=2,(IF($I$49=1,MAX($B$48-B52,0),-MAX($B$48-B52,0))),IF($I$49=1,B52-$B$48,$B$48-B52)))</f>
        <v>0</v>
      </c>
      <c r="C53" s="1">
        <f t="shared" si="91"/>
        <v>0</v>
      </c>
      <c r="D53" s="1">
        <f t="shared" si="91"/>
        <v>0</v>
      </c>
      <c r="E53" s="1">
        <f t="shared" si="91"/>
        <v>0</v>
      </c>
      <c r="F53" s="1">
        <f t="shared" si="91"/>
        <v>0</v>
      </c>
      <c r="G53" s="1">
        <f t="shared" si="91"/>
        <v>0</v>
      </c>
      <c r="H53" s="1">
        <f t="shared" si="91"/>
        <v>0</v>
      </c>
      <c r="I53" s="1">
        <f t="shared" si="91"/>
        <v>0</v>
      </c>
      <c r="J53" s="1">
        <f t="shared" si="91"/>
        <v>0</v>
      </c>
      <c r="K53" s="1">
        <f t="shared" si="91"/>
        <v>0</v>
      </c>
      <c r="L53" s="1">
        <f t="shared" si="91"/>
        <v>0</v>
      </c>
      <c r="M53" s="1">
        <f t="shared" si="91"/>
        <v>0</v>
      </c>
      <c r="N53" s="1">
        <f t="shared" si="91"/>
        <v>0</v>
      </c>
      <c r="O53" s="1">
        <f t="shared" si="91"/>
        <v>0</v>
      </c>
      <c r="P53" s="1">
        <f t="shared" si="91"/>
        <v>0</v>
      </c>
      <c r="Q53" s="1">
        <f t="shared" si="91"/>
        <v>0</v>
      </c>
      <c r="R53" s="1">
        <f t="shared" si="91"/>
        <v>5</v>
      </c>
      <c r="S53" s="1">
        <f t="shared" si="91"/>
        <v>10</v>
      </c>
      <c r="T53" s="1">
        <f t="shared" si="91"/>
        <v>15</v>
      </c>
      <c r="U53" s="1">
        <f t="shared" si="91"/>
        <v>20</v>
      </c>
      <c r="V53" s="1">
        <f t="shared" si="91"/>
        <v>25</v>
      </c>
      <c r="W53" s="1">
        <f t="shared" si="91"/>
        <v>30</v>
      </c>
    </row>
    <row r="55" spans="1:23" ht="21" x14ac:dyDescent="0.25">
      <c r="A55" s="15" t="str">
        <f>IF(I55=1,IF(I58=1,"Call Largo","Call Corto"),IF(I55=2,IF(I58=1,"Put Largo","Put Corto"),IF(I55=3,IF(I58=1, "Stock Largo", "Stock Corto"))))</f>
        <v>Call Largo</v>
      </c>
      <c r="B55" s="2"/>
      <c r="C55" s="2"/>
      <c r="D55" s="2"/>
      <c r="E55" s="2"/>
      <c r="F55" s="2"/>
      <c r="G55" s="6"/>
      <c r="H55" s="13" t="s">
        <v>0</v>
      </c>
      <c r="I55" s="13">
        <v>1</v>
      </c>
    </row>
    <row r="56" spans="1:23" x14ac:dyDescent="0.25">
      <c r="A56" s="1" t="s">
        <v>3</v>
      </c>
      <c r="B56" s="1">
        <v>60</v>
      </c>
      <c r="G56" s="5"/>
      <c r="H56" s="13" t="s">
        <v>1</v>
      </c>
      <c r="I56" s="13"/>
    </row>
    <row r="57" spans="1:23" x14ac:dyDescent="0.25">
      <c r="A57" s="1" t="s">
        <v>2</v>
      </c>
      <c r="B57" s="1">
        <v>80</v>
      </c>
      <c r="G57" s="5"/>
      <c r="H57" s="13" t="s">
        <v>6</v>
      </c>
      <c r="I57" s="13"/>
    </row>
    <row r="58" spans="1:23" x14ac:dyDescent="0.25">
      <c r="G58" s="5"/>
      <c r="H58" s="13" t="s">
        <v>5</v>
      </c>
      <c r="I58" s="13">
        <v>1</v>
      </c>
      <c r="J58" s="12"/>
    </row>
    <row r="59" spans="1:23" x14ac:dyDescent="0.25">
      <c r="G59" s="5"/>
      <c r="H59" s="13" t="s">
        <v>4</v>
      </c>
      <c r="I59" s="13"/>
      <c r="J59" s="12"/>
    </row>
    <row r="60" spans="1:23" x14ac:dyDescent="0.25">
      <c r="G60" s="5"/>
      <c r="H60" s="12"/>
      <c r="I60" s="12"/>
      <c r="J60" s="12"/>
    </row>
    <row r="61" spans="1:23" x14ac:dyDescent="0.25">
      <c r="A61" s="1">
        <v>0.01</v>
      </c>
      <c r="B61" s="1">
        <f>5</f>
        <v>5</v>
      </c>
      <c r="C61" s="1">
        <f>B61+5</f>
        <v>10</v>
      </c>
      <c r="D61" s="1">
        <f t="shared" ref="D61" si="92">C61+5</f>
        <v>15</v>
      </c>
      <c r="E61" s="1">
        <f t="shared" ref="E61" si="93">D61+5</f>
        <v>20</v>
      </c>
      <c r="F61" s="1">
        <f t="shared" ref="F61" si="94">E61+5</f>
        <v>25</v>
      </c>
      <c r="G61" s="1">
        <f t="shared" ref="G61" si="95">F61+5</f>
        <v>30</v>
      </c>
      <c r="H61" s="1">
        <f t="shared" ref="H61" si="96">G61+5</f>
        <v>35</v>
      </c>
      <c r="I61" s="1">
        <f t="shared" ref="I61" si="97">H61+5</f>
        <v>40</v>
      </c>
      <c r="J61" s="1">
        <f t="shared" ref="J61" si="98">I61+5</f>
        <v>45</v>
      </c>
      <c r="K61" s="1">
        <f t="shared" ref="K61" si="99">J61+5</f>
        <v>50</v>
      </c>
      <c r="L61" s="1">
        <f t="shared" ref="L61" si="100">K61+5</f>
        <v>55</v>
      </c>
      <c r="M61" s="1">
        <f t="shared" ref="M61" si="101">L61+5</f>
        <v>60</v>
      </c>
      <c r="N61" s="1">
        <f t="shared" ref="N61" si="102">M61+5</f>
        <v>65</v>
      </c>
      <c r="O61" s="1">
        <f t="shared" ref="O61" si="103">N61+5</f>
        <v>70</v>
      </c>
      <c r="P61" s="1">
        <f t="shared" ref="P61" si="104">O61+5</f>
        <v>75</v>
      </c>
      <c r="Q61" s="1">
        <f t="shared" ref="Q61" si="105">P61+5</f>
        <v>80</v>
      </c>
      <c r="R61" s="1">
        <f t="shared" ref="R61" si="106">Q61+5</f>
        <v>85</v>
      </c>
      <c r="S61" s="1">
        <f t="shared" ref="S61" si="107">R61+5</f>
        <v>90</v>
      </c>
      <c r="T61" s="1">
        <f t="shared" ref="T61" si="108">S61+5</f>
        <v>95</v>
      </c>
      <c r="U61" s="1">
        <f t="shared" ref="U61" si="109">T61+5</f>
        <v>100</v>
      </c>
      <c r="V61" s="1">
        <f t="shared" ref="V61" si="110">U61+5</f>
        <v>105</v>
      </c>
      <c r="W61" s="1">
        <f t="shared" ref="W61" si="111">V61+5</f>
        <v>110</v>
      </c>
    </row>
    <row r="62" spans="1:23" x14ac:dyDescent="0.25">
      <c r="A62" s="1">
        <f>IF($I$55=1,(IF($I$58=1,MAX(A61-$B$57,0),-MAX(A61-$B$57,0))),IF($I$55=2,(IF($I$58=1,MAX($B$57-A61,0),-MAX($B$57-A61,0))),IF($I$58=1,A61-$B$57,$B$57-A61)))</f>
        <v>0</v>
      </c>
      <c r="B62" s="1">
        <f t="shared" ref="B62:W62" si="112">IF($I$55=1,(IF($I$58=1,MAX(B61-$B$57,0),-MAX(B61-$B$57,0))),IF($I$55=2,(IF($I$58=1,MAX($B$57-B61,0),-MAX($B$57-B61,0))),IF($I$58=1,B61-$B$57,$B$57-B61)))</f>
        <v>0</v>
      </c>
      <c r="C62" s="1">
        <f t="shared" si="112"/>
        <v>0</v>
      </c>
      <c r="D62" s="1">
        <f t="shared" si="112"/>
        <v>0</v>
      </c>
      <c r="E62" s="1">
        <f t="shared" si="112"/>
        <v>0</v>
      </c>
      <c r="F62" s="1">
        <f t="shared" si="112"/>
        <v>0</v>
      </c>
      <c r="G62" s="1">
        <f t="shared" si="112"/>
        <v>0</v>
      </c>
      <c r="H62" s="1">
        <f t="shared" si="112"/>
        <v>0</v>
      </c>
      <c r="I62" s="1">
        <f t="shared" si="112"/>
        <v>0</v>
      </c>
      <c r="J62" s="1">
        <f t="shared" si="112"/>
        <v>0</v>
      </c>
      <c r="K62" s="1">
        <f t="shared" si="112"/>
        <v>0</v>
      </c>
      <c r="L62" s="1">
        <f t="shared" si="112"/>
        <v>0</v>
      </c>
      <c r="M62" s="1">
        <f t="shared" si="112"/>
        <v>0</v>
      </c>
      <c r="N62" s="1">
        <f t="shared" si="112"/>
        <v>0</v>
      </c>
      <c r="O62" s="1">
        <f t="shared" si="112"/>
        <v>0</v>
      </c>
      <c r="P62" s="1">
        <f t="shared" si="112"/>
        <v>0</v>
      </c>
      <c r="Q62" s="1">
        <f t="shared" si="112"/>
        <v>0</v>
      </c>
      <c r="R62" s="1">
        <f t="shared" si="112"/>
        <v>5</v>
      </c>
      <c r="S62" s="1">
        <f t="shared" si="112"/>
        <v>10</v>
      </c>
      <c r="T62" s="1">
        <f t="shared" si="112"/>
        <v>15</v>
      </c>
      <c r="U62" s="1">
        <f t="shared" si="112"/>
        <v>20</v>
      </c>
      <c r="V62" s="1">
        <f t="shared" si="112"/>
        <v>25</v>
      </c>
      <c r="W62" s="1">
        <f t="shared" si="112"/>
        <v>30</v>
      </c>
    </row>
    <row r="64" spans="1:23" ht="21" x14ac:dyDescent="0.25">
      <c r="A64" s="17" t="str">
        <f>IF(I64=1,IF(I67=1,"Call Largo","Call Corto"),IF(I64=2,IF(I67=1,"Put Largo","Put Corto"),IF(I64=3,IF(I67=1, "Stock Largo", "Stock Corto"))))</f>
        <v>Put Largo</v>
      </c>
      <c r="B64" s="2"/>
      <c r="C64" s="2"/>
      <c r="D64" s="2"/>
      <c r="E64" s="2"/>
      <c r="F64" s="2"/>
      <c r="G64" s="6"/>
      <c r="H64" s="13" t="s">
        <v>0</v>
      </c>
      <c r="I64" s="13">
        <v>2</v>
      </c>
    </row>
    <row r="65" spans="1:23" x14ac:dyDescent="0.25">
      <c r="A65" s="1" t="s">
        <v>3</v>
      </c>
      <c r="B65" s="1">
        <v>60</v>
      </c>
      <c r="G65" s="5"/>
      <c r="H65" s="13" t="s">
        <v>1</v>
      </c>
      <c r="I65" s="13"/>
    </row>
    <row r="66" spans="1:23" x14ac:dyDescent="0.25">
      <c r="A66" s="1" t="s">
        <v>2</v>
      </c>
      <c r="B66" s="1">
        <v>30</v>
      </c>
      <c r="G66" s="5"/>
      <c r="H66" s="13" t="s">
        <v>6</v>
      </c>
      <c r="I66" s="13"/>
    </row>
    <row r="67" spans="1:23" x14ac:dyDescent="0.25">
      <c r="G67" s="5"/>
      <c r="H67" s="13" t="s">
        <v>5</v>
      </c>
      <c r="I67" s="13">
        <v>1</v>
      </c>
      <c r="J67" s="12"/>
    </row>
    <row r="68" spans="1:23" x14ac:dyDescent="0.25">
      <c r="G68" s="5"/>
      <c r="H68" s="13" t="s">
        <v>4</v>
      </c>
      <c r="I68" s="13"/>
      <c r="J68" s="12"/>
    </row>
    <row r="69" spans="1:23" x14ac:dyDescent="0.25">
      <c r="G69" s="5"/>
      <c r="H69" s="12"/>
      <c r="I69" s="12"/>
      <c r="J69" s="12"/>
    </row>
    <row r="70" spans="1:23" x14ac:dyDescent="0.25">
      <c r="A70" s="1">
        <v>0.01</v>
      </c>
      <c r="B70" s="1">
        <f>5</f>
        <v>5</v>
      </c>
      <c r="C70" s="1">
        <f>B70+5</f>
        <v>10</v>
      </c>
      <c r="D70" s="1">
        <f t="shared" ref="D70" si="113">C70+5</f>
        <v>15</v>
      </c>
      <c r="E70" s="1">
        <f t="shared" ref="E70" si="114">D70+5</f>
        <v>20</v>
      </c>
      <c r="F70" s="1">
        <f t="shared" ref="F70" si="115">E70+5</f>
        <v>25</v>
      </c>
      <c r="G70" s="1">
        <f t="shared" ref="G70" si="116">F70+5</f>
        <v>30</v>
      </c>
      <c r="H70" s="1">
        <f t="shared" ref="H70" si="117">G70+5</f>
        <v>35</v>
      </c>
      <c r="I70" s="1">
        <f t="shared" ref="I70" si="118">H70+5</f>
        <v>40</v>
      </c>
      <c r="J70" s="1">
        <f t="shared" ref="J70" si="119">I70+5</f>
        <v>45</v>
      </c>
      <c r="K70" s="1">
        <f t="shared" ref="K70" si="120">J70+5</f>
        <v>50</v>
      </c>
      <c r="L70" s="1">
        <f t="shared" ref="L70" si="121">K70+5</f>
        <v>55</v>
      </c>
      <c r="M70" s="1">
        <f t="shared" ref="M70" si="122">L70+5</f>
        <v>60</v>
      </c>
      <c r="N70" s="1">
        <f t="shared" ref="N70" si="123">M70+5</f>
        <v>65</v>
      </c>
      <c r="O70" s="1">
        <f t="shared" ref="O70" si="124">N70+5</f>
        <v>70</v>
      </c>
      <c r="P70" s="1">
        <f t="shared" ref="P70" si="125">O70+5</f>
        <v>75</v>
      </c>
      <c r="Q70" s="1">
        <f t="shared" ref="Q70" si="126">P70+5</f>
        <v>80</v>
      </c>
      <c r="R70" s="1">
        <f t="shared" ref="R70" si="127">Q70+5</f>
        <v>85</v>
      </c>
      <c r="S70" s="1">
        <f t="shared" ref="S70" si="128">R70+5</f>
        <v>90</v>
      </c>
      <c r="T70" s="1">
        <f t="shared" ref="T70" si="129">S70+5</f>
        <v>95</v>
      </c>
      <c r="U70" s="1">
        <f t="shared" ref="U70" si="130">T70+5</f>
        <v>100</v>
      </c>
      <c r="V70" s="1">
        <f t="shared" ref="V70" si="131">U70+5</f>
        <v>105</v>
      </c>
      <c r="W70" s="1">
        <f t="shared" ref="W70" si="132">V70+5</f>
        <v>110</v>
      </c>
    </row>
    <row r="71" spans="1:23" x14ac:dyDescent="0.25">
      <c r="A71" s="1">
        <f>IF($I$64=1,(IF($I$67=1,MAX(A70-$B$66,0),-MAX(A70-$B$66,0))),IF($I$64=2,(IF($I$67=1,MAX($B$66-A70,0),-MAX($B$66-A70,0))),IF($I$67=1,A70-$B$66,$B$66-A70)))</f>
        <v>29.99</v>
      </c>
      <c r="B71" s="1">
        <f t="shared" ref="B71:W71" si="133">IF($I$64=1,(IF($I$67=1,MAX(B70-$B$66,0),-MAX(B70-$B$66,0))),IF($I$64=2,(IF($I$67=1,MAX($B$66-B70,0),-MAX($B$66-B70,0))),IF($I$67=1,B70-$B$66,$B$66-B70)))</f>
        <v>25</v>
      </c>
      <c r="C71" s="1">
        <f t="shared" si="133"/>
        <v>20</v>
      </c>
      <c r="D71" s="1">
        <f t="shared" si="133"/>
        <v>15</v>
      </c>
      <c r="E71" s="1">
        <f t="shared" si="133"/>
        <v>10</v>
      </c>
      <c r="F71" s="1">
        <f t="shared" si="133"/>
        <v>5</v>
      </c>
      <c r="G71" s="1">
        <f t="shared" si="133"/>
        <v>0</v>
      </c>
      <c r="H71" s="1">
        <f t="shared" si="133"/>
        <v>0</v>
      </c>
      <c r="I71" s="1">
        <f t="shared" si="133"/>
        <v>0</v>
      </c>
      <c r="J71" s="1">
        <f t="shared" si="133"/>
        <v>0</v>
      </c>
      <c r="K71" s="1">
        <f t="shared" si="133"/>
        <v>0</v>
      </c>
      <c r="L71" s="1">
        <f t="shared" si="133"/>
        <v>0</v>
      </c>
      <c r="M71" s="1">
        <f t="shared" si="133"/>
        <v>0</v>
      </c>
      <c r="N71" s="1">
        <f t="shared" si="133"/>
        <v>0</v>
      </c>
      <c r="O71" s="1">
        <f t="shared" si="133"/>
        <v>0</v>
      </c>
      <c r="P71" s="1">
        <f t="shared" si="133"/>
        <v>0</v>
      </c>
      <c r="Q71" s="1">
        <f t="shared" si="133"/>
        <v>0</v>
      </c>
      <c r="R71" s="1">
        <f t="shared" si="133"/>
        <v>0</v>
      </c>
      <c r="S71" s="1">
        <f t="shared" si="133"/>
        <v>0</v>
      </c>
      <c r="T71" s="1">
        <f t="shared" si="133"/>
        <v>0</v>
      </c>
      <c r="U71" s="1">
        <f t="shared" si="133"/>
        <v>0</v>
      </c>
      <c r="V71" s="1">
        <f t="shared" si="133"/>
        <v>0</v>
      </c>
      <c r="W71" s="1">
        <f t="shared" si="133"/>
        <v>0</v>
      </c>
    </row>
    <row r="73" spans="1:23" ht="21" x14ac:dyDescent="0.25">
      <c r="A73" s="7" t="str">
        <f>A1</f>
        <v>Stock Corto</v>
      </c>
      <c r="B73" s="7" t="s">
        <v>7</v>
      </c>
      <c r="C73" s="7" t="str">
        <f>A10</f>
        <v>Stock Largo</v>
      </c>
      <c r="D73" s="7" t="s">
        <v>7</v>
      </c>
      <c r="E73" s="7" t="str">
        <f>A19</f>
        <v>Put Corto</v>
      </c>
      <c r="F73" s="7" t="s">
        <v>7</v>
      </c>
      <c r="G73" s="7" t="str">
        <f>A28</f>
        <v>Call Corto</v>
      </c>
      <c r="H73" s="7" t="s">
        <v>7</v>
      </c>
      <c r="I73" s="7" t="str">
        <f>A37</f>
        <v>Call Corto</v>
      </c>
      <c r="J73" s="7" t="s">
        <v>7</v>
      </c>
      <c r="K73" s="7" t="str">
        <f>A46</f>
        <v>Call Largo</v>
      </c>
      <c r="L73" s="7" t="s">
        <v>7</v>
      </c>
      <c r="M73" s="7" t="str">
        <f>A55</f>
        <v>Call Largo</v>
      </c>
      <c r="N73" s="7" t="s">
        <v>7</v>
      </c>
      <c r="O73" s="7" t="str">
        <f>A64</f>
        <v>Put Largo</v>
      </c>
    </row>
    <row r="74" spans="1:23" x14ac:dyDescent="0.25">
      <c r="A74" s="1">
        <v>0.01</v>
      </c>
      <c r="B74" s="1">
        <f>5</f>
        <v>5</v>
      </c>
      <c r="C74" s="1">
        <f>B74+5</f>
        <v>10</v>
      </c>
      <c r="D74" s="1">
        <f t="shared" ref="D74:O74" si="134">C74+5</f>
        <v>15</v>
      </c>
      <c r="E74" s="1">
        <f t="shared" si="134"/>
        <v>20</v>
      </c>
      <c r="F74" s="1">
        <f t="shared" si="134"/>
        <v>25</v>
      </c>
      <c r="G74" s="1">
        <f t="shared" si="134"/>
        <v>30</v>
      </c>
      <c r="H74" s="1">
        <f t="shared" si="134"/>
        <v>35</v>
      </c>
      <c r="I74" s="1">
        <f t="shared" si="134"/>
        <v>40</v>
      </c>
      <c r="J74" s="1">
        <f t="shared" si="134"/>
        <v>45</v>
      </c>
      <c r="K74" s="1">
        <f t="shared" si="134"/>
        <v>50</v>
      </c>
      <c r="L74" s="1">
        <f t="shared" si="134"/>
        <v>55</v>
      </c>
      <c r="M74" s="1">
        <f t="shared" si="134"/>
        <v>60</v>
      </c>
      <c r="N74" s="1">
        <f t="shared" si="134"/>
        <v>65</v>
      </c>
      <c r="O74" s="1">
        <f t="shared" si="134"/>
        <v>70</v>
      </c>
      <c r="P74" s="1">
        <f t="shared" ref="P74" si="135">O74+5</f>
        <v>75</v>
      </c>
      <c r="Q74" s="1">
        <f t="shared" ref="Q74" si="136">P74+5</f>
        <v>80</v>
      </c>
      <c r="R74" s="1">
        <f t="shared" ref="R74" si="137">Q74+5</f>
        <v>85</v>
      </c>
      <c r="S74" s="1">
        <f t="shared" ref="S74" si="138">R74+5</f>
        <v>90</v>
      </c>
      <c r="T74" s="1">
        <f t="shared" ref="T74" si="139">S74+5</f>
        <v>95</v>
      </c>
      <c r="U74" s="1">
        <f t="shared" ref="U74" si="140">T74+5</f>
        <v>100</v>
      </c>
      <c r="V74" s="1">
        <f t="shared" ref="V74" si="141">U74+5</f>
        <v>105</v>
      </c>
      <c r="W74" s="1">
        <f t="shared" ref="W74" si="142">V74+5</f>
        <v>110</v>
      </c>
    </row>
    <row r="75" spans="1:23" x14ac:dyDescent="0.25">
      <c r="A75" s="1">
        <f t="shared" ref="A75:W75" si="143">A8+A17+A26+A35+A44+A53+A62+A71</f>
        <v>-10.000000000000004</v>
      </c>
      <c r="B75" s="1">
        <f t="shared" si="143"/>
        <v>-10</v>
      </c>
      <c r="C75" s="1">
        <f t="shared" si="143"/>
        <v>-10</v>
      </c>
      <c r="D75" s="1">
        <f t="shared" si="143"/>
        <v>-10</v>
      </c>
      <c r="E75" s="1">
        <f t="shared" si="143"/>
        <v>-10</v>
      </c>
      <c r="F75" s="1">
        <f t="shared" si="143"/>
        <v>-10</v>
      </c>
      <c r="G75" s="1">
        <f t="shared" si="143"/>
        <v>-10</v>
      </c>
      <c r="H75" s="1">
        <f t="shared" si="143"/>
        <v>-5</v>
      </c>
      <c r="I75" s="1">
        <f t="shared" si="143"/>
        <v>0</v>
      </c>
      <c r="J75" s="1">
        <f t="shared" si="143"/>
        <v>5</v>
      </c>
      <c r="K75" s="1">
        <f t="shared" si="143"/>
        <v>10</v>
      </c>
      <c r="L75" s="1">
        <f t="shared" si="143"/>
        <v>10</v>
      </c>
      <c r="M75" s="1">
        <f t="shared" si="143"/>
        <v>10</v>
      </c>
      <c r="N75" s="1">
        <f t="shared" si="143"/>
        <v>5</v>
      </c>
      <c r="O75" s="1">
        <f t="shared" si="143"/>
        <v>0</v>
      </c>
      <c r="P75" s="1">
        <f t="shared" si="143"/>
        <v>-5</v>
      </c>
      <c r="Q75" s="1">
        <f t="shared" si="143"/>
        <v>-10</v>
      </c>
      <c r="R75" s="1">
        <f t="shared" si="143"/>
        <v>-10</v>
      </c>
      <c r="S75" s="1">
        <f t="shared" si="143"/>
        <v>-10</v>
      </c>
      <c r="T75" s="1">
        <f t="shared" si="143"/>
        <v>-10</v>
      </c>
      <c r="U75" s="1">
        <f t="shared" si="143"/>
        <v>-10</v>
      </c>
      <c r="V75" s="1">
        <f t="shared" si="143"/>
        <v>-10</v>
      </c>
      <c r="W75" s="1">
        <f t="shared" si="143"/>
        <v>-10</v>
      </c>
    </row>
    <row r="76" spans="1:23" x14ac:dyDescent="0.2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1:23" x14ac:dyDescent="0.25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1:23" x14ac:dyDescent="0.2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1:23" x14ac:dyDescent="0.25">
      <c r="A79" s="3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1:23" x14ac:dyDescent="0.25">
      <c r="A80" s="3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2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2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2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2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2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2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  <row r="87" spans="2:13" x14ac:dyDescent="0.2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</row>
    <row r="88" spans="2:13" x14ac:dyDescent="0.2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Drop Down 1">
              <controlPr defaultSize="0" autoLine="0" autoPict="0">
                <anchor moveWithCells="1">
                  <from>
                    <xdr:col>0</xdr:col>
                    <xdr:colOff>114300</xdr:colOff>
                    <xdr:row>3</xdr:row>
                    <xdr:rowOff>133350</xdr:rowOff>
                  </from>
                  <to>
                    <xdr:col>1</xdr:col>
                    <xdr:colOff>57150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Drop Down 2">
              <controlPr defaultSize="0" autoLine="0" autoPict="0">
                <anchor moveWithCells="1">
                  <from>
                    <xdr:col>1</xdr:col>
                    <xdr:colOff>419100</xdr:colOff>
                    <xdr:row>3</xdr:row>
                    <xdr:rowOff>133350</xdr:rowOff>
                  </from>
                  <to>
                    <xdr:col>2</xdr:col>
                    <xdr:colOff>628650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Drop Down 3">
              <controlPr defaultSize="0" autoLine="0" autoPict="0">
                <anchor moveWithCells="1">
                  <from>
                    <xdr:col>0</xdr:col>
                    <xdr:colOff>114300</xdr:colOff>
                    <xdr:row>12</xdr:row>
                    <xdr:rowOff>133350</xdr:rowOff>
                  </from>
                  <to>
                    <xdr:col>1</xdr:col>
                    <xdr:colOff>66675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Drop Down 4">
              <controlPr defaultSize="0" autoLine="0" autoPict="0">
                <anchor moveWithCells="1">
                  <from>
                    <xdr:col>1</xdr:col>
                    <xdr:colOff>419100</xdr:colOff>
                    <xdr:row>12</xdr:row>
                    <xdr:rowOff>142875</xdr:rowOff>
                  </from>
                  <to>
                    <xdr:col>2</xdr:col>
                    <xdr:colOff>628650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Drop Down 5">
              <controlPr defaultSize="0" autoLine="0" autoPict="0">
                <anchor moveWithCells="1">
                  <from>
                    <xdr:col>0</xdr:col>
                    <xdr:colOff>114300</xdr:colOff>
                    <xdr:row>12</xdr:row>
                    <xdr:rowOff>133350</xdr:rowOff>
                  </from>
                  <to>
                    <xdr:col>1</xdr:col>
                    <xdr:colOff>66675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Drop Down 6">
              <controlPr defaultSize="0" autoLine="0" autoPict="0">
                <anchor moveWithCells="1">
                  <from>
                    <xdr:col>1</xdr:col>
                    <xdr:colOff>419100</xdr:colOff>
                    <xdr:row>12</xdr:row>
                    <xdr:rowOff>133350</xdr:rowOff>
                  </from>
                  <to>
                    <xdr:col>2</xdr:col>
                    <xdr:colOff>628650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Drop Down 7">
              <controlPr defaultSize="0" autoLine="0" autoPict="0">
                <anchor moveWithCells="1">
                  <from>
                    <xdr:col>0</xdr:col>
                    <xdr:colOff>114300</xdr:colOff>
                    <xdr:row>21</xdr:row>
                    <xdr:rowOff>133350</xdr:rowOff>
                  </from>
                  <to>
                    <xdr:col>1</xdr:col>
                    <xdr:colOff>66675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Drop Down 8">
              <controlPr defaultSize="0" autoLine="0" autoPict="0">
                <anchor moveWithCells="1">
                  <from>
                    <xdr:col>1</xdr:col>
                    <xdr:colOff>419100</xdr:colOff>
                    <xdr:row>21</xdr:row>
                    <xdr:rowOff>142875</xdr:rowOff>
                  </from>
                  <to>
                    <xdr:col>2</xdr:col>
                    <xdr:colOff>628650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Drop Down 9">
              <controlPr defaultSize="0" autoLine="0" autoPict="0">
                <anchor moveWithCells="1">
                  <from>
                    <xdr:col>0</xdr:col>
                    <xdr:colOff>114300</xdr:colOff>
                    <xdr:row>21</xdr:row>
                    <xdr:rowOff>133350</xdr:rowOff>
                  </from>
                  <to>
                    <xdr:col>1</xdr:col>
                    <xdr:colOff>66675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Drop Down 10">
              <controlPr defaultSize="0" autoLine="0" autoPict="0">
                <anchor moveWithCells="1">
                  <from>
                    <xdr:col>1</xdr:col>
                    <xdr:colOff>419100</xdr:colOff>
                    <xdr:row>21</xdr:row>
                    <xdr:rowOff>133350</xdr:rowOff>
                  </from>
                  <to>
                    <xdr:col>2</xdr:col>
                    <xdr:colOff>628650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14" name="Drop Down 19">
              <controlPr defaultSize="0" autoLine="0" autoPict="0">
                <anchor moveWithCells="1">
                  <from>
                    <xdr:col>0</xdr:col>
                    <xdr:colOff>114300</xdr:colOff>
                    <xdr:row>30</xdr:row>
                    <xdr:rowOff>133350</xdr:rowOff>
                  </from>
                  <to>
                    <xdr:col>1</xdr:col>
                    <xdr:colOff>66675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15" name="Drop Down 20">
              <controlPr defaultSize="0" autoLine="0" autoPict="0">
                <anchor moveWithCells="1">
                  <from>
                    <xdr:col>1</xdr:col>
                    <xdr:colOff>419100</xdr:colOff>
                    <xdr:row>30</xdr:row>
                    <xdr:rowOff>142875</xdr:rowOff>
                  </from>
                  <to>
                    <xdr:col>2</xdr:col>
                    <xdr:colOff>628650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16" name="Drop Down 21">
              <controlPr defaultSize="0" autoLine="0" autoPict="0">
                <anchor moveWithCells="1">
                  <from>
                    <xdr:col>0</xdr:col>
                    <xdr:colOff>114300</xdr:colOff>
                    <xdr:row>30</xdr:row>
                    <xdr:rowOff>133350</xdr:rowOff>
                  </from>
                  <to>
                    <xdr:col>1</xdr:col>
                    <xdr:colOff>66675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7" name="Drop Down 22">
              <controlPr defaultSize="0" autoLine="0" autoPict="0">
                <anchor moveWithCells="1">
                  <from>
                    <xdr:col>1</xdr:col>
                    <xdr:colOff>419100</xdr:colOff>
                    <xdr:row>30</xdr:row>
                    <xdr:rowOff>133350</xdr:rowOff>
                  </from>
                  <to>
                    <xdr:col>2</xdr:col>
                    <xdr:colOff>628650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8" name="Drop Down 27">
              <controlPr defaultSize="0" autoLine="0" autoPict="0">
                <anchor moveWithCells="1">
                  <from>
                    <xdr:col>0</xdr:col>
                    <xdr:colOff>114300</xdr:colOff>
                    <xdr:row>39</xdr:row>
                    <xdr:rowOff>133350</xdr:rowOff>
                  </from>
                  <to>
                    <xdr:col>1</xdr:col>
                    <xdr:colOff>66675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19" name="Drop Down 28">
              <controlPr defaultSize="0" autoLine="0" autoPict="0">
                <anchor moveWithCells="1">
                  <from>
                    <xdr:col>1</xdr:col>
                    <xdr:colOff>419100</xdr:colOff>
                    <xdr:row>39</xdr:row>
                    <xdr:rowOff>142875</xdr:rowOff>
                  </from>
                  <to>
                    <xdr:col>2</xdr:col>
                    <xdr:colOff>628650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0" name="Drop Down 29">
              <controlPr defaultSize="0" autoLine="0" autoPict="0">
                <anchor moveWithCells="1">
                  <from>
                    <xdr:col>0</xdr:col>
                    <xdr:colOff>114300</xdr:colOff>
                    <xdr:row>39</xdr:row>
                    <xdr:rowOff>133350</xdr:rowOff>
                  </from>
                  <to>
                    <xdr:col>1</xdr:col>
                    <xdr:colOff>66675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1" name="Drop Down 30">
              <controlPr defaultSize="0" autoLine="0" autoPict="0">
                <anchor moveWithCells="1">
                  <from>
                    <xdr:col>1</xdr:col>
                    <xdr:colOff>419100</xdr:colOff>
                    <xdr:row>39</xdr:row>
                    <xdr:rowOff>133350</xdr:rowOff>
                  </from>
                  <to>
                    <xdr:col>2</xdr:col>
                    <xdr:colOff>628650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22" name="Drop Down 31">
              <controlPr defaultSize="0" autoLine="0" autoPict="0">
                <anchor moveWithCells="1">
                  <from>
                    <xdr:col>0</xdr:col>
                    <xdr:colOff>114300</xdr:colOff>
                    <xdr:row>48</xdr:row>
                    <xdr:rowOff>133350</xdr:rowOff>
                  </from>
                  <to>
                    <xdr:col>1</xdr:col>
                    <xdr:colOff>66675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23" name="Drop Down 32">
              <controlPr defaultSize="0" autoLine="0" autoPict="0">
                <anchor moveWithCells="1">
                  <from>
                    <xdr:col>1</xdr:col>
                    <xdr:colOff>419100</xdr:colOff>
                    <xdr:row>48</xdr:row>
                    <xdr:rowOff>142875</xdr:rowOff>
                  </from>
                  <to>
                    <xdr:col>2</xdr:col>
                    <xdr:colOff>628650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4" name="Drop Down 33">
              <controlPr defaultSize="0" autoLine="0" autoPict="0">
                <anchor moveWithCells="1">
                  <from>
                    <xdr:col>0</xdr:col>
                    <xdr:colOff>114300</xdr:colOff>
                    <xdr:row>48</xdr:row>
                    <xdr:rowOff>133350</xdr:rowOff>
                  </from>
                  <to>
                    <xdr:col>1</xdr:col>
                    <xdr:colOff>66675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5" name="Drop Down 34">
              <controlPr defaultSize="0" autoLine="0" autoPict="0">
                <anchor moveWithCells="1">
                  <from>
                    <xdr:col>1</xdr:col>
                    <xdr:colOff>419100</xdr:colOff>
                    <xdr:row>48</xdr:row>
                    <xdr:rowOff>133350</xdr:rowOff>
                  </from>
                  <to>
                    <xdr:col>2</xdr:col>
                    <xdr:colOff>628650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6" name="Drop Down 35">
              <controlPr defaultSize="0" autoLine="0" autoPict="0">
                <anchor moveWithCells="1">
                  <from>
                    <xdr:col>0</xdr:col>
                    <xdr:colOff>114300</xdr:colOff>
                    <xdr:row>57</xdr:row>
                    <xdr:rowOff>133350</xdr:rowOff>
                  </from>
                  <to>
                    <xdr:col>1</xdr:col>
                    <xdr:colOff>66675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7" name="Drop Down 36">
              <controlPr defaultSize="0" autoLine="0" autoPict="0">
                <anchor moveWithCells="1">
                  <from>
                    <xdr:col>1</xdr:col>
                    <xdr:colOff>419100</xdr:colOff>
                    <xdr:row>57</xdr:row>
                    <xdr:rowOff>142875</xdr:rowOff>
                  </from>
                  <to>
                    <xdr:col>2</xdr:col>
                    <xdr:colOff>628650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8" name="Drop Down 37">
              <controlPr defaultSize="0" autoLine="0" autoPict="0">
                <anchor moveWithCells="1">
                  <from>
                    <xdr:col>0</xdr:col>
                    <xdr:colOff>114300</xdr:colOff>
                    <xdr:row>57</xdr:row>
                    <xdr:rowOff>133350</xdr:rowOff>
                  </from>
                  <to>
                    <xdr:col>1</xdr:col>
                    <xdr:colOff>66675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9" name="Drop Down 38">
              <controlPr defaultSize="0" autoLine="0" autoPict="0">
                <anchor moveWithCells="1">
                  <from>
                    <xdr:col>1</xdr:col>
                    <xdr:colOff>419100</xdr:colOff>
                    <xdr:row>57</xdr:row>
                    <xdr:rowOff>133350</xdr:rowOff>
                  </from>
                  <to>
                    <xdr:col>2</xdr:col>
                    <xdr:colOff>628650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1" r:id="rId30" name="Drop Down 43">
              <controlPr defaultSize="0" autoLine="0" autoPict="0">
                <anchor moveWithCells="1">
                  <from>
                    <xdr:col>0</xdr:col>
                    <xdr:colOff>114300</xdr:colOff>
                    <xdr:row>66</xdr:row>
                    <xdr:rowOff>133350</xdr:rowOff>
                  </from>
                  <to>
                    <xdr:col>1</xdr:col>
                    <xdr:colOff>66675</xdr:colOff>
                    <xdr:row>68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1" name="Drop Down 44">
              <controlPr defaultSize="0" autoLine="0" autoPict="0">
                <anchor moveWithCells="1">
                  <from>
                    <xdr:col>1</xdr:col>
                    <xdr:colOff>419100</xdr:colOff>
                    <xdr:row>66</xdr:row>
                    <xdr:rowOff>142875</xdr:rowOff>
                  </from>
                  <to>
                    <xdr:col>2</xdr:col>
                    <xdr:colOff>628650</xdr:colOff>
                    <xdr:row>68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2" name="Drop Down 45">
              <controlPr defaultSize="0" autoLine="0" autoPict="0">
                <anchor moveWithCells="1">
                  <from>
                    <xdr:col>0</xdr:col>
                    <xdr:colOff>114300</xdr:colOff>
                    <xdr:row>66</xdr:row>
                    <xdr:rowOff>133350</xdr:rowOff>
                  </from>
                  <to>
                    <xdr:col>1</xdr:col>
                    <xdr:colOff>66675</xdr:colOff>
                    <xdr:row>68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3" name="Drop Down 46">
              <controlPr defaultSize="0" autoLine="0" autoPict="0">
                <anchor moveWithCells="1">
                  <from>
                    <xdr:col>1</xdr:col>
                    <xdr:colOff>419100</xdr:colOff>
                    <xdr:row>66</xdr:row>
                    <xdr:rowOff>133350</xdr:rowOff>
                  </from>
                  <to>
                    <xdr:col>2</xdr:col>
                    <xdr:colOff>628650</xdr:colOff>
                    <xdr:row>68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W52"/>
  <sheetViews>
    <sheetView topLeftCell="A7" zoomScale="80" zoomScaleNormal="80" workbookViewId="0">
      <selection activeCell="B29" sqref="B29"/>
    </sheetView>
  </sheetViews>
  <sheetFormatPr baseColWidth="10" defaultRowHeight="15" x14ac:dyDescent="0.25"/>
  <cols>
    <col min="1" max="1" width="15.28515625" style="1" bestFit="1" customWidth="1"/>
    <col min="2" max="2" width="11.42578125" style="1"/>
    <col min="3" max="3" width="14.140625" style="1" bestFit="1" customWidth="1"/>
    <col min="4" max="4" width="11.42578125" style="1"/>
    <col min="5" max="5" width="14.140625" style="1" bestFit="1" customWidth="1"/>
    <col min="6" max="6" width="12.7109375" style="1" bestFit="1" customWidth="1"/>
    <col min="7" max="7" width="15.85546875" style="1" bestFit="1" customWidth="1"/>
    <col min="8" max="8" width="11.42578125" style="1"/>
    <col min="9" max="9" width="16" style="1" bestFit="1" customWidth="1"/>
    <col min="10" max="16384" width="11.42578125" style="1"/>
  </cols>
  <sheetData>
    <row r="1" spans="1:23" ht="21" x14ac:dyDescent="0.25">
      <c r="A1" s="11" t="str">
        <f>IF(I1=1,IF(I4=1,"Call Largo","Call Corto"),IF(I1=2,IF(I4=1,"Put Largo","Put Corto"),IF(I1=3,IF(I4=1, "Stock Largo", "Stock Corto"))))</f>
        <v>Put Largo</v>
      </c>
      <c r="B1" s="2"/>
      <c r="C1" s="2"/>
      <c r="D1" s="2"/>
      <c r="E1" s="2"/>
      <c r="F1" s="2"/>
      <c r="G1" s="6"/>
      <c r="H1" s="5" t="s">
        <v>0</v>
      </c>
      <c r="I1" s="5">
        <v>2</v>
      </c>
    </row>
    <row r="2" spans="1:23" x14ac:dyDescent="0.25">
      <c r="A2" s="1" t="s">
        <v>3</v>
      </c>
      <c r="B2" s="1">
        <v>60</v>
      </c>
      <c r="G2" s="5"/>
      <c r="H2" s="5" t="s">
        <v>1</v>
      </c>
      <c r="I2" s="5"/>
    </row>
    <row r="3" spans="1:23" x14ac:dyDescent="0.25">
      <c r="A3" s="1" t="s">
        <v>2</v>
      </c>
      <c r="B3" s="1">
        <v>20</v>
      </c>
      <c r="G3" s="5"/>
      <c r="H3" s="5" t="s">
        <v>6</v>
      </c>
      <c r="I3" s="5"/>
    </row>
    <row r="4" spans="1:23" x14ac:dyDescent="0.25">
      <c r="G4" s="5"/>
      <c r="H4" s="5" t="s">
        <v>5</v>
      </c>
      <c r="I4" s="5">
        <v>1</v>
      </c>
    </row>
    <row r="5" spans="1:23" x14ac:dyDescent="0.25">
      <c r="G5" s="5"/>
      <c r="H5" s="5" t="s">
        <v>4</v>
      </c>
      <c r="I5" s="5"/>
    </row>
    <row r="6" spans="1:23" x14ac:dyDescent="0.25">
      <c r="G6" s="5"/>
      <c r="H6" s="5"/>
      <c r="I6" s="5"/>
    </row>
    <row r="7" spans="1:23" x14ac:dyDescent="0.25">
      <c r="A7" s="1">
        <v>0.01</v>
      </c>
      <c r="B7" s="1">
        <f>5</f>
        <v>5</v>
      </c>
      <c r="C7" s="1">
        <f>B7+5</f>
        <v>10</v>
      </c>
      <c r="D7" s="1">
        <f t="shared" ref="D7:O7" si="0">C7+5</f>
        <v>15</v>
      </c>
      <c r="E7" s="1">
        <f t="shared" si="0"/>
        <v>20</v>
      </c>
      <c r="F7" s="1">
        <f t="shared" si="0"/>
        <v>25</v>
      </c>
      <c r="G7" s="1">
        <f t="shared" si="0"/>
        <v>30</v>
      </c>
      <c r="H7" s="1">
        <f t="shared" si="0"/>
        <v>35</v>
      </c>
      <c r="I7" s="1">
        <f t="shared" si="0"/>
        <v>40</v>
      </c>
      <c r="J7" s="1">
        <f t="shared" si="0"/>
        <v>45</v>
      </c>
      <c r="K7" s="1">
        <f t="shared" si="0"/>
        <v>50</v>
      </c>
      <c r="L7" s="1">
        <f t="shared" si="0"/>
        <v>55</v>
      </c>
      <c r="M7" s="1">
        <f t="shared" si="0"/>
        <v>60</v>
      </c>
      <c r="N7" s="1">
        <f t="shared" si="0"/>
        <v>65</v>
      </c>
      <c r="O7" s="1">
        <f t="shared" si="0"/>
        <v>70</v>
      </c>
      <c r="P7" s="1">
        <f t="shared" ref="P7" si="1">O7+5</f>
        <v>75</v>
      </c>
      <c r="Q7" s="1">
        <f t="shared" ref="Q7" si="2">P7+5</f>
        <v>80</v>
      </c>
      <c r="R7" s="1">
        <f t="shared" ref="R7" si="3">Q7+5</f>
        <v>85</v>
      </c>
      <c r="S7" s="1">
        <f t="shared" ref="S7" si="4">R7+5</f>
        <v>90</v>
      </c>
      <c r="T7" s="1">
        <f t="shared" ref="T7" si="5">S7+5</f>
        <v>95</v>
      </c>
      <c r="U7" s="1">
        <f t="shared" ref="U7" si="6">T7+5</f>
        <v>100</v>
      </c>
      <c r="V7" s="1">
        <f t="shared" ref="V7:W7" si="7">U7+5</f>
        <v>105</v>
      </c>
      <c r="W7" s="1">
        <f t="shared" si="7"/>
        <v>110</v>
      </c>
    </row>
    <row r="8" spans="1:23" x14ac:dyDescent="0.25">
      <c r="A8" s="1">
        <f>IF($I$1=1,(IF($I$4=1,MAX(A7-$B$3,0),-MAX(A7-$B$3,0))),IF($I$1=2,(IF($I$4=1,MAX($B$3-A7,0),-MAX($B$3-A7,0))),IF($I$4=1,A7-$B$3,$B$3-A7)))</f>
        <v>19.989999999999998</v>
      </c>
      <c r="B8" s="1">
        <f t="shared" ref="B8:W8" si="8">IF($I$1=1,(IF($I$4=1,MAX(B7-$B$3,0),-MAX(B7-$B$3,0))),IF($I$1=2,(IF($I$4=1,MAX($B$3-B7,0),-MAX($B$3-B7,0))),IF($I$4=1,B7-$B$3,$B$3-B7)))</f>
        <v>15</v>
      </c>
      <c r="C8" s="1">
        <f t="shared" si="8"/>
        <v>10</v>
      </c>
      <c r="D8" s="1">
        <f t="shared" si="8"/>
        <v>5</v>
      </c>
      <c r="E8" s="1">
        <f t="shared" si="8"/>
        <v>0</v>
      </c>
      <c r="F8" s="1">
        <f t="shared" si="8"/>
        <v>0</v>
      </c>
      <c r="G8" s="1">
        <f t="shared" si="8"/>
        <v>0</v>
      </c>
      <c r="H8" s="1">
        <f t="shared" si="8"/>
        <v>0</v>
      </c>
      <c r="I8" s="1">
        <f t="shared" si="8"/>
        <v>0</v>
      </c>
      <c r="J8" s="1">
        <f t="shared" si="8"/>
        <v>0</v>
      </c>
      <c r="K8" s="1">
        <f t="shared" si="8"/>
        <v>0</v>
      </c>
      <c r="L8" s="1">
        <f t="shared" si="8"/>
        <v>0</v>
      </c>
      <c r="M8" s="1">
        <f t="shared" si="8"/>
        <v>0</v>
      </c>
      <c r="N8" s="1">
        <f t="shared" si="8"/>
        <v>0</v>
      </c>
      <c r="O8" s="1">
        <f t="shared" si="8"/>
        <v>0</v>
      </c>
      <c r="P8" s="1">
        <f t="shared" si="8"/>
        <v>0</v>
      </c>
      <c r="Q8" s="1">
        <f t="shared" si="8"/>
        <v>0</v>
      </c>
      <c r="R8" s="1">
        <f t="shared" si="8"/>
        <v>0</v>
      </c>
      <c r="S8" s="1">
        <f t="shared" si="8"/>
        <v>0</v>
      </c>
      <c r="T8" s="1">
        <f t="shared" si="8"/>
        <v>0</v>
      </c>
      <c r="U8" s="1">
        <f t="shared" si="8"/>
        <v>0</v>
      </c>
      <c r="V8" s="1">
        <f t="shared" si="8"/>
        <v>0</v>
      </c>
      <c r="W8" s="1">
        <f t="shared" si="8"/>
        <v>0</v>
      </c>
    </row>
    <row r="10" spans="1:23" ht="21" x14ac:dyDescent="0.25">
      <c r="A10" s="10" t="str">
        <f>IF(I10=1,IF(I13=1,"Call Largo","Call Corto"),IF(I10=2,IF(I13=1,"Put Largo","Put Corto"),IF(I10=3,IF(I13=1, "Stock Largo", "Stock Corto"))))</f>
        <v>Put Corto</v>
      </c>
      <c r="B10" s="2"/>
      <c r="C10" s="2"/>
      <c r="D10" s="2"/>
      <c r="E10" s="2"/>
      <c r="F10" s="2"/>
      <c r="G10" s="6"/>
      <c r="H10" s="5" t="s">
        <v>0</v>
      </c>
      <c r="I10" s="5">
        <v>2</v>
      </c>
    </row>
    <row r="11" spans="1:23" x14ac:dyDescent="0.25">
      <c r="A11" s="1" t="s">
        <v>3</v>
      </c>
      <c r="B11" s="1">
        <v>70</v>
      </c>
      <c r="G11" s="5"/>
      <c r="H11" s="5" t="s">
        <v>1</v>
      </c>
      <c r="I11" s="5"/>
    </row>
    <row r="12" spans="1:23" x14ac:dyDescent="0.25">
      <c r="A12" s="1" t="s">
        <v>2</v>
      </c>
      <c r="B12" s="1">
        <v>40</v>
      </c>
      <c r="G12" s="5"/>
      <c r="H12" s="5" t="s">
        <v>6</v>
      </c>
      <c r="I12" s="5"/>
    </row>
    <row r="13" spans="1:23" x14ac:dyDescent="0.25">
      <c r="G13" s="5"/>
      <c r="H13" s="5" t="s">
        <v>5</v>
      </c>
      <c r="I13" s="5">
        <v>2</v>
      </c>
    </row>
    <row r="14" spans="1:23" x14ac:dyDescent="0.25">
      <c r="G14" s="5"/>
      <c r="H14" s="5" t="s">
        <v>4</v>
      </c>
      <c r="I14" s="5"/>
    </row>
    <row r="15" spans="1:23" x14ac:dyDescent="0.25">
      <c r="G15" s="5"/>
      <c r="H15" s="5"/>
      <c r="I15" s="5"/>
    </row>
    <row r="16" spans="1:23" x14ac:dyDescent="0.25">
      <c r="A16" s="1">
        <v>0.01</v>
      </c>
      <c r="B16" s="1">
        <f>5</f>
        <v>5</v>
      </c>
      <c r="C16" s="1">
        <f>B16+5</f>
        <v>10</v>
      </c>
      <c r="D16" s="1">
        <f t="shared" ref="D16:O16" si="9">C16+5</f>
        <v>15</v>
      </c>
      <c r="E16" s="1">
        <f t="shared" si="9"/>
        <v>20</v>
      </c>
      <c r="F16" s="1">
        <f t="shared" si="9"/>
        <v>25</v>
      </c>
      <c r="G16" s="1">
        <f t="shared" si="9"/>
        <v>30</v>
      </c>
      <c r="H16" s="1">
        <f t="shared" si="9"/>
        <v>35</v>
      </c>
      <c r="I16" s="1">
        <f t="shared" si="9"/>
        <v>40</v>
      </c>
      <c r="J16" s="1">
        <f t="shared" si="9"/>
        <v>45</v>
      </c>
      <c r="K16" s="1">
        <f t="shared" si="9"/>
        <v>50</v>
      </c>
      <c r="L16" s="1">
        <f t="shared" si="9"/>
        <v>55</v>
      </c>
      <c r="M16" s="1">
        <f t="shared" si="9"/>
        <v>60</v>
      </c>
      <c r="N16" s="1">
        <f t="shared" si="9"/>
        <v>65</v>
      </c>
      <c r="O16" s="1">
        <f t="shared" si="9"/>
        <v>70</v>
      </c>
      <c r="P16" s="1">
        <f t="shared" ref="P16" si="10">O16+5</f>
        <v>75</v>
      </c>
      <c r="Q16" s="1">
        <f t="shared" ref="Q16" si="11">P16+5</f>
        <v>80</v>
      </c>
      <c r="R16" s="1">
        <f t="shared" ref="R16" si="12">Q16+5</f>
        <v>85</v>
      </c>
      <c r="S16" s="1">
        <f t="shared" ref="S16" si="13">R16+5</f>
        <v>90</v>
      </c>
      <c r="T16" s="1">
        <f t="shared" ref="T16" si="14">S16+5</f>
        <v>95</v>
      </c>
      <c r="U16" s="1">
        <f t="shared" ref="U16" si="15">T16+5</f>
        <v>100</v>
      </c>
      <c r="V16" s="1">
        <f t="shared" ref="V16" si="16">U16+5</f>
        <v>105</v>
      </c>
      <c r="W16" s="1">
        <f t="shared" ref="W16" si="17">V16+5</f>
        <v>110</v>
      </c>
    </row>
    <row r="17" spans="1:23" x14ac:dyDescent="0.25">
      <c r="A17" s="1">
        <f>IF($I$10=1,(IF($I$13=1,MAX(A16-$B$12,0),-MAX(A16-$B$12,0))),IF($I$10=2,(IF($I$13=1,MAX($B$12-A16,0),-MAX($B$12-A16,0))),IF($I$13=1,A16-$B$12,$B$12-A16)))</f>
        <v>-39.99</v>
      </c>
      <c r="B17" s="1">
        <f t="shared" ref="B17:W17" si="18">IF($I$10=1,(IF($I$13=1,MAX(B16-$B$12,0),-MAX(B16-$B$12,0))),IF($I$10=2,(IF($I$13=1,MAX($B$12-B16,0),-MAX($B$12-B16,0))),IF($I$13=1,B16-$B$12,$B$12-B16)))</f>
        <v>-35</v>
      </c>
      <c r="C17" s="1">
        <f t="shared" si="18"/>
        <v>-30</v>
      </c>
      <c r="D17" s="1">
        <f t="shared" si="18"/>
        <v>-25</v>
      </c>
      <c r="E17" s="1">
        <f t="shared" si="18"/>
        <v>-20</v>
      </c>
      <c r="F17" s="1">
        <f t="shared" si="18"/>
        <v>-15</v>
      </c>
      <c r="G17" s="1">
        <f t="shared" si="18"/>
        <v>-10</v>
      </c>
      <c r="H17" s="1">
        <f t="shared" si="18"/>
        <v>-5</v>
      </c>
      <c r="I17" s="1">
        <f t="shared" si="18"/>
        <v>0</v>
      </c>
      <c r="J17" s="1">
        <f t="shared" si="18"/>
        <v>0</v>
      </c>
      <c r="K17" s="1">
        <f t="shared" si="18"/>
        <v>0</v>
      </c>
      <c r="L17" s="1">
        <f t="shared" si="18"/>
        <v>0</v>
      </c>
      <c r="M17" s="1">
        <f t="shared" si="18"/>
        <v>0</v>
      </c>
      <c r="N17" s="1">
        <f t="shared" si="18"/>
        <v>0</v>
      </c>
      <c r="O17" s="1">
        <f t="shared" si="18"/>
        <v>0</v>
      </c>
      <c r="P17" s="1">
        <f t="shared" si="18"/>
        <v>0</v>
      </c>
      <c r="Q17" s="1">
        <f t="shared" si="18"/>
        <v>0</v>
      </c>
      <c r="R17" s="1">
        <f t="shared" si="18"/>
        <v>0</v>
      </c>
      <c r="S17" s="1">
        <f t="shared" si="18"/>
        <v>0</v>
      </c>
      <c r="T17" s="1">
        <f t="shared" si="18"/>
        <v>0</v>
      </c>
      <c r="U17" s="1">
        <f t="shared" si="18"/>
        <v>0</v>
      </c>
      <c r="V17" s="1">
        <f t="shared" si="18"/>
        <v>0</v>
      </c>
      <c r="W17" s="1">
        <f t="shared" si="18"/>
        <v>0</v>
      </c>
    </row>
    <row r="19" spans="1:23" ht="21" x14ac:dyDescent="0.25">
      <c r="A19" s="9" t="str">
        <f>IF(I19=1,IF(I22=1,"Call Largo","Call Corto"),IF(I19=2,IF(I22=1,"Put Largo","Put Corto"),IF(I19=3,IF(I22=1, "Stock Largo", "Stock Corto"))))</f>
        <v>Call Largo</v>
      </c>
      <c r="B19" s="2"/>
      <c r="C19" s="2"/>
      <c r="D19" s="2"/>
      <c r="E19" s="2"/>
      <c r="F19" s="2"/>
      <c r="G19" s="6"/>
      <c r="H19" s="5" t="s">
        <v>0</v>
      </c>
      <c r="I19" s="5">
        <v>1</v>
      </c>
    </row>
    <row r="20" spans="1:23" x14ac:dyDescent="0.25">
      <c r="A20" s="1" t="s">
        <v>3</v>
      </c>
      <c r="B20" s="1">
        <v>60</v>
      </c>
      <c r="G20" s="5"/>
      <c r="H20" s="5" t="s">
        <v>1</v>
      </c>
      <c r="I20" s="5"/>
    </row>
    <row r="21" spans="1:23" x14ac:dyDescent="0.25">
      <c r="A21" s="1" t="s">
        <v>2</v>
      </c>
      <c r="B21" s="1">
        <v>90</v>
      </c>
      <c r="G21" s="5"/>
      <c r="H21" s="5" t="s">
        <v>6</v>
      </c>
      <c r="I21" s="5"/>
    </row>
    <row r="22" spans="1:23" x14ac:dyDescent="0.25">
      <c r="G22" s="5"/>
      <c r="H22" s="5" t="s">
        <v>5</v>
      </c>
      <c r="I22" s="5">
        <v>1</v>
      </c>
    </row>
    <row r="23" spans="1:23" x14ac:dyDescent="0.25">
      <c r="G23" s="5"/>
      <c r="H23" s="5" t="s">
        <v>4</v>
      </c>
      <c r="I23" s="5"/>
    </row>
    <row r="24" spans="1:23" x14ac:dyDescent="0.25">
      <c r="G24" s="5"/>
      <c r="H24" s="5"/>
      <c r="I24" s="5"/>
    </row>
    <row r="25" spans="1:23" x14ac:dyDescent="0.25">
      <c r="A25" s="1">
        <v>0.01</v>
      </c>
      <c r="B25" s="1">
        <f>5</f>
        <v>5</v>
      </c>
      <c r="C25" s="1">
        <f>B25+5</f>
        <v>10</v>
      </c>
      <c r="D25" s="1">
        <f t="shared" ref="D25:H25" si="19">C25+5</f>
        <v>15</v>
      </c>
      <c r="E25" s="1">
        <f t="shared" si="19"/>
        <v>20</v>
      </c>
      <c r="F25" s="1">
        <f t="shared" si="19"/>
        <v>25</v>
      </c>
      <c r="G25" s="1">
        <f t="shared" si="19"/>
        <v>30</v>
      </c>
      <c r="H25" s="1">
        <f t="shared" si="19"/>
        <v>35</v>
      </c>
      <c r="I25" s="1">
        <f>H25+5</f>
        <v>40</v>
      </c>
      <c r="J25" s="1">
        <f t="shared" ref="J25" si="20">I25+5</f>
        <v>45</v>
      </c>
      <c r="K25" s="1">
        <f t="shared" ref="K25" si="21">J25+5</f>
        <v>50</v>
      </c>
      <c r="L25" s="1">
        <f t="shared" ref="L25" si="22">K25+5</f>
        <v>55</v>
      </c>
      <c r="M25" s="1">
        <f t="shared" ref="M25" si="23">L25+5</f>
        <v>60</v>
      </c>
      <c r="N25" s="1">
        <f t="shared" ref="N25" si="24">M25+5</f>
        <v>65</v>
      </c>
      <c r="O25" s="1">
        <f t="shared" ref="O25" si="25">N25+5</f>
        <v>70</v>
      </c>
      <c r="P25" s="1">
        <f t="shared" ref="P25" si="26">O25+5</f>
        <v>75</v>
      </c>
      <c r="Q25" s="1">
        <f t="shared" ref="Q25" si="27">P25+5</f>
        <v>80</v>
      </c>
      <c r="R25" s="1">
        <f t="shared" ref="R25" si="28">Q25+5</f>
        <v>85</v>
      </c>
      <c r="S25" s="1">
        <f t="shared" ref="S25" si="29">R25+5</f>
        <v>90</v>
      </c>
      <c r="T25" s="1">
        <f t="shared" ref="T25" si="30">S25+5</f>
        <v>95</v>
      </c>
      <c r="U25" s="1">
        <f t="shared" ref="U25" si="31">T25+5</f>
        <v>100</v>
      </c>
      <c r="V25" s="1">
        <f t="shared" ref="V25" si="32">U25+5</f>
        <v>105</v>
      </c>
      <c r="W25" s="1">
        <f t="shared" ref="W25" si="33">V25+5</f>
        <v>110</v>
      </c>
    </row>
    <row r="26" spans="1:23" x14ac:dyDescent="0.25">
      <c r="A26" s="1">
        <f>IF($I$19=1,(IF($I$22=1,MAX(A25-$B$21,0),-MAX(A25-$B$21,0))),IF($I$19=2,(IF($I$22=1,MAX($B$21-A25,0),-MAX($B$21-A25,0))),IF($I$22=1,A25-$B$21,$B$21-A25)))</f>
        <v>0</v>
      </c>
      <c r="B26" s="1">
        <f t="shared" ref="B26:O26" si="34">IF($I$19=1,(IF($I$22=1,MAX(B25-$B$21,0),-MAX(B25-$B$21,0))),IF($I$19=2,(IF($I$22=1,MAX($B$21-B25,0),-MAX($B$21-B25,0))),IF($I$22=1,B25-$B$21,$B$21-B25)))</f>
        <v>0</v>
      </c>
      <c r="C26" s="1">
        <f t="shared" si="34"/>
        <v>0</v>
      </c>
      <c r="D26" s="1">
        <f t="shared" si="34"/>
        <v>0</v>
      </c>
      <c r="E26" s="1">
        <f t="shared" si="34"/>
        <v>0</v>
      </c>
      <c r="F26" s="1">
        <f t="shared" si="34"/>
        <v>0</v>
      </c>
      <c r="G26" s="1">
        <f t="shared" si="34"/>
        <v>0</v>
      </c>
      <c r="H26" s="1">
        <f t="shared" si="34"/>
        <v>0</v>
      </c>
      <c r="I26" s="1">
        <f t="shared" si="34"/>
        <v>0</v>
      </c>
      <c r="J26" s="1">
        <f t="shared" si="34"/>
        <v>0</v>
      </c>
      <c r="K26" s="1">
        <f t="shared" si="34"/>
        <v>0</v>
      </c>
      <c r="L26" s="1">
        <f t="shared" si="34"/>
        <v>0</v>
      </c>
      <c r="M26" s="1">
        <f t="shared" si="34"/>
        <v>0</v>
      </c>
      <c r="N26" s="1">
        <f t="shared" si="34"/>
        <v>0</v>
      </c>
      <c r="O26" s="1">
        <f t="shared" si="34"/>
        <v>0</v>
      </c>
      <c r="P26" s="1">
        <f t="shared" ref="P26:W26" si="35">IF($I$19=1,(IF($I$22=1,MAX(P25-$B$21,0),-MAX(P25-$B$21,0))),IF($I$19=2,(IF($I$22=1,MAX($B$21-P25,0),-MAX($B$21-P25,0))),IF($I$22=1,P25-$B$21,$B$21-P25)))</f>
        <v>0</v>
      </c>
      <c r="Q26" s="1">
        <f t="shared" si="35"/>
        <v>0</v>
      </c>
      <c r="R26" s="1">
        <f t="shared" si="35"/>
        <v>0</v>
      </c>
      <c r="S26" s="1">
        <f t="shared" si="35"/>
        <v>0</v>
      </c>
      <c r="T26" s="1">
        <f t="shared" si="35"/>
        <v>5</v>
      </c>
      <c r="U26" s="1">
        <f t="shared" si="35"/>
        <v>10</v>
      </c>
      <c r="V26" s="1">
        <f t="shared" si="35"/>
        <v>15</v>
      </c>
      <c r="W26" s="1">
        <f t="shared" si="35"/>
        <v>20</v>
      </c>
    </row>
    <row r="28" spans="1:23" ht="21" x14ac:dyDescent="0.25">
      <c r="A28" s="8" t="str">
        <f>IF(I28=1,IF(I31=1,"Call Largo","Call Corto"),IF(I28=2,IF(I31=1,"Put Largo","Put Corto"),IF(I28=3,IF(I31=1, "Stock Largo", "Stock Corto"))))</f>
        <v>Call Corto</v>
      </c>
      <c r="B28" s="2"/>
      <c r="C28" s="2"/>
      <c r="D28" s="2"/>
      <c r="E28" s="2"/>
      <c r="F28" s="2"/>
      <c r="G28" s="6"/>
      <c r="H28" s="5" t="s">
        <v>0</v>
      </c>
      <c r="I28" s="5">
        <v>1</v>
      </c>
    </row>
    <row r="29" spans="1:23" x14ac:dyDescent="0.25">
      <c r="A29" s="1" t="s">
        <v>3</v>
      </c>
      <c r="B29" s="1">
        <v>60</v>
      </c>
      <c r="G29" s="5"/>
      <c r="H29" s="5" t="s">
        <v>1</v>
      </c>
      <c r="I29" s="5"/>
    </row>
    <row r="30" spans="1:23" x14ac:dyDescent="0.25">
      <c r="A30" s="1" t="s">
        <v>2</v>
      </c>
      <c r="B30" s="1">
        <v>70</v>
      </c>
      <c r="G30" s="5"/>
      <c r="H30" s="5" t="s">
        <v>6</v>
      </c>
      <c r="I30" s="5"/>
    </row>
    <row r="31" spans="1:23" x14ac:dyDescent="0.25">
      <c r="G31" s="5"/>
      <c r="H31" s="5" t="s">
        <v>5</v>
      </c>
      <c r="I31" s="5">
        <v>2</v>
      </c>
    </row>
    <row r="32" spans="1:23" x14ac:dyDescent="0.25">
      <c r="G32" s="5"/>
      <c r="H32" s="5" t="s">
        <v>4</v>
      </c>
      <c r="I32" s="5"/>
    </row>
    <row r="33" spans="1:23" x14ac:dyDescent="0.25">
      <c r="G33" s="5"/>
      <c r="H33" s="5"/>
      <c r="I33" s="5"/>
    </row>
    <row r="34" spans="1:23" x14ac:dyDescent="0.25">
      <c r="A34" s="1">
        <v>0.01</v>
      </c>
      <c r="B34" s="1">
        <f>5</f>
        <v>5</v>
      </c>
      <c r="C34" s="1">
        <f>B34+5</f>
        <v>10</v>
      </c>
      <c r="D34" s="1">
        <f t="shared" ref="D34" si="36">C34+5</f>
        <v>15</v>
      </c>
      <c r="E34" s="1">
        <f t="shared" ref="E34" si="37">D34+5</f>
        <v>20</v>
      </c>
      <c r="F34" s="1">
        <f t="shared" ref="F34" si="38">E34+5</f>
        <v>25</v>
      </c>
      <c r="G34" s="1">
        <f t="shared" ref="G34" si="39">F34+5</f>
        <v>30</v>
      </c>
      <c r="H34" s="1">
        <f t="shared" ref="H34" si="40">G34+5</f>
        <v>35</v>
      </c>
      <c r="I34" s="1">
        <f>H34+5</f>
        <v>40</v>
      </c>
      <c r="J34" s="1">
        <f t="shared" ref="J34" si="41">I34+5</f>
        <v>45</v>
      </c>
      <c r="K34" s="1">
        <f t="shared" ref="K34" si="42">J34+5</f>
        <v>50</v>
      </c>
      <c r="L34" s="1">
        <f t="shared" ref="L34" si="43">K34+5</f>
        <v>55</v>
      </c>
      <c r="M34" s="1">
        <f t="shared" ref="M34" si="44">L34+5</f>
        <v>60</v>
      </c>
      <c r="N34" s="1">
        <f t="shared" ref="N34" si="45">M34+5</f>
        <v>65</v>
      </c>
      <c r="O34" s="1">
        <f t="shared" ref="O34" si="46">N34+5</f>
        <v>70</v>
      </c>
      <c r="P34" s="1">
        <f t="shared" ref="P34" si="47">O34+5</f>
        <v>75</v>
      </c>
      <c r="Q34" s="1">
        <f t="shared" ref="Q34" si="48">P34+5</f>
        <v>80</v>
      </c>
      <c r="R34" s="1">
        <f t="shared" ref="R34" si="49">Q34+5</f>
        <v>85</v>
      </c>
      <c r="S34" s="1">
        <f t="shared" ref="S34" si="50">R34+5</f>
        <v>90</v>
      </c>
      <c r="T34" s="1">
        <f t="shared" ref="T34" si="51">S34+5</f>
        <v>95</v>
      </c>
      <c r="U34" s="1">
        <f t="shared" ref="U34" si="52">T34+5</f>
        <v>100</v>
      </c>
      <c r="V34" s="1">
        <f t="shared" ref="V34" si="53">U34+5</f>
        <v>105</v>
      </c>
      <c r="W34" s="1">
        <f t="shared" ref="W34" si="54">V34+5</f>
        <v>110</v>
      </c>
    </row>
    <row r="35" spans="1:23" x14ac:dyDescent="0.25">
      <c r="A35" s="1">
        <f t="shared" ref="A35:O35" si="55">IF($I$28=1,(IF($I$31=1,MAX(A34-$B$30,0),-MAX(A34-$B$30,0))),IF($I$28=2,(IF($I$31=1,MAX($B$30-A34,0),-MAX($B$30-A34,0))),IF($B$30=1,A34-$B$30,$B$30-A34)))</f>
        <v>0</v>
      </c>
      <c r="B35" s="1">
        <f t="shared" si="55"/>
        <v>0</v>
      </c>
      <c r="C35" s="1">
        <f t="shared" si="55"/>
        <v>0</v>
      </c>
      <c r="D35" s="1">
        <f t="shared" si="55"/>
        <v>0</v>
      </c>
      <c r="E35" s="1">
        <f t="shared" si="55"/>
        <v>0</v>
      </c>
      <c r="F35" s="1">
        <f t="shared" si="55"/>
        <v>0</v>
      </c>
      <c r="G35" s="1">
        <f t="shared" si="55"/>
        <v>0</v>
      </c>
      <c r="H35" s="1">
        <f t="shared" si="55"/>
        <v>0</v>
      </c>
      <c r="I35" s="1">
        <f t="shared" si="55"/>
        <v>0</v>
      </c>
      <c r="J35" s="1">
        <f t="shared" si="55"/>
        <v>0</v>
      </c>
      <c r="K35" s="1">
        <f t="shared" si="55"/>
        <v>0</v>
      </c>
      <c r="L35" s="1">
        <f t="shared" si="55"/>
        <v>0</v>
      </c>
      <c r="M35" s="1">
        <f t="shared" si="55"/>
        <v>0</v>
      </c>
      <c r="N35" s="1">
        <f t="shared" si="55"/>
        <v>0</v>
      </c>
      <c r="O35" s="1">
        <f t="shared" si="55"/>
        <v>0</v>
      </c>
      <c r="P35" s="1">
        <f t="shared" ref="P35:W35" si="56">IF($I$28=1,(IF($I$31=1,MAX(P34-$B$30,0),-MAX(P34-$B$30,0))),IF($I$28=2,(IF($I$31=1,MAX($B$30-P34,0),-MAX($B$30-P34,0))),IF($B$30=1,P34-$B$30,$B$30-P34)))</f>
        <v>-5</v>
      </c>
      <c r="Q35" s="1">
        <f t="shared" si="56"/>
        <v>-10</v>
      </c>
      <c r="R35" s="1">
        <f t="shared" si="56"/>
        <v>-15</v>
      </c>
      <c r="S35" s="1">
        <f t="shared" si="56"/>
        <v>-20</v>
      </c>
      <c r="T35" s="1">
        <f t="shared" si="56"/>
        <v>-25</v>
      </c>
      <c r="U35" s="1">
        <f t="shared" si="56"/>
        <v>-30</v>
      </c>
      <c r="V35" s="1">
        <f t="shared" si="56"/>
        <v>-35</v>
      </c>
      <c r="W35" s="1">
        <f t="shared" si="56"/>
        <v>-40</v>
      </c>
    </row>
    <row r="37" spans="1:23" ht="21" x14ac:dyDescent="0.25">
      <c r="A37" s="7" t="str">
        <f>A1</f>
        <v>Put Largo</v>
      </c>
      <c r="B37" s="7" t="s">
        <v>7</v>
      </c>
      <c r="C37" s="7" t="str">
        <f>A10</f>
        <v>Put Corto</v>
      </c>
      <c r="D37" s="7" t="s">
        <v>7</v>
      </c>
      <c r="E37" s="7" t="str">
        <f>A19</f>
        <v>Call Largo</v>
      </c>
      <c r="F37" s="7" t="s">
        <v>7</v>
      </c>
      <c r="G37" s="7" t="str">
        <f>A28</f>
        <v>Call Corto</v>
      </c>
      <c r="H37" s="4"/>
      <c r="I37" s="4"/>
    </row>
    <row r="38" spans="1:23" x14ac:dyDescent="0.25">
      <c r="A38" s="1">
        <v>0.01</v>
      </c>
      <c r="B38" s="1">
        <f>5</f>
        <v>5</v>
      </c>
      <c r="C38" s="1">
        <f>B38+5</f>
        <v>10</v>
      </c>
      <c r="D38" s="1">
        <f t="shared" ref="D38:O38" si="57">C38+5</f>
        <v>15</v>
      </c>
      <c r="E38" s="1">
        <f t="shared" si="57"/>
        <v>20</v>
      </c>
      <c r="F38" s="1">
        <f t="shared" si="57"/>
        <v>25</v>
      </c>
      <c r="G38" s="1">
        <f t="shared" si="57"/>
        <v>30</v>
      </c>
      <c r="H38" s="1">
        <f t="shared" si="57"/>
        <v>35</v>
      </c>
      <c r="I38" s="1">
        <f t="shared" si="57"/>
        <v>40</v>
      </c>
      <c r="J38" s="1">
        <f t="shared" si="57"/>
        <v>45</v>
      </c>
      <c r="K38" s="1">
        <f t="shared" si="57"/>
        <v>50</v>
      </c>
      <c r="L38" s="1">
        <f t="shared" si="57"/>
        <v>55</v>
      </c>
      <c r="M38" s="1">
        <f t="shared" si="57"/>
        <v>60</v>
      </c>
      <c r="N38" s="1">
        <f t="shared" si="57"/>
        <v>65</v>
      </c>
      <c r="O38" s="1">
        <f t="shared" si="57"/>
        <v>70</v>
      </c>
      <c r="P38" s="1">
        <f t="shared" ref="P38" si="58">O38+5</f>
        <v>75</v>
      </c>
      <c r="Q38" s="1">
        <f t="shared" ref="Q38" si="59">P38+5</f>
        <v>80</v>
      </c>
      <c r="R38" s="1">
        <f t="shared" ref="R38" si="60">Q38+5</f>
        <v>85</v>
      </c>
      <c r="S38" s="1">
        <f t="shared" ref="S38" si="61">R38+5</f>
        <v>90</v>
      </c>
      <c r="T38" s="1">
        <f t="shared" ref="T38" si="62">S38+5</f>
        <v>95</v>
      </c>
      <c r="U38" s="1">
        <f t="shared" ref="U38" si="63">T38+5</f>
        <v>100</v>
      </c>
      <c r="V38" s="1">
        <f t="shared" ref="V38" si="64">U38+5</f>
        <v>105</v>
      </c>
      <c r="W38" s="1">
        <f t="shared" ref="W38" si="65">V38+5</f>
        <v>110</v>
      </c>
    </row>
    <row r="39" spans="1:23" x14ac:dyDescent="0.25">
      <c r="A39" s="1">
        <f t="shared" ref="A39:W39" si="66">A8+A17+A26+A35</f>
        <v>-20.000000000000004</v>
      </c>
      <c r="B39" s="1">
        <f t="shared" si="66"/>
        <v>-20</v>
      </c>
      <c r="C39" s="1">
        <f t="shared" si="66"/>
        <v>-20</v>
      </c>
      <c r="D39" s="1">
        <f t="shared" si="66"/>
        <v>-20</v>
      </c>
      <c r="E39" s="1">
        <f t="shared" si="66"/>
        <v>-20</v>
      </c>
      <c r="F39" s="1">
        <f t="shared" si="66"/>
        <v>-15</v>
      </c>
      <c r="G39" s="1">
        <f t="shared" si="66"/>
        <v>-10</v>
      </c>
      <c r="H39" s="1">
        <f t="shared" si="66"/>
        <v>-5</v>
      </c>
      <c r="I39" s="1">
        <f t="shared" si="66"/>
        <v>0</v>
      </c>
      <c r="J39" s="1">
        <f t="shared" si="66"/>
        <v>0</v>
      </c>
      <c r="K39" s="1">
        <f t="shared" si="66"/>
        <v>0</v>
      </c>
      <c r="L39" s="1">
        <f t="shared" si="66"/>
        <v>0</v>
      </c>
      <c r="M39" s="1">
        <f t="shared" si="66"/>
        <v>0</v>
      </c>
      <c r="N39" s="1">
        <f t="shared" si="66"/>
        <v>0</v>
      </c>
      <c r="O39" s="1">
        <f t="shared" si="66"/>
        <v>0</v>
      </c>
      <c r="P39" s="1">
        <f t="shared" si="66"/>
        <v>-5</v>
      </c>
      <c r="Q39" s="1">
        <f t="shared" si="66"/>
        <v>-10</v>
      </c>
      <c r="R39" s="1">
        <f t="shared" si="66"/>
        <v>-15</v>
      </c>
      <c r="S39" s="1">
        <f t="shared" si="66"/>
        <v>-20</v>
      </c>
      <c r="T39" s="1">
        <f t="shared" si="66"/>
        <v>-20</v>
      </c>
      <c r="U39" s="1">
        <f t="shared" si="66"/>
        <v>-20</v>
      </c>
      <c r="V39" s="1">
        <f t="shared" si="66"/>
        <v>-20</v>
      </c>
      <c r="W39" s="1">
        <f t="shared" si="66"/>
        <v>-20</v>
      </c>
    </row>
    <row r="40" spans="1:23" x14ac:dyDescent="0.25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1:23" x14ac:dyDescent="0.25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1:23" x14ac:dyDescent="0.25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1:23" x14ac:dyDescent="0.25">
      <c r="A43" s="3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1:23" x14ac:dyDescent="0.25">
      <c r="A44" s="3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1:23" x14ac:dyDescent="0.25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1:23" x14ac:dyDescent="0.25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1:23" x14ac:dyDescent="0.25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1:23" x14ac:dyDescent="0.25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25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25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25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25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Drop Down 1">
              <controlPr defaultSize="0" autoLine="0" autoPict="0">
                <anchor moveWithCells="1">
                  <from>
                    <xdr:col>0</xdr:col>
                    <xdr:colOff>114300</xdr:colOff>
                    <xdr:row>3</xdr:row>
                    <xdr:rowOff>133350</xdr:rowOff>
                  </from>
                  <to>
                    <xdr:col>1</xdr:col>
                    <xdr:colOff>57150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Drop Down 2">
              <controlPr defaultSize="0" autoLine="0" autoPict="0">
                <anchor moveWithCells="1">
                  <from>
                    <xdr:col>1</xdr:col>
                    <xdr:colOff>419100</xdr:colOff>
                    <xdr:row>3</xdr:row>
                    <xdr:rowOff>133350</xdr:rowOff>
                  </from>
                  <to>
                    <xdr:col>2</xdr:col>
                    <xdr:colOff>628650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Drop Down 3">
              <controlPr defaultSize="0" autoLine="0" autoPict="0">
                <anchor moveWithCells="1">
                  <from>
                    <xdr:col>0</xdr:col>
                    <xdr:colOff>114300</xdr:colOff>
                    <xdr:row>12</xdr:row>
                    <xdr:rowOff>133350</xdr:rowOff>
                  </from>
                  <to>
                    <xdr:col>1</xdr:col>
                    <xdr:colOff>66675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Drop Down 4">
              <controlPr defaultSize="0" autoLine="0" autoPict="0">
                <anchor moveWithCells="1">
                  <from>
                    <xdr:col>1</xdr:col>
                    <xdr:colOff>419100</xdr:colOff>
                    <xdr:row>12</xdr:row>
                    <xdr:rowOff>142875</xdr:rowOff>
                  </from>
                  <to>
                    <xdr:col>2</xdr:col>
                    <xdr:colOff>628650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Drop Down 5">
              <controlPr defaultSize="0" autoLine="0" autoPict="0">
                <anchor moveWithCells="1">
                  <from>
                    <xdr:col>0</xdr:col>
                    <xdr:colOff>114300</xdr:colOff>
                    <xdr:row>12</xdr:row>
                    <xdr:rowOff>133350</xdr:rowOff>
                  </from>
                  <to>
                    <xdr:col>1</xdr:col>
                    <xdr:colOff>66675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Drop Down 6">
              <controlPr defaultSize="0" autoLine="0" autoPict="0">
                <anchor moveWithCells="1">
                  <from>
                    <xdr:col>1</xdr:col>
                    <xdr:colOff>419100</xdr:colOff>
                    <xdr:row>12</xdr:row>
                    <xdr:rowOff>133350</xdr:rowOff>
                  </from>
                  <to>
                    <xdr:col>2</xdr:col>
                    <xdr:colOff>628650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10" name="Drop Down 7">
              <controlPr defaultSize="0" autoLine="0" autoPict="0">
                <anchor moveWithCells="1">
                  <from>
                    <xdr:col>0</xdr:col>
                    <xdr:colOff>114300</xdr:colOff>
                    <xdr:row>21</xdr:row>
                    <xdr:rowOff>133350</xdr:rowOff>
                  </from>
                  <to>
                    <xdr:col>1</xdr:col>
                    <xdr:colOff>66675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11" name="Drop Down 8">
              <controlPr defaultSize="0" autoLine="0" autoPict="0">
                <anchor moveWithCells="1">
                  <from>
                    <xdr:col>1</xdr:col>
                    <xdr:colOff>419100</xdr:colOff>
                    <xdr:row>21</xdr:row>
                    <xdr:rowOff>142875</xdr:rowOff>
                  </from>
                  <to>
                    <xdr:col>2</xdr:col>
                    <xdr:colOff>628650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12" name="Drop Down 9">
              <controlPr defaultSize="0" autoLine="0" autoPict="0">
                <anchor moveWithCells="1">
                  <from>
                    <xdr:col>0</xdr:col>
                    <xdr:colOff>114300</xdr:colOff>
                    <xdr:row>21</xdr:row>
                    <xdr:rowOff>133350</xdr:rowOff>
                  </from>
                  <to>
                    <xdr:col>1</xdr:col>
                    <xdr:colOff>66675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13" name="Drop Down 10">
              <controlPr defaultSize="0" autoLine="0" autoPict="0">
                <anchor moveWithCells="1">
                  <from>
                    <xdr:col>1</xdr:col>
                    <xdr:colOff>419100</xdr:colOff>
                    <xdr:row>21</xdr:row>
                    <xdr:rowOff>133350</xdr:rowOff>
                  </from>
                  <to>
                    <xdr:col>2</xdr:col>
                    <xdr:colOff>628650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4" name="Drop Down 15">
              <controlPr defaultSize="0" autoLine="0" autoPict="0">
                <anchor moveWithCells="1">
                  <from>
                    <xdr:col>0</xdr:col>
                    <xdr:colOff>114300</xdr:colOff>
                    <xdr:row>30</xdr:row>
                    <xdr:rowOff>133350</xdr:rowOff>
                  </from>
                  <to>
                    <xdr:col>1</xdr:col>
                    <xdr:colOff>66675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5" name="Drop Down 16">
              <controlPr defaultSize="0" autoLine="0" autoPict="0">
                <anchor moveWithCells="1">
                  <from>
                    <xdr:col>1</xdr:col>
                    <xdr:colOff>419100</xdr:colOff>
                    <xdr:row>30</xdr:row>
                    <xdr:rowOff>142875</xdr:rowOff>
                  </from>
                  <to>
                    <xdr:col>2</xdr:col>
                    <xdr:colOff>628650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6" name="Drop Down 17">
              <controlPr defaultSize="0" autoLine="0" autoPict="0">
                <anchor moveWithCells="1">
                  <from>
                    <xdr:col>0</xdr:col>
                    <xdr:colOff>114300</xdr:colOff>
                    <xdr:row>30</xdr:row>
                    <xdr:rowOff>133350</xdr:rowOff>
                  </from>
                  <to>
                    <xdr:col>1</xdr:col>
                    <xdr:colOff>66675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17" name="Drop Down 18">
              <controlPr defaultSize="0" autoLine="0" autoPict="0">
                <anchor moveWithCells="1">
                  <from>
                    <xdr:col>1</xdr:col>
                    <xdr:colOff>419100</xdr:colOff>
                    <xdr:row>30</xdr:row>
                    <xdr:rowOff>133350</xdr:rowOff>
                  </from>
                  <to>
                    <xdr:col>2</xdr:col>
                    <xdr:colOff>628650</xdr:colOff>
                    <xdr:row>32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Continous dividends</vt:lpstr>
      <vt:lpstr>Long Straddle</vt:lpstr>
      <vt:lpstr>Long Strangle</vt:lpstr>
      <vt:lpstr>Collar</vt:lpstr>
      <vt:lpstr>Long Stock Collar</vt:lpstr>
      <vt:lpstr>Short Condor</vt:lpstr>
      <vt:lpstr>Short Condor (Simplificado)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 Humberto Becerra Contreras</dc:creator>
  <cp:lastModifiedBy>Irma Tatiana Renteria Guzman</cp:lastModifiedBy>
  <dcterms:created xsi:type="dcterms:W3CDTF">2015-10-04T03:21:37Z</dcterms:created>
  <dcterms:modified xsi:type="dcterms:W3CDTF">2016-04-09T02:13:08Z</dcterms:modified>
</cp:coreProperties>
</file>