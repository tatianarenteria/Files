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Templates\ultimo\"/>
    </mc:Choice>
  </mc:AlternateContent>
  <bookViews>
    <workbookView xWindow="120" yWindow="60" windowWidth="28515" windowHeight="12075" tabRatio="754" activeTab="9"/>
  </bookViews>
  <sheets>
    <sheet name="Datos" sheetId="1" r:id="rId1"/>
    <sheet name="Stock" sheetId="2" r:id="rId2"/>
    <sheet name="Value option" sheetId="3" r:id="rId3"/>
    <sheet name="Delta" sheetId="4" r:id="rId4"/>
    <sheet name="Bonds" sheetId="5" r:id="rId5"/>
    <sheet name="Payoff" sheetId="6" r:id="rId6"/>
    <sheet name="Binomial" sheetId="7" r:id="rId7"/>
    <sheet name="JR" sheetId="11" r:id="rId8"/>
    <sheet name="CRR" sheetId="9" r:id="rId9"/>
    <sheet name="Gráfica" sheetId="12" r:id="rId10"/>
    <sheet name="Recortes" sheetId="10" r:id="rId11"/>
    <sheet name="Binomial RNP" sheetId="15" r:id="rId12"/>
  </sheets>
  <functionGroups builtInGroupCount="18"/>
  <calcPr calcId="152511"/>
</workbook>
</file>

<file path=xl/calcChain.xml><?xml version="1.0" encoding="utf-8"?>
<calcChain xmlns="http://schemas.openxmlformats.org/spreadsheetml/2006/main">
  <c r="I9" i="3" l="1"/>
  <c r="I8" i="3"/>
  <c r="I7" i="3"/>
  <c r="I6" i="3"/>
  <c r="I5" i="3"/>
  <c r="H9" i="3"/>
  <c r="H8" i="3"/>
  <c r="H7" i="3"/>
  <c r="H6" i="3"/>
  <c r="H5" i="3"/>
  <c r="G9" i="3"/>
  <c r="G8" i="3"/>
  <c r="G7" i="3"/>
  <c r="G6" i="3"/>
  <c r="G5" i="3"/>
  <c r="F9" i="3"/>
  <c r="F8" i="3"/>
  <c r="F7" i="3"/>
  <c r="F6" i="3"/>
  <c r="F5" i="3"/>
  <c r="E9" i="3"/>
  <c r="E8" i="3"/>
  <c r="E7" i="3"/>
  <c r="E6" i="3"/>
  <c r="E5" i="3"/>
  <c r="D9" i="3"/>
  <c r="D8" i="3"/>
  <c r="D7" i="3"/>
  <c r="D6" i="3"/>
  <c r="D5" i="3"/>
  <c r="B12" i="12"/>
  <c r="D6" i="12"/>
  <c r="D12" i="12"/>
  <c r="I2" i="12"/>
  <c r="J2" i="12"/>
  <c r="K2" i="12"/>
  <c r="L2" i="12"/>
  <c r="M2" i="12" l="1"/>
  <c r="N2" i="12"/>
  <c r="I3" i="12"/>
  <c r="J3" i="12"/>
  <c r="K3" i="12"/>
  <c r="M3" i="12"/>
  <c r="N3" i="12"/>
  <c r="I6" i="12"/>
  <c r="I10" i="12"/>
  <c r="I14" i="12"/>
  <c r="I18" i="12"/>
  <c r="I22" i="12"/>
  <c r="I26" i="12"/>
  <c r="I30" i="12"/>
  <c r="I34" i="12"/>
  <c r="I38" i="12"/>
  <c r="I46" i="12"/>
  <c r="I50" i="12"/>
  <c r="I58" i="12"/>
  <c r="I66" i="12"/>
  <c r="I74" i="12"/>
  <c r="I82" i="12"/>
  <c r="I90" i="12"/>
  <c r="I98" i="12"/>
  <c r="I88" i="12"/>
  <c r="I7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20" i="12"/>
  <c r="I28" i="12"/>
  <c r="I40" i="12"/>
  <c r="I48" i="12"/>
  <c r="I52" i="12"/>
  <c r="I60" i="12"/>
  <c r="I68" i="12"/>
  <c r="I76" i="12"/>
  <c r="I92" i="12"/>
  <c r="I4" i="12"/>
  <c r="I8" i="12"/>
  <c r="I12" i="12"/>
  <c r="I16" i="12"/>
  <c r="I24" i="12"/>
  <c r="I32" i="12"/>
  <c r="I36" i="12"/>
  <c r="I44" i="12"/>
  <c r="I56" i="12"/>
  <c r="I64" i="12"/>
  <c r="I72" i="12"/>
  <c r="I84" i="12"/>
  <c r="I100" i="12"/>
  <c r="I5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42" i="12"/>
  <c r="I54" i="12"/>
  <c r="I62" i="12"/>
  <c r="I70" i="12"/>
  <c r="I78" i="12"/>
  <c r="I86" i="12"/>
  <c r="I94" i="12"/>
  <c r="I80" i="12"/>
  <c r="I96" i="12"/>
  <c r="L3" i="12"/>
  <c r="J4" i="12"/>
  <c r="L5" i="12"/>
  <c r="J6" i="12"/>
  <c r="L7" i="12"/>
  <c r="J8" i="12"/>
  <c r="L9" i="12"/>
  <c r="J10" i="12"/>
  <c r="L11" i="12"/>
  <c r="J12" i="12"/>
  <c r="L13" i="12"/>
  <c r="J14" i="12"/>
  <c r="L15" i="12"/>
  <c r="J16" i="12"/>
  <c r="L17" i="12"/>
  <c r="J18" i="12"/>
  <c r="L19" i="12"/>
  <c r="J20" i="12"/>
  <c r="L21" i="12"/>
  <c r="J22" i="12"/>
  <c r="L23" i="12"/>
  <c r="J24" i="12"/>
  <c r="L25" i="12"/>
  <c r="J26" i="12"/>
  <c r="L27" i="12"/>
  <c r="J28" i="12"/>
  <c r="L29" i="12"/>
  <c r="J30" i="12"/>
  <c r="L31" i="12"/>
  <c r="J32" i="12"/>
  <c r="L33" i="12"/>
  <c r="J34" i="12"/>
  <c r="L35" i="12"/>
  <c r="J36" i="12"/>
  <c r="L37" i="12"/>
  <c r="J38" i="12"/>
  <c r="L39" i="12"/>
  <c r="J40" i="12"/>
  <c r="L41" i="12"/>
  <c r="J42" i="12"/>
  <c r="L43" i="12"/>
  <c r="J44" i="12"/>
  <c r="L45" i="12"/>
  <c r="J46" i="12"/>
  <c r="L47" i="12"/>
  <c r="J48" i="12"/>
  <c r="L49" i="12"/>
  <c r="J50" i="12"/>
  <c r="L51" i="12"/>
  <c r="J52" i="12"/>
  <c r="L53" i="12"/>
  <c r="J54" i="12"/>
  <c r="L55" i="12"/>
  <c r="J56" i="12"/>
  <c r="L57" i="12"/>
  <c r="J58" i="12"/>
  <c r="L59" i="12"/>
  <c r="J60" i="12"/>
  <c r="L61" i="12"/>
  <c r="J62" i="12"/>
  <c r="L63" i="12"/>
  <c r="J64" i="12"/>
  <c r="L65" i="12"/>
  <c r="J66" i="12"/>
  <c r="L67" i="12"/>
  <c r="J68" i="12"/>
  <c r="L69" i="12"/>
  <c r="J70" i="12"/>
  <c r="L71" i="12"/>
  <c r="J72" i="12"/>
  <c r="L73" i="12"/>
  <c r="J74" i="12"/>
  <c r="L75" i="12"/>
  <c r="K4" i="12"/>
  <c r="K6" i="12"/>
  <c r="K8" i="12"/>
  <c r="K10" i="12"/>
  <c r="K12" i="12"/>
  <c r="K14" i="12"/>
  <c r="K16" i="12"/>
  <c r="K18" i="12"/>
  <c r="K20" i="12"/>
  <c r="K22" i="12"/>
  <c r="K24" i="12"/>
  <c r="K26" i="12"/>
  <c r="K28" i="12"/>
  <c r="K30" i="12"/>
  <c r="K32" i="12"/>
  <c r="K34" i="12"/>
  <c r="K36" i="12"/>
  <c r="K38" i="12"/>
  <c r="K40" i="12"/>
  <c r="K42" i="12"/>
  <c r="K44" i="12"/>
  <c r="K46" i="12"/>
  <c r="K48" i="12"/>
  <c r="K50" i="12"/>
  <c r="K52" i="12"/>
  <c r="K54" i="12"/>
  <c r="K56" i="12"/>
  <c r="K58" i="12"/>
  <c r="K60" i="12"/>
  <c r="K62" i="12"/>
  <c r="K64" i="12"/>
  <c r="K66" i="12"/>
  <c r="K68" i="12"/>
  <c r="K70" i="12"/>
  <c r="K72" i="12"/>
  <c r="K74" i="12"/>
  <c r="K76" i="12"/>
  <c r="K78" i="12"/>
  <c r="K80" i="12"/>
  <c r="K82" i="12"/>
  <c r="K84" i="12"/>
  <c r="K86" i="12"/>
  <c r="K88" i="12"/>
  <c r="K90" i="12"/>
  <c r="K92" i="12"/>
  <c r="L4" i="12"/>
  <c r="J5" i="12"/>
  <c r="L6" i="12"/>
  <c r="J7" i="12"/>
  <c r="L8" i="12"/>
  <c r="J9" i="12"/>
  <c r="L10" i="12"/>
  <c r="J11" i="12"/>
  <c r="L12" i="12"/>
  <c r="J13" i="12"/>
  <c r="L14" i="12"/>
  <c r="J15" i="12"/>
  <c r="L16" i="12"/>
  <c r="J17" i="12"/>
  <c r="L18" i="12"/>
  <c r="J19" i="12"/>
  <c r="L20" i="12"/>
  <c r="J21" i="12"/>
  <c r="L22" i="12"/>
  <c r="J23" i="12"/>
  <c r="L24" i="12"/>
  <c r="J25" i="12"/>
  <c r="L26" i="12"/>
  <c r="J27" i="12"/>
  <c r="L28" i="12"/>
  <c r="J29" i="12"/>
  <c r="L30" i="12"/>
  <c r="J31" i="12"/>
  <c r="L32" i="12"/>
  <c r="J33" i="12"/>
  <c r="L34" i="12"/>
  <c r="J35" i="12"/>
  <c r="L36" i="12"/>
  <c r="J37" i="12"/>
  <c r="L38" i="12"/>
  <c r="J39" i="12"/>
  <c r="L40" i="12"/>
  <c r="J41" i="12"/>
  <c r="L42" i="12"/>
  <c r="J43" i="12"/>
  <c r="L44" i="12"/>
  <c r="J45" i="12"/>
  <c r="L46" i="12"/>
  <c r="J47" i="12"/>
  <c r="L48" i="12"/>
  <c r="J49" i="12"/>
  <c r="L50" i="12"/>
  <c r="J51" i="12"/>
  <c r="L52" i="12"/>
  <c r="J53" i="12"/>
  <c r="L54" i="12"/>
  <c r="J55" i="12"/>
  <c r="L56" i="12"/>
  <c r="J57" i="12"/>
  <c r="L58" i="12"/>
  <c r="J59" i="12"/>
  <c r="L60" i="12"/>
  <c r="J61" i="12"/>
  <c r="L62" i="12"/>
  <c r="J63" i="12"/>
  <c r="L64" i="12"/>
  <c r="J65" i="12"/>
  <c r="L66" i="12"/>
  <c r="J67" i="12"/>
  <c r="L68" i="12"/>
  <c r="J69" i="12"/>
  <c r="L70" i="12"/>
  <c r="J71" i="12"/>
  <c r="L72" i="12"/>
  <c r="K5" i="12"/>
  <c r="K7" i="12"/>
  <c r="K9" i="12"/>
  <c r="K11" i="12"/>
  <c r="K13" i="12"/>
  <c r="K15" i="12"/>
  <c r="K17" i="12"/>
  <c r="K19" i="12"/>
  <c r="K21" i="12"/>
  <c r="K23" i="12"/>
  <c r="K25" i="12"/>
  <c r="K27" i="12"/>
  <c r="K29" i="12"/>
  <c r="K31" i="12"/>
  <c r="K33" i="12"/>
  <c r="K35" i="12"/>
  <c r="K37" i="12"/>
  <c r="K39" i="12"/>
  <c r="K41" i="12"/>
  <c r="K43" i="12"/>
  <c r="K45" i="12"/>
  <c r="K47" i="12"/>
  <c r="K49" i="12"/>
  <c r="K51" i="12"/>
  <c r="K53" i="12"/>
  <c r="K55" i="12"/>
  <c r="K57" i="12"/>
  <c r="K59" i="12"/>
  <c r="K61" i="12"/>
  <c r="K63" i="12"/>
  <c r="K65" i="12"/>
  <c r="K67" i="12"/>
  <c r="K69" i="12"/>
  <c r="K71" i="12"/>
  <c r="K73" i="12"/>
  <c r="K75" i="12"/>
  <c r="K77" i="12"/>
  <c r="K79" i="12"/>
  <c r="K81" i="12"/>
  <c r="K83" i="12"/>
  <c r="K85" i="12"/>
  <c r="K87" i="12"/>
  <c r="K89" i="12"/>
  <c r="K91" i="12"/>
  <c r="K93" i="12"/>
  <c r="J73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K95" i="12"/>
  <c r="K97" i="12"/>
  <c r="K99" i="12"/>
  <c r="K101" i="12"/>
  <c r="J94" i="12"/>
  <c r="L95" i="12"/>
  <c r="L97" i="12"/>
  <c r="L99" i="12"/>
  <c r="L101" i="12"/>
  <c r="J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K94" i="12"/>
  <c r="K96" i="12"/>
  <c r="K98" i="12"/>
  <c r="L74" i="12"/>
  <c r="L94" i="12"/>
  <c r="J95" i="12"/>
  <c r="L96" i="12"/>
  <c r="J97" i="12"/>
  <c r="L98" i="12"/>
  <c r="J99" i="12"/>
  <c r="L100" i="12"/>
  <c r="J101" i="12"/>
  <c r="L93" i="12"/>
  <c r="J96" i="12"/>
  <c r="J98" i="12"/>
  <c r="J100" i="12"/>
  <c r="K100" i="12"/>
  <c r="N100" i="12" l="1"/>
  <c r="M100" i="12"/>
  <c r="M98" i="12"/>
  <c r="M96" i="12"/>
  <c r="M101" i="12"/>
  <c r="M99" i="12"/>
  <c r="M97" i="12"/>
  <c r="M95" i="12"/>
  <c r="N98" i="12"/>
  <c r="N96" i="12"/>
  <c r="N94" i="12"/>
  <c r="M75" i="12"/>
  <c r="M94" i="12"/>
  <c r="N101" i="12"/>
  <c r="N99" i="12"/>
  <c r="N97" i="12"/>
  <c r="N95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3" i="12"/>
  <c r="N93" i="12"/>
  <c r="N91" i="12"/>
  <c r="N89" i="12"/>
  <c r="N87" i="12"/>
  <c r="N85" i="12"/>
  <c r="N83" i="12"/>
  <c r="N81" i="12"/>
  <c r="N79" i="12"/>
  <c r="N77" i="12"/>
  <c r="N75" i="12"/>
  <c r="N73" i="12"/>
  <c r="N71" i="12"/>
  <c r="N69" i="12"/>
  <c r="N67" i="12"/>
  <c r="N65" i="12"/>
  <c r="N63" i="12"/>
  <c r="N61" i="12"/>
  <c r="N59" i="12"/>
  <c r="N57" i="12"/>
  <c r="N55" i="12"/>
  <c r="N53" i="12"/>
  <c r="N51" i="12"/>
  <c r="N49" i="12"/>
  <c r="N47" i="12"/>
  <c r="N45" i="12"/>
  <c r="N43" i="12"/>
  <c r="N41" i="12"/>
  <c r="N39" i="12"/>
  <c r="N37" i="12"/>
  <c r="N35" i="12"/>
  <c r="N33" i="12"/>
  <c r="N31" i="12"/>
  <c r="N29" i="12"/>
  <c r="N27" i="12"/>
  <c r="N25" i="12"/>
  <c r="N23" i="12"/>
  <c r="N21" i="12"/>
  <c r="N19" i="12"/>
  <c r="N17" i="12"/>
  <c r="N15" i="12"/>
  <c r="N13" i="12"/>
  <c r="N11" i="12"/>
  <c r="N9" i="12"/>
  <c r="N7" i="12"/>
  <c r="N5" i="12"/>
  <c r="M71" i="12"/>
  <c r="M69" i="12"/>
  <c r="M67" i="12"/>
  <c r="M65" i="12"/>
  <c r="M63" i="12"/>
  <c r="M61" i="12"/>
  <c r="M59" i="12"/>
  <c r="M57" i="12"/>
  <c r="M55" i="12"/>
  <c r="M53" i="12"/>
  <c r="M51" i="12"/>
  <c r="M49" i="12"/>
  <c r="M47" i="12"/>
  <c r="M45" i="12"/>
  <c r="M43" i="12"/>
  <c r="M41" i="12"/>
  <c r="M39" i="12"/>
  <c r="M37" i="12"/>
  <c r="M35" i="12"/>
  <c r="M33" i="12"/>
  <c r="M31" i="12"/>
  <c r="M29" i="12"/>
  <c r="M27" i="12"/>
  <c r="M25" i="12"/>
  <c r="M23" i="12"/>
  <c r="M21" i="12"/>
  <c r="M19" i="12"/>
  <c r="M17" i="12"/>
  <c r="M15" i="12"/>
  <c r="M13" i="12"/>
  <c r="M11" i="12"/>
  <c r="M9" i="12"/>
  <c r="M7" i="12"/>
  <c r="M5" i="12"/>
  <c r="N92" i="12"/>
  <c r="N90" i="12"/>
  <c r="N88" i="12"/>
  <c r="N86" i="12"/>
  <c r="N84" i="12"/>
  <c r="N82" i="12"/>
  <c r="N80" i="12"/>
  <c r="N78" i="12"/>
  <c r="N76" i="12"/>
  <c r="N74" i="12"/>
  <c r="N72" i="12"/>
  <c r="N70" i="12"/>
  <c r="N68" i="12"/>
  <c r="N66" i="12"/>
  <c r="N64" i="12"/>
  <c r="N62" i="12"/>
  <c r="N60" i="12"/>
  <c r="N58" i="12"/>
  <c r="N56" i="12"/>
  <c r="N54" i="12"/>
  <c r="N52" i="12"/>
  <c r="N50" i="12"/>
  <c r="N48" i="12"/>
  <c r="N46" i="12"/>
  <c r="N44" i="12"/>
  <c r="N42" i="12"/>
  <c r="N40" i="12"/>
  <c r="N38" i="12"/>
  <c r="N36" i="12"/>
  <c r="N34" i="12"/>
  <c r="N32" i="12"/>
  <c r="N30" i="12"/>
  <c r="N28" i="12"/>
  <c r="N26" i="12"/>
  <c r="N24" i="12"/>
  <c r="N22" i="12"/>
  <c r="N20" i="12"/>
  <c r="N18" i="12"/>
  <c r="N16" i="12"/>
  <c r="N14" i="12"/>
  <c r="N12" i="12"/>
  <c r="N10" i="12"/>
  <c r="N8" i="12"/>
  <c r="N6" i="12"/>
  <c r="N4" i="12"/>
  <c r="M74" i="12"/>
  <c r="M72" i="12"/>
  <c r="M70" i="12"/>
  <c r="M68" i="12"/>
  <c r="M66" i="12"/>
  <c r="M64" i="12"/>
  <c r="M62" i="12"/>
  <c r="M60" i="12"/>
  <c r="M58" i="12"/>
  <c r="M56" i="12"/>
  <c r="M54" i="12"/>
  <c r="M52" i="12"/>
  <c r="M50" i="12"/>
  <c r="M48" i="12"/>
  <c r="M46" i="12"/>
  <c r="M44" i="12"/>
  <c r="M42" i="12"/>
  <c r="M40" i="12"/>
  <c r="M38" i="12"/>
  <c r="M36" i="12"/>
  <c r="M34" i="12"/>
  <c r="M32" i="12"/>
  <c r="M30" i="12"/>
  <c r="M28" i="12"/>
  <c r="M26" i="12"/>
  <c r="M24" i="12"/>
  <c r="M22" i="12"/>
  <c r="M20" i="12"/>
  <c r="M18" i="12"/>
  <c r="M16" i="12"/>
  <c r="M14" i="12"/>
  <c r="M12" i="12"/>
  <c r="M10" i="12"/>
  <c r="M8" i="12"/>
  <c r="M6" i="12"/>
  <c r="M4" i="12"/>
  <c r="B14" i="12"/>
  <c r="B13" i="12" s="1"/>
  <c r="E3" i="12" l="1"/>
  <c r="E2" i="12"/>
  <c r="O13" i="12"/>
  <c r="O37" i="12"/>
  <c r="O8" i="12"/>
  <c r="O24" i="12"/>
  <c r="O45" i="12"/>
  <c r="O77" i="12"/>
  <c r="O2" i="12"/>
  <c r="O95" i="12"/>
  <c r="O91" i="12"/>
  <c r="O15" i="12"/>
  <c r="O31" i="12"/>
  <c r="O30" i="12"/>
  <c r="O26" i="12"/>
  <c r="O18" i="12"/>
  <c r="O29" i="12"/>
  <c r="O21" i="12"/>
  <c r="O5" i="12"/>
  <c r="O32" i="12"/>
  <c r="O28" i="12"/>
  <c r="O20" i="12"/>
  <c r="O16" i="12"/>
  <c r="O12" i="12"/>
  <c r="O4" i="12"/>
  <c r="O22" i="12"/>
  <c r="O14" i="12"/>
  <c r="O10" i="12"/>
  <c r="O33" i="12"/>
  <c r="O25" i="12"/>
  <c r="O17" i="12"/>
  <c r="O23" i="12"/>
  <c r="O19" i="12"/>
  <c r="O7" i="12"/>
  <c r="O3" i="12"/>
  <c r="O53" i="12"/>
  <c r="O41" i="12"/>
  <c r="O56" i="12"/>
  <c r="O48" i="12"/>
  <c r="O44" i="12"/>
  <c r="O40" i="12"/>
  <c r="O36" i="12"/>
  <c r="O55" i="12"/>
  <c r="O51" i="12"/>
  <c r="O43" i="12"/>
  <c r="O39" i="12"/>
  <c r="O35" i="12"/>
  <c r="O57" i="12"/>
  <c r="O54" i="12"/>
  <c r="O46" i="12"/>
  <c r="O38" i="12"/>
  <c r="O34" i="12"/>
  <c r="O73" i="12"/>
  <c r="O101" i="12"/>
  <c r="O85" i="12"/>
  <c r="O69" i="12"/>
  <c r="O89" i="12"/>
  <c r="O97" i="12"/>
  <c r="O81" i="12"/>
  <c r="O61" i="12"/>
  <c r="O96" i="12"/>
  <c r="O92" i="12"/>
  <c r="O88" i="12"/>
  <c r="O80" i="12"/>
  <c r="O76" i="12"/>
  <c r="O72" i="12"/>
  <c r="O64" i="12"/>
  <c r="O60" i="12"/>
  <c r="O99" i="12"/>
  <c r="O87" i="12"/>
  <c r="O83" i="12"/>
  <c r="O71" i="12"/>
  <c r="O67" i="12"/>
  <c r="O63" i="12"/>
  <c r="O59" i="12"/>
  <c r="O94" i="12"/>
  <c r="O90" i="12"/>
  <c r="O86" i="12"/>
  <c r="O82" i="12"/>
  <c r="O78" i="12"/>
  <c r="O74" i="12"/>
  <c r="O70" i="12"/>
  <c r="O66" i="12"/>
  <c r="O62" i="12"/>
  <c r="D13" i="12"/>
  <c r="D7" i="12"/>
  <c r="B11" i="12"/>
  <c r="C24" i="1"/>
  <c r="C23" i="1"/>
  <c r="E42" i="1" s="1"/>
  <c r="C16" i="1"/>
  <c r="O98" i="12" l="1"/>
  <c r="O42" i="12"/>
  <c r="O27" i="12"/>
  <c r="O75" i="12"/>
  <c r="O93" i="12"/>
  <c r="O47" i="12"/>
  <c r="O49" i="12"/>
  <c r="O6" i="12"/>
  <c r="O11" i="12"/>
  <c r="O58" i="12"/>
  <c r="O79" i="12"/>
  <c r="O68" i="12"/>
  <c r="O84" i="12"/>
  <c r="O100" i="12"/>
  <c r="O65" i="12"/>
  <c r="O50" i="12"/>
  <c r="O52" i="12"/>
  <c r="O9" i="12"/>
  <c r="E36" i="1"/>
  <c r="C13" i="1"/>
  <c r="H19" i="1"/>
  <c r="C22" i="1"/>
  <c r="E1" i="12" l="1"/>
  <c r="G23" i="1"/>
  <c r="G15" i="1"/>
  <c r="G14" i="1"/>
  <c r="G11" i="1"/>
  <c r="G10" i="1"/>
  <c r="C14" i="1" s="1"/>
  <c r="G6" i="1"/>
  <c r="G22" i="1"/>
  <c r="G7" i="1"/>
  <c r="G8" i="1" s="1"/>
  <c r="C3" i="2"/>
  <c r="G16" i="1" l="1"/>
  <c r="H4" i="2"/>
  <c r="H4" i="3" s="1"/>
  <c r="F4" i="2"/>
  <c r="F4" i="3" s="1"/>
  <c r="D4" i="2"/>
  <c r="D4" i="3" s="1"/>
  <c r="G12" i="1"/>
  <c r="E37" i="1"/>
  <c r="E38" i="1" s="1"/>
  <c r="C15" i="1"/>
  <c r="C3" i="3"/>
  <c r="D3" i="2" l="1"/>
  <c r="E30" i="1"/>
  <c r="E31" i="1" s="1"/>
  <c r="E3" i="2"/>
  <c r="E3" i="3" s="1"/>
  <c r="E4" i="2"/>
  <c r="E4" i="3" s="1"/>
  <c r="F3" i="2"/>
  <c r="F3" i="3" s="1"/>
  <c r="G3" i="2"/>
  <c r="G3" i="3" s="1"/>
  <c r="G4" i="2"/>
  <c r="G4" i="3" s="1"/>
  <c r="H3" i="2"/>
  <c r="H3" i="3" s="1"/>
  <c r="I3" i="2"/>
  <c r="I3" i="3" s="1"/>
  <c r="I4" i="2"/>
  <c r="I4" i="3" s="1"/>
  <c r="I19" i="1"/>
  <c r="G19" i="1"/>
  <c r="D3" i="3"/>
</calcChain>
</file>

<file path=xl/sharedStrings.xml><?xml version="1.0" encoding="utf-8"?>
<sst xmlns="http://schemas.openxmlformats.org/spreadsheetml/2006/main" count="87" uniqueCount="58">
  <si>
    <t>K strike price</t>
  </si>
  <si>
    <t>S Stock price</t>
  </si>
  <si>
    <t>r</t>
  </si>
  <si>
    <t>h</t>
  </si>
  <si>
    <t>sigma * raíz (h)</t>
  </si>
  <si>
    <t>σ</t>
  </si>
  <si>
    <t>STOCK</t>
  </si>
  <si>
    <t xml:space="preserve">Value Option </t>
  </si>
  <si>
    <t>Precio de la opción</t>
  </si>
  <si>
    <t>T</t>
  </si>
  <si>
    <t xml:space="preserve">Binomial Price option model </t>
  </si>
  <si>
    <t>Call(1) Put (0)</t>
  </si>
  <si>
    <t>n</t>
  </si>
  <si>
    <t>Delta</t>
  </si>
  <si>
    <t>Borrow</t>
  </si>
  <si>
    <t>E(1)/A(0)</t>
  </si>
  <si>
    <t>u</t>
  </si>
  <si>
    <t>exp(r-div)*h</t>
  </si>
  <si>
    <t>d</t>
  </si>
  <si>
    <t xml:space="preserve">Options on Stocks index use the same formulas </t>
  </si>
  <si>
    <t>1)</t>
  </si>
  <si>
    <t>2)</t>
  </si>
  <si>
    <t xml:space="preserve">Options on Currencies </t>
  </si>
  <si>
    <t>Foreign interest rate</t>
  </si>
  <si>
    <t>δ / rf</t>
  </si>
  <si>
    <t>K</t>
  </si>
  <si>
    <t>current exchange rate</t>
  </si>
  <si>
    <t>S</t>
  </si>
  <si>
    <t xml:space="preserve">Strike </t>
  </si>
  <si>
    <t xml:space="preserve">r </t>
  </si>
  <si>
    <t>dollar interest rate</t>
  </si>
  <si>
    <t>rf = div</t>
  </si>
  <si>
    <t xml:space="preserve">3) </t>
  </si>
  <si>
    <t>Options on future contracts</t>
  </si>
  <si>
    <t>1-p</t>
  </si>
  <si>
    <t xml:space="preserve">Risk neutral probability </t>
  </si>
  <si>
    <t>p</t>
  </si>
  <si>
    <t>up</t>
  </si>
  <si>
    <t xml:space="preserve">down </t>
  </si>
  <si>
    <t>The Binomial model is simply a particular way to model the continously compounded return</t>
  </si>
  <si>
    <t xml:space="preserve">Pricing an Option Using Real Probabilities </t>
  </si>
  <si>
    <t>γ</t>
  </si>
  <si>
    <t>α</t>
  </si>
  <si>
    <t xml:space="preserve">Binomial </t>
  </si>
  <si>
    <t>JR</t>
  </si>
  <si>
    <t>CRR</t>
  </si>
  <si>
    <t>B-S</t>
  </si>
  <si>
    <t>Steps (n)</t>
  </si>
  <si>
    <t>Jarrow - Rudd</t>
  </si>
  <si>
    <t>Binomial</t>
  </si>
  <si>
    <t>Binomial(K, S, T, rf, sigma, div, n, PC)</t>
  </si>
  <si>
    <t>CRR(K, S, T, rf, sigma, n, PC)</t>
  </si>
  <si>
    <t>BSC(K, S, r, T, v, PC)</t>
  </si>
  <si>
    <t>BS</t>
  </si>
  <si>
    <t>JR(K, S, T, rf, sigma, div, n, PC)</t>
  </si>
  <si>
    <t>Min Binomial</t>
  </si>
  <si>
    <t>Min JR</t>
  </si>
  <si>
    <t>Min CRR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</si>
</sst>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0.00000"/>
    <numFmt numFmtId="165" formatCode="0.0000"/>
    <numFmt numFmtId="166" formatCode="0.0000000"/>
    <numFmt numFmtId="167" formatCode="0.000"/>
    <numFmt numFmtId="168" formatCode="0.000000"/>
    <numFmt numFmtId="169" formatCode="_-* #,##0.0000_-;\-* #,##0.0000_-;_-* &quot;-&quot;??_-;_-@_-"/>
    <numFmt numFmtId="170" formatCode="0.00000000"/>
    <numFmt numFmtId="171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4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Fill="1"/>
    <xf numFmtId="0" fontId="0" fillId="0" borderId="0" xfId="1" applyNumberFormat="1" applyFont="1" applyFill="1"/>
    <xf numFmtId="0" fontId="0" fillId="0" borderId="0" xfId="0" applyNumberFormat="1" applyFill="1"/>
    <xf numFmtId="165" fontId="0" fillId="0" borderId="0" xfId="1" applyNumberFormat="1" applyFont="1" applyFill="1" applyBorder="1"/>
    <xf numFmtId="165" fontId="0" fillId="0" borderId="0" xfId="0" applyNumberFormat="1" applyFill="1" applyBorder="1"/>
    <xf numFmtId="165" fontId="0" fillId="0" borderId="0" xfId="0" applyNumberFormat="1" applyFill="1"/>
    <xf numFmtId="166" fontId="0" fillId="0" borderId="0" xfId="0" applyNumberFormat="1" applyFill="1"/>
    <xf numFmtId="0" fontId="0" fillId="2" borderId="1" xfId="0" applyFill="1" applyBorder="1"/>
    <xf numFmtId="0" fontId="0" fillId="3" borderId="2" xfId="0" applyFill="1" applyBorder="1"/>
    <xf numFmtId="0" fontId="0" fillId="2" borderId="3" xfId="0" applyFill="1" applyBorder="1"/>
    <xf numFmtId="0" fontId="0" fillId="3" borderId="4" xfId="0" applyFill="1" applyBorder="1"/>
    <xf numFmtId="9" fontId="0" fillId="3" borderId="4" xfId="0" applyNumberFormat="1" applyFill="1" applyBorder="1"/>
    <xf numFmtId="0" fontId="2" fillId="2" borderId="3" xfId="0" applyFont="1" applyFill="1" applyBorder="1"/>
    <xf numFmtId="164" fontId="0" fillId="4" borderId="4" xfId="0" applyNumberFormat="1" applyFill="1" applyBorder="1"/>
    <xf numFmtId="167" fontId="0" fillId="4" borderId="0" xfId="0" applyNumberFormat="1" applyFill="1"/>
    <xf numFmtId="167" fontId="0" fillId="0" borderId="0" xfId="0" applyNumberFormat="1" applyFill="1"/>
    <xf numFmtId="167" fontId="0" fillId="0" borderId="0" xfId="0" applyNumberFormat="1"/>
    <xf numFmtId="166" fontId="0" fillId="3" borderId="0" xfId="0" applyNumberFormat="1" applyFill="1"/>
    <xf numFmtId="0" fontId="0" fillId="3" borderId="0" xfId="0" applyNumberFormat="1" applyFill="1"/>
    <xf numFmtId="165" fontId="0" fillId="3" borderId="0" xfId="0" applyNumberFormat="1" applyFill="1" applyBorder="1"/>
    <xf numFmtId="0" fontId="0" fillId="3" borderId="0" xfId="1" applyNumberFormat="1" applyFont="1" applyFill="1"/>
    <xf numFmtId="165" fontId="0" fillId="3" borderId="0" xfId="1" applyNumberFormat="1" applyFont="1" applyFill="1" applyBorder="1"/>
    <xf numFmtId="168" fontId="0" fillId="4" borderId="4" xfId="0" applyNumberFormat="1" applyFill="1" applyBorder="1"/>
    <xf numFmtId="168" fontId="0" fillId="3" borderId="4" xfId="0" applyNumberFormat="1" applyFill="1" applyBorder="1"/>
    <xf numFmtId="169" fontId="0" fillId="4" borderId="0" xfId="0" applyNumberFormat="1" applyFill="1"/>
    <xf numFmtId="167" fontId="0" fillId="3" borderId="0" xfId="1" applyNumberFormat="1" applyFont="1" applyFill="1"/>
    <xf numFmtId="170" fontId="0" fillId="0" borderId="0" xfId="0" applyNumberFormat="1" applyFill="1"/>
    <xf numFmtId="168" fontId="0" fillId="0" borderId="0" xfId="0" applyNumberFormat="1" applyFill="1"/>
    <xf numFmtId="167" fontId="0" fillId="3" borderId="0" xfId="0" applyNumberFormat="1" applyFill="1"/>
    <xf numFmtId="167" fontId="0" fillId="0" borderId="0" xfId="1" applyNumberFormat="1" applyFont="1" applyFill="1"/>
    <xf numFmtId="171" fontId="0" fillId="3" borderId="4" xfId="0" applyNumberFormat="1" applyFill="1" applyBorder="1"/>
    <xf numFmtId="0" fontId="6" fillId="0" borderId="0" xfId="0" applyFont="1"/>
    <xf numFmtId="168" fontId="0" fillId="4" borderId="0" xfId="0" applyNumberFormat="1" applyFill="1"/>
    <xf numFmtId="165" fontId="0" fillId="4" borderId="0" xfId="0" applyNumberFormat="1" applyFill="1"/>
    <xf numFmtId="0" fontId="0" fillId="4" borderId="0" xfId="0" applyFill="1"/>
    <xf numFmtId="0" fontId="4" fillId="4" borderId="0" xfId="0" applyFon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4" borderId="5" xfId="0" applyFont="1" applyFill="1" applyBorder="1"/>
    <xf numFmtId="0" fontId="2" fillId="4" borderId="0" xfId="0" applyFont="1" applyFill="1"/>
    <xf numFmtId="0" fontId="0" fillId="0" borderId="0" xfId="0" applyBorder="1"/>
    <xf numFmtId="0" fontId="0" fillId="2" borderId="0" xfId="0" applyFill="1" applyBorder="1"/>
    <xf numFmtId="0" fontId="0" fillId="5" borderId="0" xfId="0" applyFill="1" applyBorder="1"/>
    <xf numFmtId="0" fontId="0" fillId="6" borderId="0" xfId="0" applyFill="1"/>
    <xf numFmtId="0" fontId="0" fillId="6" borderId="0" xfId="0" applyFill="1" applyBorder="1"/>
    <xf numFmtId="0" fontId="0" fillId="5" borderId="0" xfId="0" applyFill="1"/>
    <xf numFmtId="166" fontId="0" fillId="0" borderId="0" xfId="0" applyNumberFormat="1"/>
    <xf numFmtId="168" fontId="0" fillId="0" borderId="0" xfId="0" applyNumberFormat="1"/>
    <xf numFmtId="168" fontId="0" fillId="5" borderId="4" xfId="0" applyNumberFormat="1" applyFill="1" applyBorder="1"/>
    <xf numFmtId="0" fontId="0" fillId="3" borderId="4" xfId="0" applyNumberFormat="1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applyFill="1" applyBorder="1"/>
    <xf numFmtId="0" fontId="0" fillId="0" borderId="0" xfId="0" applyNumberFormat="1"/>
  </cellXfs>
  <cellStyles count="2">
    <cellStyle name="Millares" xfId="1" builtinId="3"/>
    <cellStyle name="Normal" xfId="0" builtinId="0"/>
  </cellStyles>
  <dxfs count="7"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0" formatCode="General"/>
    </dxf>
    <dxf>
      <numFmt numFmtId="165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BS CRR JR Binomial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Gráfica!$I$1</c:f>
              <c:strCache>
                <c:ptCount val="1"/>
                <c:pt idx="0">
                  <c:v>B-S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Gráfica!$I$2:$I$101</c:f>
              <c:numCache>
                <c:formatCode>General</c:formatCode>
                <c:ptCount val="100"/>
                <c:pt idx="0">
                  <c:v>13.145893900288087</c:v>
                </c:pt>
                <c:pt idx="1">
                  <c:v>13.145893900288087</c:v>
                </c:pt>
                <c:pt idx="2">
                  <c:v>13.145893900288087</c:v>
                </c:pt>
                <c:pt idx="3">
                  <c:v>13.145893900288087</c:v>
                </c:pt>
                <c:pt idx="4">
                  <c:v>13.145893900288087</c:v>
                </c:pt>
                <c:pt idx="5">
                  <c:v>13.145893900288087</c:v>
                </c:pt>
                <c:pt idx="6">
                  <c:v>13.145893900288087</c:v>
                </c:pt>
                <c:pt idx="7">
                  <c:v>13.145893900288087</c:v>
                </c:pt>
                <c:pt idx="8">
                  <c:v>13.145893900288087</c:v>
                </c:pt>
                <c:pt idx="9">
                  <c:v>13.145893900288087</c:v>
                </c:pt>
                <c:pt idx="10">
                  <c:v>13.145893900288087</c:v>
                </c:pt>
                <c:pt idx="11">
                  <c:v>13.145893900288087</c:v>
                </c:pt>
                <c:pt idx="12">
                  <c:v>13.145893900288087</c:v>
                </c:pt>
                <c:pt idx="13">
                  <c:v>13.145893900288087</c:v>
                </c:pt>
                <c:pt idx="14">
                  <c:v>13.145893900288087</c:v>
                </c:pt>
                <c:pt idx="15">
                  <c:v>13.145893900288087</c:v>
                </c:pt>
                <c:pt idx="16">
                  <c:v>13.145893900288087</c:v>
                </c:pt>
                <c:pt idx="17">
                  <c:v>13.145893900288087</c:v>
                </c:pt>
                <c:pt idx="18">
                  <c:v>13.145893900288087</c:v>
                </c:pt>
                <c:pt idx="19">
                  <c:v>13.145893900288087</c:v>
                </c:pt>
                <c:pt idx="20">
                  <c:v>13.145893900288087</c:v>
                </c:pt>
                <c:pt idx="21">
                  <c:v>13.145893900288087</c:v>
                </c:pt>
                <c:pt idx="22">
                  <c:v>13.145893900288087</c:v>
                </c:pt>
                <c:pt idx="23">
                  <c:v>13.145893900288087</c:v>
                </c:pt>
                <c:pt idx="24">
                  <c:v>13.145893900288087</c:v>
                </c:pt>
                <c:pt idx="25">
                  <c:v>13.145893900288087</c:v>
                </c:pt>
                <c:pt idx="26">
                  <c:v>13.145893900288087</c:v>
                </c:pt>
                <c:pt idx="27">
                  <c:v>13.145893900288087</c:v>
                </c:pt>
                <c:pt idx="28">
                  <c:v>13.145893900288087</c:v>
                </c:pt>
                <c:pt idx="29">
                  <c:v>13.145893900288087</c:v>
                </c:pt>
                <c:pt idx="30">
                  <c:v>13.145893900288087</c:v>
                </c:pt>
                <c:pt idx="31">
                  <c:v>13.145893900288087</c:v>
                </c:pt>
                <c:pt idx="32">
                  <c:v>13.145893900288087</c:v>
                </c:pt>
                <c:pt idx="33">
                  <c:v>13.145893900288087</c:v>
                </c:pt>
                <c:pt idx="34">
                  <c:v>13.145893900288087</c:v>
                </c:pt>
                <c:pt idx="35">
                  <c:v>13.145893900288087</c:v>
                </c:pt>
                <c:pt idx="36">
                  <c:v>13.145893900288087</c:v>
                </c:pt>
                <c:pt idx="37">
                  <c:v>13.145893900288087</c:v>
                </c:pt>
                <c:pt idx="38">
                  <c:v>13.145893900288087</c:v>
                </c:pt>
                <c:pt idx="39">
                  <c:v>13.145893900288087</c:v>
                </c:pt>
                <c:pt idx="40">
                  <c:v>13.145893900288087</c:v>
                </c:pt>
                <c:pt idx="41">
                  <c:v>13.145893900288087</c:v>
                </c:pt>
                <c:pt idx="42">
                  <c:v>13.145893900288087</c:v>
                </c:pt>
                <c:pt idx="43">
                  <c:v>13.145893900288087</c:v>
                </c:pt>
                <c:pt idx="44">
                  <c:v>13.145893900288087</c:v>
                </c:pt>
                <c:pt idx="45">
                  <c:v>13.145893900288087</c:v>
                </c:pt>
                <c:pt idx="46">
                  <c:v>13.145893900288087</c:v>
                </c:pt>
                <c:pt idx="47">
                  <c:v>13.145893900288087</c:v>
                </c:pt>
                <c:pt idx="48">
                  <c:v>13.145893900288087</c:v>
                </c:pt>
                <c:pt idx="49">
                  <c:v>13.145893900288087</c:v>
                </c:pt>
                <c:pt idx="50">
                  <c:v>13.145893900288087</c:v>
                </c:pt>
                <c:pt idx="51">
                  <c:v>13.145893900288087</c:v>
                </c:pt>
                <c:pt idx="52">
                  <c:v>13.145893900288087</c:v>
                </c:pt>
                <c:pt idx="53">
                  <c:v>13.145893900288087</c:v>
                </c:pt>
                <c:pt idx="54">
                  <c:v>13.145893900288087</c:v>
                </c:pt>
                <c:pt idx="55">
                  <c:v>13.145893900288087</c:v>
                </c:pt>
                <c:pt idx="56">
                  <c:v>13.145893900288087</c:v>
                </c:pt>
                <c:pt idx="57">
                  <c:v>13.145893900288087</c:v>
                </c:pt>
                <c:pt idx="58">
                  <c:v>13.145893900288087</c:v>
                </c:pt>
                <c:pt idx="59">
                  <c:v>13.145893900288087</c:v>
                </c:pt>
                <c:pt idx="60">
                  <c:v>13.145893900288087</c:v>
                </c:pt>
                <c:pt idx="61">
                  <c:v>13.145893900288087</c:v>
                </c:pt>
                <c:pt idx="62">
                  <c:v>13.145893900288087</c:v>
                </c:pt>
                <c:pt idx="63">
                  <c:v>13.145893900288087</c:v>
                </c:pt>
                <c:pt idx="64">
                  <c:v>13.145893900288087</c:v>
                </c:pt>
                <c:pt idx="65">
                  <c:v>13.145893900288087</c:v>
                </c:pt>
                <c:pt idx="66">
                  <c:v>13.145893900288087</c:v>
                </c:pt>
                <c:pt idx="67">
                  <c:v>13.145893900288087</c:v>
                </c:pt>
                <c:pt idx="68">
                  <c:v>13.145893900288087</c:v>
                </c:pt>
                <c:pt idx="69">
                  <c:v>13.145893900288087</c:v>
                </c:pt>
                <c:pt idx="70">
                  <c:v>13.145893900288087</c:v>
                </c:pt>
                <c:pt idx="71">
                  <c:v>13.145893900288087</c:v>
                </c:pt>
                <c:pt idx="72">
                  <c:v>13.145893900288087</c:v>
                </c:pt>
                <c:pt idx="73">
                  <c:v>13.145893900288087</c:v>
                </c:pt>
                <c:pt idx="74">
                  <c:v>13.145893900288087</c:v>
                </c:pt>
                <c:pt idx="75">
                  <c:v>13.145893900288087</c:v>
                </c:pt>
                <c:pt idx="76">
                  <c:v>13.145893900288087</c:v>
                </c:pt>
                <c:pt idx="77">
                  <c:v>13.145893900288087</c:v>
                </c:pt>
                <c:pt idx="78">
                  <c:v>13.145893900288087</c:v>
                </c:pt>
                <c:pt idx="79">
                  <c:v>13.145893900288087</c:v>
                </c:pt>
                <c:pt idx="80">
                  <c:v>13.145893900288087</c:v>
                </c:pt>
                <c:pt idx="81">
                  <c:v>13.145893900288087</c:v>
                </c:pt>
                <c:pt idx="82">
                  <c:v>13.145893900288087</c:v>
                </c:pt>
                <c:pt idx="83">
                  <c:v>13.145893900288087</c:v>
                </c:pt>
                <c:pt idx="84">
                  <c:v>13.145893900288087</c:v>
                </c:pt>
                <c:pt idx="85">
                  <c:v>13.145893900288087</c:v>
                </c:pt>
                <c:pt idx="86">
                  <c:v>13.145893900288087</c:v>
                </c:pt>
                <c:pt idx="87">
                  <c:v>13.145893900288087</c:v>
                </c:pt>
                <c:pt idx="88">
                  <c:v>13.145893900288087</c:v>
                </c:pt>
                <c:pt idx="89">
                  <c:v>13.145893900288087</c:v>
                </c:pt>
                <c:pt idx="90">
                  <c:v>13.145893900288087</c:v>
                </c:pt>
                <c:pt idx="91">
                  <c:v>13.145893900288087</c:v>
                </c:pt>
                <c:pt idx="92">
                  <c:v>13.145893900288087</c:v>
                </c:pt>
                <c:pt idx="93">
                  <c:v>13.145893900288087</c:v>
                </c:pt>
                <c:pt idx="94">
                  <c:v>13.145893900288087</c:v>
                </c:pt>
                <c:pt idx="95">
                  <c:v>13.145893900288087</c:v>
                </c:pt>
                <c:pt idx="96">
                  <c:v>13.145893900288087</c:v>
                </c:pt>
                <c:pt idx="97">
                  <c:v>13.145893900288087</c:v>
                </c:pt>
                <c:pt idx="98">
                  <c:v>13.145893900288087</c:v>
                </c:pt>
                <c:pt idx="99">
                  <c:v>13.145893900288087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Gráfica!$J$1</c:f>
              <c:strCache>
                <c:ptCount val="1"/>
                <c:pt idx="0">
                  <c:v>CRR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Gráfica!$J$2:$J$101</c:f>
              <c:numCache>
                <c:formatCode>0.0000</c:formatCode>
                <c:ptCount val="100"/>
                <c:pt idx="0">
                  <c:v>16.817697849689878</c:v>
                </c:pt>
                <c:pt idx="1">
                  <c:v>11.37383451892153</c:v>
                </c:pt>
                <c:pt idx="2">
                  <c:v>14.396856987509166</c:v>
                </c:pt>
                <c:pt idx="3">
                  <c:v>12.21114982023928</c:v>
                </c:pt>
                <c:pt idx="4">
                  <c:v>13.893200896665153</c:v>
                </c:pt>
                <c:pt idx="5">
                  <c:v>12.51305126763693</c:v>
                </c:pt>
                <c:pt idx="6">
                  <c:v>13.67786221175766</c:v>
                </c:pt>
                <c:pt idx="7">
                  <c:v>12.667900289428683</c:v>
                </c:pt>
                <c:pt idx="8">
                  <c:v>13.55867531510385</c:v>
                </c:pt>
                <c:pt idx="9">
                  <c:v>12.761965632362795</c:v>
                </c:pt>
                <c:pt idx="10">
                  <c:v>13.483060071393542</c:v>
                </c:pt>
                <c:pt idx="11">
                  <c:v>12.825131716013431</c:v>
                </c:pt>
                <c:pt idx="12">
                  <c:v>13.430835157732693</c:v>
                </c:pt>
                <c:pt idx="13">
                  <c:v>12.870464717587668</c:v>
                </c:pt>
                <c:pt idx="14">
                  <c:v>13.392608185925519</c:v>
                </c:pt>
                <c:pt idx="15">
                  <c:v>12.904578108840894</c:v>
                </c:pt>
                <c:pt idx="16">
                  <c:v>13.363419323146731</c:v>
                </c:pt>
                <c:pt idx="17">
                  <c:v>12.931176457412281</c:v>
                </c:pt>
                <c:pt idx="18">
                  <c:v>13.340403446603499</c:v>
                </c:pt>
                <c:pt idx="19">
                  <c:v>12.952495722878378</c:v>
                </c:pt>
                <c:pt idx="20">
                  <c:v>13.321790286446838</c:v>
                </c:pt>
                <c:pt idx="21">
                  <c:v>12.969965158559864</c:v>
                </c:pt>
                <c:pt idx="22">
                  <c:v>13.30642720874325</c:v>
                </c:pt>
                <c:pt idx="23">
                  <c:v>12.984540925751919</c:v>
                </c:pt>
                <c:pt idx="24">
                  <c:v>13.293531530744222</c:v>
                </c:pt>
                <c:pt idx="25">
                  <c:v>12.996886833628459</c:v>
                </c:pt>
                <c:pt idx="26">
                  <c:v>13.282553153010255</c:v>
                </c:pt>
                <c:pt idx="27">
                  <c:v>13.007478117746983</c:v>
                </c:pt>
                <c:pt idx="28">
                  <c:v>13.273094156708597</c:v>
                </c:pt>
                <c:pt idx="29">
                  <c:v>13.016663949930026</c:v>
                </c:pt>
                <c:pt idx="30">
                  <c:v>13.26485959216391</c:v>
                </c:pt>
                <c:pt idx="31">
                  <c:v>13.024706632536294</c:v>
                </c:pt>
                <c:pt idx="32">
                  <c:v>13.257626201057256</c:v>
                </c:pt>
                <c:pt idx="33">
                  <c:v>13.031807027831503</c:v>
                </c:pt>
                <c:pt idx="34">
                  <c:v>13.251221885234695</c:v>
                </c:pt>
                <c:pt idx="35">
                  <c:v>13.038121549775196</c:v>
                </c:pt>
                <c:pt idx="36">
                  <c:v>13.245511848176783</c:v>
                </c:pt>
                <c:pt idx="37">
                  <c:v>13.043773812933445</c:v>
                </c:pt>
                <c:pt idx="38">
                  <c:v>13.240389009344046</c:v>
                </c:pt>
                <c:pt idx="39">
                  <c:v>13.048862800722086</c:v>
                </c:pt>
                <c:pt idx="40">
                  <c:v>13.235767229683612</c:v>
                </c:pt>
                <c:pt idx="41">
                  <c:v>13.053468708660599</c:v>
                </c:pt>
                <c:pt idx="42">
                  <c:v>13.231576431377849</c:v>
                </c:pt>
                <c:pt idx="43">
                  <c:v>13.057657199680094</c:v>
                </c:pt>
                <c:pt idx="44">
                  <c:v>13.227759021468019</c:v>
                </c:pt>
                <c:pt idx="45">
                  <c:v>13.061482553089787</c:v>
                </c:pt>
                <c:pt idx="46">
                  <c:v>13.22426723029078</c:v>
                </c:pt>
                <c:pt idx="47">
                  <c:v>13.064990028819095</c:v>
                </c:pt>
                <c:pt idx="48">
                  <c:v>13.221061102901146</c:v>
                </c:pt>
                <c:pt idx="49">
                  <c:v>13.068217665966255</c:v>
                </c:pt>
                <c:pt idx="50">
                  <c:v>13.218106963939958</c:v>
                </c:pt>
                <c:pt idx="51">
                  <c:v>13.071197667504526</c:v>
                </c:pt>
                <c:pt idx="52">
                  <c:v>13.215376230670151</c:v>
                </c:pt>
                <c:pt idx="53">
                  <c:v>13.07395747812812</c:v>
                </c:pt>
                <c:pt idx="54">
                  <c:v>13.212844485425409</c:v>
                </c:pt>
                <c:pt idx="55">
                  <c:v>13.076520631746835</c:v>
                </c:pt>
                <c:pt idx="56">
                  <c:v>13.210490743650624</c:v>
                </c:pt>
                <c:pt idx="57">
                  <c:v>13.078907424081665</c:v>
                </c:pt>
                <c:pt idx="58">
                  <c:v>13.208296871052175</c:v>
                </c:pt>
                <c:pt idx="59">
                  <c:v>13.081135451073372</c:v>
                </c:pt>
                <c:pt idx="60">
                  <c:v>13.20624711558775</c:v>
                </c:pt>
                <c:pt idx="61">
                  <c:v>13.083220043328044</c:v>
                </c:pt>
                <c:pt idx="62">
                  <c:v>13.204327728733318</c:v>
                </c:pt>
                <c:pt idx="63">
                  <c:v>13.085174619287685</c:v>
                </c:pt>
                <c:pt idx="64">
                  <c:v>13.202526656776939</c:v>
                </c:pt>
                <c:pt idx="65">
                  <c:v>13.087010974332225</c:v>
                </c:pt>
                <c:pt idx="66">
                  <c:v>13.200833287482631</c:v>
                </c:pt>
                <c:pt idx="67">
                  <c:v>13.088739518967877</c:v>
                </c:pt>
                <c:pt idx="68">
                  <c:v>13.199238240874955</c:v>
                </c:pt>
                <c:pt idx="69">
                  <c:v>13.090369476270517</c:v>
                </c:pt>
                <c:pt idx="70">
                  <c:v>13.197733195430786</c:v>
                </c:pt>
                <c:pt idx="71">
                  <c:v>13.091909046484396</c:v>
                </c:pt>
                <c:pt idx="72">
                  <c:v>13.196310742886503</c:v>
                </c:pt>
                <c:pt idx="73">
                  <c:v>13.093365544982884</c:v>
                </c:pt>
                <c:pt idx="74">
                  <c:v>13.194964266301222</c:v>
                </c:pt>
                <c:pt idx="75">
                  <c:v>13.094745518484473</c:v>
                </c:pt>
                <c:pt idx="76">
                  <c:v>13.193687837152117</c:v>
                </c:pt>
                <c:pt idx="77">
                  <c:v>13.096054843421966</c:v>
                </c:pt>
                <c:pt idx="78">
                  <c:v>13.192476128076516</c:v>
                </c:pt>
                <c:pt idx="79">
                  <c:v>13.097298809586304</c:v>
                </c:pt>
                <c:pt idx="80">
                  <c:v>13.191324338561994</c:v>
                </c:pt>
                <c:pt idx="81">
                  <c:v>13.098482191543351</c:v>
                </c:pt>
                <c:pt idx="82">
                  <c:v>13.190228131389977</c:v>
                </c:pt>
                <c:pt idx="83">
                  <c:v>13.099609309874268</c:v>
                </c:pt>
                <c:pt idx="84">
                  <c:v>13.189183578063281</c:v>
                </c:pt>
                <c:pt idx="85">
                  <c:v>13.100684083876192</c:v>
                </c:pt>
                <c:pt idx="86">
                  <c:v>13.188187111769993</c:v>
                </c:pt>
                <c:pt idx="87">
                  <c:v>13.101710077093053</c:v>
                </c:pt>
                <c:pt idx="88">
                  <c:v>13.187235486698018</c:v>
                </c:pt>
                <c:pt idx="89">
                  <c:v>13.102690536783523</c:v>
                </c:pt>
                <c:pt idx="90">
                  <c:v>13.186325742717816</c:v>
                </c:pt>
                <c:pt idx="91">
                  <c:v>13.103628428250776</c:v>
                </c:pt>
                <c:pt idx="92">
                  <c:v>13.185455174630642</c:v>
                </c:pt>
                <c:pt idx="93">
                  <c:v>13.104526464789664</c:v>
                </c:pt>
                <c:pt idx="94">
                  <c:v>13.184621305301013</c:v>
                </c:pt>
                <c:pt idx="95">
                  <c:v>13.10538713390388</c:v>
                </c:pt>
                <c:pt idx="96">
                  <c:v>13.183821862124239</c:v>
                </c:pt>
                <c:pt idx="97">
                  <c:v>13.106212720314753</c:v>
                </c:pt>
                <c:pt idx="98">
                  <c:v>13.183054756339166</c:v>
                </c:pt>
                <c:pt idx="99">
                  <c:v>13.107005326208016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Gráfica!$K$1</c:f>
              <c:strCache>
                <c:ptCount val="1"/>
                <c:pt idx="0">
                  <c:v>JR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Gráfica!$K$2:$K$101</c:f>
              <c:numCache>
                <c:formatCode>0.0000</c:formatCode>
                <c:ptCount val="100"/>
                <c:pt idx="0">
                  <c:v>15.581785907504074</c:v>
                </c:pt>
                <c:pt idx="1">
                  <c:v>12.913839227103125</c:v>
                </c:pt>
                <c:pt idx="2">
                  <c:v>13.830942405556451</c:v>
                </c:pt>
                <c:pt idx="3">
                  <c:v>13.28820262051053</c:v>
                </c:pt>
                <c:pt idx="4">
                  <c:v>13.440960198068357</c:v>
                </c:pt>
                <c:pt idx="5">
                  <c:v>13.359779679064712</c:v>
                </c:pt>
                <c:pt idx="6">
                  <c:v>13.272200610303324</c:v>
                </c:pt>
                <c:pt idx="7">
                  <c:v>13.371045234395464</c:v>
                </c:pt>
                <c:pt idx="8">
                  <c:v>13.178335380035737</c:v>
                </c:pt>
                <c:pt idx="9">
                  <c:v>13.364763885879139</c:v>
                </c:pt>
                <c:pt idx="10">
                  <c:v>13.118627472152024</c:v>
                </c:pt>
                <c:pt idx="11">
                  <c:v>13.352754772596494</c:v>
                </c:pt>
                <c:pt idx="12">
                  <c:v>13.077321388989805</c:v>
                </c:pt>
                <c:pt idx="13">
                  <c:v>13.339071482310683</c:v>
                </c:pt>
                <c:pt idx="14">
                  <c:v>13.047052771875325</c:v>
                </c:pt>
                <c:pt idx="15">
                  <c:v>13.325265992280297</c:v>
                </c:pt>
                <c:pt idx="16">
                  <c:v>13.023921885971093</c:v>
                </c:pt>
                <c:pt idx="17">
                  <c:v>13.311953500120101</c:v>
                </c:pt>
                <c:pt idx="18">
                  <c:v>13.005671605571573</c:v>
                </c:pt>
                <c:pt idx="19">
                  <c:v>13.299363819938559</c:v>
                </c:pt>
                <c:pt idx="20">
                  <c:v>12.990905320456715</c:v>
                </c:pt>
                <c:pt idx="21">
                  <c:v>13.287559465495844</c:v>
                </c:pt>
                <c:pt idx="22">
                  <c:v>12.978712685598206</c:v>
                </c:pt>
                <c:pt idx="23">
                  <c:v>13.276529136914744</c:v>
                </c:pt>
                <c:pt idx="24">
                  <c:v>12.968475001375358</c:v>
                </c:pt>
                <c:pt idx="25">
                  <c:v>13.266230056071755</c:v>
                </c:pt>
                <c:pt idx="26">
                  <c:v>13.00332712389749</c:v>
                </c:pt>
                <c:pt idx="27">
                  <c:v>13.256607780699207</c:v>
                </c:pt>
                <c:pt idx="28">
                  <c:v>13.03186814658519</c:v>
                </c:pt>
                <c:pt idx="29">
                  <c:v>13.247605573203485</c:v>
                </c:pt>
                <c:pt idx="30">
                  <c:v>13.055459876903427</c:v>
                </c:pt>
                <c:pt idx="31">
                  <c:v>13.23916874191686</c:v>
                </c:pt>
                <c:pt idx="32">
                  <c:v>13.075113978208002</c:v>
                </c:pt>
                <c:pt idx="33">
                  <c:v>13.231246505831061</c:v>
                </c:pt>
                <c:pt idx="34">
                  <c:v>13.091595711739261</c:v>
                </c:pt>
                <c:pt idx="35">
                  <c:v>13.223792629721096</c:v>
                </c:pt>
                <c:pt idx="36">
                  <c:v>13.10549321222812</c:v>
                </c:pt>
                <c:pt idx="37">
                  <c:v>13.216765456111744</c:v>
                </c:pt>
                <c:pt idx="38">
                  <c:v>13.117264877649193</c:v>
                </c:pt>
                <c:pt idx="39">
                  <c:v>13.210127654441719</c:v>
                </c:pt>
                <c:pt idx="40">
                  <c:v>13.127272485720436</c:v>
                </c:pt>
                <c:pt idx="41">
                  <c:v>13.203845852391533</c:v>
                </c:pt>
                <c:pt idx="42">
                  <c:v>13.135804779214146</c:v>
                </c:pt>
                <c:pt idx="43">
                  <c:v>13.197890233726485</c:v>
                </c:pt>
                <c:pt idx="44">
                  <c:v>13.14309455106954</c:v>
                </c:pt>
                <c:pt idx="45">
                  <c:v>13.192234144575258</c:v>
                </c:pt>
                <c:pt idx="46">
                  <c:v>13.149331211731456</c:v>
                </c:pt>
                <c:pt idx="47">
                  <c:v>13.186853727587984</c:v>
                </c:pt>
                <c:pt idx="48">
                  <c:v>13.154670162427411</c:v>
                </c:pt>
                <c:pt idx="49">
                  <c:v>13.181727591553512</c:v>
                </c:pt>
                <c:pt idx="50">
                  <c:v>13.159239874974677</c:v>
                </c:pt>
                <c:pt idx="51">
                  <c:v>13.176836517916824</c:v>
                </c:pt>
                <c:pt idx="52">
                  <c:v>13.163147301325854</c:v>
                </c:pt>
                <c:pt idx="53">
                  <c:v>13.172163202580657</c:v>
                </c:pt>
                <c:pt idx="54">
                  <c:v>13.166482050889948</c:v>
                </c:pt>
                <c:pt idx="55">
                  <c:v>13.167692030013583</c:v>
                </c:pt>
                <c:pt idx="56">
                  <c:v>13.169319647905427</c:v>
                </c:pt>
                <c:pt idx="57">
                  <c:v>13.16340887619884</c:v>
                </c:pt>
                <c:pt idx="58">
                  <c:v>13.171724094434012</c:v>
                </c:pt>
                <c:pt idx="59">
                  <c:v>13.159300936959648</c:v>
                </c:pt>
                <c:pt idx="60">
                  <c:v>13.17374990389777</c:v>
                </c:pt>
                <c:pt idx="61">
                  <c:v>13.155356578405362</c:v>
                </c:pt>
                <c:pt idx="62">
                  <c:v>13.17544372708535</c:v>
                </c:pt>
                <c:pt idx="63">
                  <c:v>13.151565206553453</c:v>
                </c:pt>
                <c:pt idx="64">
                  <c:v>13.176845661726896</c:v>
                </c:pt>
                <c:pt idx="65">
                  <c:v>13.147917153538875</c:v>
                </c:pt>
                <c:pt idx="66">
                  <c:v>13.177990314353313</c:v>
                </c:pt>
                <c:pt idx="67">
                  <c:v>13.144403578130612</c:v>
                </c:pt>
                <c:pt idx="68">
                  <c:v>13.178907666747049</c:v>
                </c:pt>
                <c:pt idx="69">
                  <c:v>13.141016378605885</c:v>
                </c:pt>
                <c:pt idx="70">
                  <c:v>13.179623787140947</c:v>
                </c:pt>
                <c:pt idx="71">
                  <c:v>13.13774811628905</c:v>
                </c:pt>
                <c:pt idx="72">
                  <c:v>13.180161417245477</c:v>
                </c:pt>
                <c:pt idx="73">
                  <c:v>13.134591948309348</c:v>
                </c:pt>
                <c:pt idx="74">
                  <c:v>13.180540459318115</c:v>
                </c:pt>
                <c:pt idx="75">
                  <c:v>13.131541568336631</c:v>
                </c:pt>
                <c:pt idx="76">
                  <c:v>13.180778382304005</c:v>
                </c:pt>
                <c:pt idx="77">
                  <c:v>13.128591154235123</c:v>
                </c:pt>
                <c:pt idx="78">
                  <c:v>13.180890562069621</c:v>
                </c:pt>
                <c:pt idx="79">
                  <c:v>13.125735321728893</c:v>
                </c:pt>
                <c:pt idx="80">
                  <c:v>13.180890567691938</c:v>
                </c:pt>
                <c:pt idx="81">
                  <c:v>13.122969083289215</c:v>
                </c:pt>
                <c:pt idx="82">
                  <c:v>13.180790403359598</c:v>
                </c:pt>
                <c:pt idx="83">
                  <c:v>13.120287811589977</c:v>
                </c:pt>
                <c:pt idx="84">
                  <c:v>13.180600713579256</c:v>
                </c:pt>
                <c:pt idx="85">
                  <c:v>13.117687206941383</c:v>
                </c:pt>
                <c:pt idx="86">
                  <c:v>13.180330957913306</c:v>
                </c:pt>
                <c:pt idx="87">
                  <c:v>13.115163268216982</c:v>
                </c:pt>
                <c:pt idx="88">
                  <c:v>13.179989560304064</c:v>
                </c:pt>
                <c:pt idx="89">
                  <c:v>13.112712266843687</c:v>
                </c:pt>
                <c:pt idx="90">
                  <c:v>13.179584037114886</c:v>
                </c:pt>
                <c:pt idx="91">
                  <c:v>13.110330723486234</c:v>
                </c:pt>
                <c:pt idx="92">
                  <c:v>13.179121107281846</c:v>
                </c:pt>
                <c:pt idx="93">
                  <c:v>13.108015387099991</c:v>
                </c:pt>
                <c:pt idx="94">
                  <c:v>13.178606787363117</c:v>
                </c:pt>
                <c:pt idx="95">
                  <c:v>13.105763216089194</c:v>
                </c:pt>
                <c:pt idx="96">
                  <c:v>13.178046473811108</c:v>
                </c:pt>
                <c:pt idx="97">
                  <c:v>13.103571361316346</c:v>
                </c:pt>
                <c:pt idx="98">
                  <c:v>13.177445014368834</c:v>
                </c:pt>
                <c:pt idx="99">
                  <c:v>13.101437150754172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Gráfica!$L$1</c:f>
              <c:strCache>
                <c:ptCount val="1"/>
                <c:pt idx="0">
                  <c:v>Binomial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Gráfica!$L$2:$L$101</c:f>
              <c:numCache>
                <c:formatCode>0.0000</c:formatCode>
                <c:ptCount val="100"/>
                <c:pt idx="0">
                  <c:v>16.817697849689882</c:v>
                </c:pt>
                <c:pt idx="1">
                  <c:v>12.462695500710019</c:v>
                </c:pt>
                <c:pt idx="2">
                  <c:v>14.31079807715609</c:v>
                </c:pt>
                <c:pt idx="3">
                  <c:v>12.995179826956083</c:v>
                </c:pt>
                <c:pt idx="4">
                  <c:v>13.793174744828518</c:v>
                </c:pt>
                <c:pt idx="5">
                  <c:v>13.14551427485813</c:v>
                </c:pt>
                <c:pt idx="6">
                  <c:v>13.572174536745665</c:v>
                </c:pt>
                <c:pt idx="7">
                  <c:v>13.205879421989419</c:v>
                </c:pt>
                <c:pt idx="8">
                  <c:v>13.449923896803982</c:v>
                </c:pt>
                <c:pt idx="9">
                  <c:v>13.233909839580598</c:v>
                </c:pt>
                <c:pt idx="10">
                  <c:v>13.37238869617839</c:v>
                </c:pt>
                <c:pt idx="11">
                  <c:v>13.247603136691088</c:v>
                </c:pt>
                <c:pt idx="12">
                  <c:v>13.318847916093166</c:v>
                </c:pt>
                <c:pt idx="13">
                  <c:v>13.254095719514627</c:v>
                </c:pt>
                <c:pt idx="14">
                  <c:v>13.279662835781092</c:v>
                </c:pt>
                <c:pt idx="15">
                  <c:v>13.256670908629486</c:v>
                </c:pt>
                <c:pt idx="16">
                  <c:v>13.2497451867967</c:v>
                </c:pt>
                <c:pt idx="17">
                  <c:v>13.257000623462721</c:v>
                </c:pt>
                <c:pt idx="18">
                  <c:v>13.226156315939384</c:v>
                </c:pt>
                <c:pt idx="19">
                  <c:v>13.2560008487507</c:v>
                </c:pt>
                <c:pt idx="20">
                  <c:v>13.207080822657499</c:v>
                </c:pt>
                <c:pt idx="21">
                  <c:v>13.254201544815183</c:v>
                </c:pt>
                <c:pt idx="22">
                  <c:v>13.191336838651639</c:v>
                </c:pt>
                <c:pt idx="23">
                  <c:v>13.251922280639876</c:v>
                </c:pt>
                <c:pt idx="24">
                  <c:v>13.178121910763466</c:v>
                </c:pt>
                <c:pt idx="25">
                  <c:v>13.24936191591806</c:v>
                </c:pt>
                <c:pt idx="26">
                  <c:v>13.166872090212138</c:v>
                </c:pt>
                <c:pt idx="27">
                  <c:v>13.246647137626322</c:v>
                </c:pt>
                <c:pt idx="28">
                  <c:v>13.157179467681535</c:v>
                </c:pt>
                <c:pt idx="29">
                  <c:v>13.243860006662672</c:v>
                </c:pt>
                <c:pt idx="30">
                  <c:v>13.148741705405678</c:v>
                </c:pt>
                <c:pt idx="31">
                  <c:v>13.241054220729954</c:v>
                </c:pt>
                <c:pt idx="32">
                  <c:v>13.141329963817537</c:v>
                </c:pt>
                <c:pt idx="33">
                  <c:v>13.238265039149574</c:v>
                </c:pt>
                <c:pt idx="34">
                  <c:v>13.134767849830126</c:v>
                </c:pt>
                <c:pt idx="35">
                  <c:v>13.235515512425632</c:v>
                </c:pt>
                <c:pt idx="36">
                  <c:v>13.128917207922361</c:v>
                </c:pt>
                <c:pt idx="37">
                  <c:v>13.232820487385039</c:v>
                </c:pt>
                <c:pt idx="38">
                  <c:v>13.123668292714283</c:v>
                </c:pt>
                <c:pt idx="39">
                  <c:v>13.23018923568911</c:v>
                </c:pt>
                <c:pt idx="40">
                  <c:v>13.118932823966702</c:v>
                </c:pt>
                <c:pt idx="41">
                  <c:v>13.227627209581582</c:v>
                </c:pt>
                <c:pt idx="42">
                  <c:v>13.114638983726996</c:v>
                </c:pt>
                <c:pt idx="43">
                  <c:v>13.225137232485636</c:v>
                </c:pt>
                <c:pt idx="44">
                  <c:v>13.110727750255172</c:v>
                </c:pt>
                <c:pt idx="45">
                  <c:v>13.222720316766482</c:v>
                </c:pt>
                <c:pt idx="46">
                  <c:v>13.107150169805877</c:v>
                </c:pt>
                <c:pt idx="47">
                  <c:v>13.22037623145911</c:v>
                </c:pt>
                <c:pt idx="48">
                  <c:v>13.103865297816654</c:v>
                </c:pt>
                <c:pt idx="49">
                  <c:v>13.218103899865838</c:v>
                </c:pt>
                <c:pt idx="50">
                  <c:v>13.100838625428468</c:v>
                </c:pt>
                <c:pt idx="51">
                  <c:v>13.215901679906434</c:v>
                </c:pt>
                <c:pt idx="52">
                  <c:v>13.098040862904092</c:v>
                </c:pt>
                <c:pt idx="53">
                  <c:v>13.213767562748073</c:v>
                </c:pt>
                <c:pt idx="54">
                  <c:v>13.095446988956144</c:v>
                </c:pt>
                <c:pt idx="55">
                  <c:v>13.211699313923324</c:v>
                </c:pt>
                <c:pt idx="56">
                  <c:v>13.093035500557884</c:v>
                </c:pt>
                <c:pt idx="57">
                  <c:v>13.209694573617387</c:v>
                </c:pt>
                <c:pt idx="58">
                  <c:v>13.090787815591082</c:v>
                </c:pt>
                <c:pt idx="59">
                  <c:v>13.207750927770858</c:v>
                </c:pt>
                <c:pt idx="60">
                  <c:v>13.088687793198583</c:v>
                </c:pt>
                <c:pt idx="61">
                  <c:v>13.205865958190138</c:v>
                </c:pt>
                <c:pt idx="62">
                  <c:v>13.086721345642518</c:v>
                </c:pt>
                <c:pt idx="63">
                  <c:v>13.20403727748567</c:v>
                </c:pt>
                <c:pt idx="64">
                  <c:v>13.088487620765429</c:v>
                </c:pt>
                <c:pt idx="65">
                  <c:v>13.202262553021683</c:v>
                </c:pt>
                <c:pt idx="66">
                  <c:v>13.093575908510902</c:v>
                </c:pt>
                <c:pt idx="67">
                  <c:v>13.200539522870693</c:v>
                </c:pt>
                <c:pt idx="68">
                  <c:v>13.098273871509292</c:v>
                </c:pt>
                <c:pt idx="69">
                  <c:v>13.198866005971134</c:v>
                </c:pt>
                <c:pt idx="70">
                  <c:v>13.102618239796067</c:v>
                </c:pt>
                <c:pt idx="71">
                  <c:v>13.197239908073776</c:v>
                </c:pt>
                <c:pt idx="72">
                  <c:v>13.106641484235823</c:v>
                </c:pt>
                <c:pt idx="73">
                  <c:v>13.195659224646894</c:v>
                </c:pt>
                <c:pt idx="74">
                  <c:v>13.110372403951462</c:v>
                </c:pt>
                <c:pt idx="75">
                  <c:v>13.194122041598353</c:v>
                </c:pt>
                <c:pt idx="76">
                  <c:v>13.113836620209419</c:v>
                </c:pt>
                <c:pt idx="77">
                  <c:v>13.19262653444974</c:v>
                </c:pt>
                <c:pt idx="78">
                  <c:v>13.117056993567175</c:v>
                </c:pt>
                <c:pt idx="79">
                  <c:v>13.1911709664311</c:v>
                </c:pt>
                <c:pt idx="80">
                  <c:v>13.120053977756184</c:v>
                </c:pt>
                <c:pt idx="81">
                  <c:v>13.189753685833837</c:v>
                </c:pt>
                <c:pt idx="82">
                  <c:v>13.1228459211342</c:v>
                </c:pt>
                <c:pt idx="83">
                  <c:v>13.188373122890832</c:v>
                </c:pt>
                <c:pt idx="84">
                  <c:v>13.125449324485556</c:v>
                </c:pt>
                <c:pt idx="85">
                  <c:v>13.187027786354411</c:v>
                </c:pt>
                <c:pt idx="86">
                  <c:v>13.127879062321165</c:v>
                </c:pt>
                <c:pt idx="87">
                  <c:v>13.185716259924448</c:v>
                </c:pt>
                <c:pt idx="88">
                  <c:v>13.130148573519641</c:v>
                </c:pt>
                <c:pt idx="89">
                  <c:v>13.184437198618221</c:v>
                </c:pt>
                <c:pt idx="90">
                  <c:v>13.132270026114282</c:v>
                </c:pt>
                <c:pt idx="91">
                  <c:v>13.183189325157461</c:v>
                </c:pt>
                <c:pt idx="92">
                  <c:v>13.134254460197489</c:v>
                </c:pt>
                <c:pt idx="93">
                  <c:v>13.181971426417112</c:v>
                </c:pt>
                <c:pt idx="94">
                  <c:v>13.136111912226088</c:v>
                </c:pt>
                <c:pt idx="95">
                  <c:v>13.18078234998312</c:v>
                </c:pt>
                <c:pt idx="96">
                  <c:v>13.137851523478178</c:v>
                </c:pt>
                <c:pt idx="97">
                  <c:v>13.179621000833212</c:v>
                </c:pt>
                <c:pt idx="98">
                  <c:v>13.139481634937384</c:v>
                </c:pt>
                <c:pt idx="99">
                  <c:v>13.178486338154698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118384"/>
        <c:axId val="426112504"/>
      </c:scatterChart>
      <c:valAx>
        <c:axId val="426118384"/>
        <c:scaling>
          <c:orientation val="minMax"/>
          <c:max val="1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112504"/>
        <c:crosses val="max"/>
        <c:crossBetween val="midCat"/>
      </c:valAx>
      <c:valAx>
        <c:axId val="42611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11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5.png"/><Relationship Id="rId1" Type="http://schemas.openxmlformats.org/officeDocument/2006/relationships/image" Target="../media/image4.png"/><Relationship Id="rId5" Type="http://schemas.openxmlformats.org/officeDocument/2006/relationships/chart" Target="../charts/chart1.xml"/><Relationship Id="rId4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2</xdr:col>
          <xdr:colOff>676275</xdr:colOff>
          <xdr:row>20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Precio de la Opción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4</xdr:row>
      <xdr:rowOff>104775</xdr:rowOff>
    </xdr:from>
    <xdr:to>
      <xdr:col>9</xdr:col>
      <xdr:colOff>47402</xdr:colOff>
      <xdr:row>8</xdr:row>
      <xdr:rowOff>38012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627"/>
        <a:stretch/>
      </xdr:blipFill>
      <xdr:spPr>
        <a:xfrm>
          <a:off x="6029325" y="866775"/>
          <a:ext cx="1609502" cy="704762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2</xdr:row>
      <xdr:rowOff>38100</xdr:rowOff>
    </xdr:from>
    <xdr:to>
      <xdr:col>14</xdr:col>
      <xdr:colOff>201453</xdr:colOff>
      <xdr:row>11</xdr:row>
      <xdr:rowOff>8448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96575" y="419100"/>
          <a:ext cx="2430303" cy="1694373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11</xdr:row>
      <xdr:rowOff>133350</xdr:rowOff>
    </xdr:from>
    <xdr:to>
      <xdr:col>17</xdr:col>
      <xdr:colOff>448803</xdr:colOff>
      <xdr:row>16</xdr:row>
      <xdr:rowOff>141889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9925" y="2238375"/>
          <a:ext cx="4830303" cy="961039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9</xdr:row>
      <xdr:rowOff>1</xdr:rowOff>
    </xdr:from>
    <xdr:to>
      <xdr:col>8</xdr:col>
      <xdr:colOff>688584</xdr:colOff>
      <xdr:row>11</xdr:row>
      <xdr:rowOff>152401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7900" y="1724026"/>
          <a:ext cx="1460109" cy="533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219074</xdr:colOff>
      <xdr:row>17</xdr:row>
      <xdr:rowOff>66675</xdr:rowOff>
    </xdr:from>
    <xdr:to>
      <xdr:col>19</xdr:col>
      <xdr:colOff>160537</xdr:colOff>
      <xdr:row>24</xdr:row>
      <xdr:rowOff>85508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58499" y="3314700"/>
          <a:ext cx="6037463" cy="1352333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18</xdr:row>
      <xdr:rowOff>0</xdr:rowOff>
    </xdr:from>
    <xdr:to>
      <xdr:col>5</xdr:col>
      <xdr:colOff>628465</xdr:colOff>
      <xdr:row>19</xdr:row>
      <xdr:rowOff>95214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4250" y="2486025"/>
          <a:ext cx="1476190" cy="28571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22</xdr:col>
      <xdr:colOff>752286</xdr:colOff>
      <xdr:row>7</xdr:row>
      <xdr:rowOff>161881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259425" y="1152525"/>
          <a:ext cx="1514286" cy="352381"/>
        </a:xfrm>
        <a:prstGeom prst="rect">
          <a:avLst/>
        </a:prstGeom>
      </xdr:spPr>
    </xdr:pic>
    <xdr:clientData/>
  </xdr:twoCellAnchor>
  <xdr:twoCellAnchor editAs="oneCell">
    <xdr:from>
      <xdr:col>24</xdr:col>
      <xdr:colOff>76200</xdr:colOff>
      <xdr:row>4</xdr:row>
      <xdr:rowOff>0</xdr:rowOff>
    </xdr:from>
    <xdr:to>
      <xdr:col>26</xdr:col>
      <xdr:colOff>618867</xdr:colOff>
      <xdr:row>7</xdr:row>
      <xdr:rowOff>180880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21625" y="762000"/>
          <a:ext cx="2066667" cy="761905"/>
        </a:xfrm>
        <a:prstGeom prst="rect">
          <a:avLst/>
        </a:prstGeom>
      </xdr:spPr>
    </xdr:pic>
    <xdr:clientData/>
  </xdr:twoCellAnchor>
  <xdr:twoCellAnchor editAs="oneCell">
    <xdr:from>
      <xdr:col>24</xdr:col>
      <xdr:colOff>85725</xdr:colOff>
      <xdr:row>9</xdr:row>
      <xdr:rowOff>0</xdr:rowOff>
    </xdr:from>
    <xdr:to>
      <xdr:col>27</xdr:col>
      <xdr:colOff>685439</xdr:colOff>
      <xdr:row>12</xdr:row>
      <xdr:rowOff>104690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31150" y="1724025"/>
          <a:ext cx="2885714" cy="676190"/>
        </a:xfrm>
        <a:prstGeom prst="rect">
          <a:avLst/>
        </a:prstGeom>
      </xdr:spPr>
    </xdr:pic>
    <xdr:clientData/>
  </xdr:twoCellAnchor>
  <xdr:twoCellAnchor editAs="oneCell">
    <xdr:from>
      <xdr:col>3</xdr:col>
      <xdr:colOff>628392</xdr:colOff>
      <xdr:row>20</xdr:row>
      <xdr:rowOff>61620</xdr:rowOff>
    </xdr:from>
    <xdr:to>
      <xdr:col>5</xdr:col>
      <xdr:colOff>733426</xdr:colOff>
      <xdr:row>23</xdr:row>
      <xdr:rowOff>90686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76367" y="2928645"/>
          <a:ext cx="1629034" cy="600566"/>
        </a:xfrm>
        <a:prstGeom prst="rect">
          <a:avLst/>
        </a:prstGeom>
      </xdr:spPr>
    </xdr:pic>
    <xdr:clientData/>
  </xdr:twoCellAnchor>
  <xdr:twoCellAnchor editAs="oneCell">
    <xdr:from>
      <xdr:col>24</xdr:col>
      <xdr:colOff>114300</xdr:colOff>
      <xdr:row>13</xdr:row>
      <xdr:rowOff>114300</xdr:rowOff>
    </xdr:from>
    <xdr:to>
      <xdr:col>26</xdr:col>
      <xdr:colOff>409348</xdr:colOff>
      <xdr:row>17</xdr:row>
      <xdr:rowOff>28490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659725" y="2600325"/>
          <a:ext cx="1819048" cy="67619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36</xdr:col>
      <xdr:colOff>227905</xdr:colOff>
      <xdr:row>12</xdr:row>
      <xdr:rowOff>123570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355425" y="381000"/>
          <a:ext cx="5561905" cy="2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104780</xdr:colOff>
      <xdr:row>28</xdr:row>
      <xdr:rowOff>0</xdr:rowOff>
    </xdr:from>
    <xdr:to>
      <xdr:col>2</xdr:col>
      <xdr:colOff>367359</xdr:colOff>
      <xdr:row>32</xdr:row>
      <xdr:rowOff>174000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3905" y="5343525"/>
          <a:ext cx="1729429" cy="93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33</xdr:row>
      <xdr:rowOff>85725</xdr:rowOff>
    </xdr:from>
    <xdr:to>
      <xdr:col>2</xdr:col>
      <xdr:colOff>133179</xdr:colOff>
      <xdr:row>37</xdr:row>
      <xdr:rowOff>28487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7725" y="6381750"/>
          <a:ext cx="1371429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39</xdr:row>
      <xdr:rowOff>142875</xdr:rowOff>
    </xdr:from>
    <xdr:to>
      <xdr:col>3</xdr:col>
      <xdr:colOff>723499</xdr:colOff>
      <xdr:row>43</xdr:row>
      <xdr:rowOff>47542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61950" y="7581900"/>
          <a:ext cx="3209524" cy="6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66525</xdr:colOff>
      <xdr:row>12</xdr:row>
      <xdr:rowOff>170524</xdr:rowOff>
    </xdr:from>
    <xdr:to>
      <xdr:col>8</xdr:col>
      <xdr:colOff>171450</xdr:colOff>
      <xdr:row>15</xdr:row>
      <xdr:rowOff>190349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7750" y="2466049"/>
          <a:ext cx="943125" cy="591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13</xdr:row>
          <xdr:rowOff>28575</xdr:rowOff>
        </xdr:from>
        <xdr:to>
          <xdr:col>10</xdr:col>
          <xdr:colOff>371475</xdr:colOff>
          <xdr:row>15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9</xdr:row>
          <xdr:rowOff>9525</xdr:rowOff>
        </xdr:from>
        <xdr:to>
          <xdr:col>10</xdr:col>
          <xdr:colOff>371475</xdr:colOff>
          <xdr:row>11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Binomial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190500</xdr:rowOff>
        </xdr:from>
        <xdr:to>
          <xdr:col>10</xdr:col>
          <xdr:colOff>371475</xdr:colOff>
          <xdr:row>7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JR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16</xdr:row>
      <xdr:rowOff>9525</xdr:rowOff>
    </xdr:from>
    <xdr:to>
      <xdr:col>2</xdr:col>
      <xdr:colOff>733425</xdr:colOff>
      <xdr:row>19</xdr:row>
      <xdr:rowOff>114215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" y="3067050"/>
          <a:ext cx="1400175" cy="6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66825</xdr:colOff>
      <xdr:row>22</xdr:row>
      <xdr:rowOff>97310</xdr:rowOff>
    </xdr:from>
    <xdr:to>
      <xdr:col>2</xdr:col>
      <xdr:colOff>561975</xdr:colOff>
      <xdr:row>26</xdr:row>
      <xdr:rowOff>123522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275" y="3916835"/>
          <a:ext cx="1257150" cy="7882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66674</xdr:colOff>
      <xdr:row>29</xdr:row>
      <xdr:rowOff>57149</xdr:rowOff>
    </xdr:from>
    <xdr:to>
      <xdr:col>3</xdr:col>
      <xdr:colOff>391657</xdr:colOff>
      <xdr:row>33</xdr:row>
      <xdr:rowOff>104774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27"/>
        <a:stretch/>
      </xdr:blipFill>
      <xdr:spPr>
        <a:xfrm>
          <a:off x="1000124" y="4829174"/>
          <a:ext cx="1848983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904282</xdr:colOff>
      <xdr:row>35</xdr:row>
      <xdr:rowOff>38252</xdr:rowOff>
    </xdr:from>
    <xdr:to>
      <xdr:col>5</xdr:col>
      <xdr:colOff>482463</xdr:colOff>
      <xdr:row>37</xdr:row>
      <xdr:rowOff>152170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4282" y="6715277"/>
          <a:ext cx="3734394" cy="494918"/>
        </a:xfrm>
        <a:prstGeom prst="rect">
          <a:avLst/>
        </a:prstGeom>
      </xdr:spPr>
    </xdr:pic>
    <xdr:clientData/>
  </xdr:twoCellAnchor>
  <xdr:twoCellAnchor>
    <xdr:from>
      <xdr:col>15</xdr:col>
      <xdr:colOff>666749</xdr:colOff>
      <xdr:row>0</xdr:row>
      <xdr:rowOff>163995</xdr:rowOff>
    </xdr:from>
    <xdr:to>
      <xdr:col>26</xdr:col>
      <xdr:colOff>91109</xdr:colOff>
      <xdr:row>31</xdr:row>
      <xdr:rowOff>8282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732762</xdr:colOff>
      <xdr:row>12</xdr:row>
      <xdr:rowOff>47333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304762" cy="23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9</xdr:col>
      <xdr:colOff>751524</xdr:colOff>
      <xdr:row>27</xdr:row>
      <xdr:rowOff>152143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38500"/>
          <a:ext cx="7609524" cy="20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10</xdr:col>
      <xdr:colOff>237143</xdr:colOff>
      <xdr:row>51</xdr:row>
      <xdr:rowOff>113786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715000"/>
          <a:ext cx="7857143" cy="41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Modelos" displayName="TablaModelos" ref="H1:O101" totalsRowShown="0">
  <autoFilter ref="H1:O101"/>
  <sortState ref="H2:O101">
    <sortCondition ref="H1:H101"/>
  </sortState>
  <tableColumns count="8">
    <tableColumn id="1" name="Steps (n)"/>
    <tableColumn id="2" name="B-S" dataDxfId="5">
      <calculatedColumnFormula>bsc($B$4,$B$5,$B$6,$B$9,$B$8,$B$7,$B$2)</calculatedColumnFormula>
    </tableColumn>
    <tableColumn id="3" name="CRR" dataDxfId="4">
      <calculatedColumnFormula>CRR($B$4,$B$5,$B$9,$B$6,$B$7,$H2,$B$2)</calculatedColumnFormula>
    </tableColumn>
    <tableColumn id="4" name="JR" dataDxfId="3">
      <calculatedColumnFormula>JR($B$4,$B$5,$B$9,$B$6,$B$7,$B$8,$H2,$B$2)</calculatedColumnFormula>
    </tableColumn>
    <tableColumn id="5" name="Binomial" dataDxfId="2">
      <calculatedColumnFormula>Binomial($B$4,$B$5,$B$9,$B$6,$B$7,$B$8,$H2,$B$2)</calculatedColumnFormula>
    </tableColumn>
    <tableColumn id="6" name="Min CRR" dataDxfId="1">
      <calculatedColumnFormula>ABS(TablaModelos[[#This Row],[B-S]]-TablaModelos[[#This Row],[CRR]])</calculatedColumnFormula>
    </tableColumn>
    <tableColumn id="7" name="Min JR" dataDxfId="0">
      <calculatedColumnFormula>ABS(TablaModelos[[#This Row],[B-S]]-TablaModelos[[#This Row],[JR]])</calculatedColumnFormula>
    </tableColumn>
    <tableColumn id="8" name="Min Binomial" dataDxfId="6">
      <calculatedColumnFormula>ABS(TablaModelos[[#This Row],[B-S]]-TablaModelos[[#This Row],[Binomial]])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W46"/>
  <sheetViews>
    <sheetView zoomScaleNormal="100" workbookViewId="0">
      <selection activeCell="I25" sqref="I25"/>
    </sheetView>
  </sheetViews>
  <sheetFormatPr baseColWidth="10" defaultRowHeight="15" x14ac:dyDescent="0.25"/>
  <cols>
    <col min="1" max="1" width="9.28515625" customWidth="1"/>
    <col min="2" max="2" width="22" bestFit="1" customWidth="1"/>
    <col min="7" max="7" width="12.85546875" bestFit="1" customWidth="1"/>
    <col min="8" max="8" width="12.5703125" bestFit="1" customWidth="1"/>
  </cols>
  <sheetData>
    <row r="1" spans="2:23" ht="15" customHeight="1" x14ac:dyDescent="0.25">
      <c r="B1" s="40" t="s">
        <v>10</v>
      </c>
      <c r="C1" s="40"/>
      <c r="D1" s="40"/>
      <c r="E1" s="40"/>
      <c r="F1" s="40"/>
      <c r="G1" s="40"/>
      <c r="H1" s="40"/>
      <c r="I1" s="3"/>
      <c r="J1" s="3"/>
      <c r="K1" s="3"/>
      <c r="M1" s="1">
        <v>1</v>
      </c>
    </row>
    <row r="2" spans="2:23" ht="15" customHeight="1" x14ac:dyDescent="0.25">
      <c r="B2" s="40"/>
      <c r="C2" s="40"/>
      <c r="D2" s="40"/>
      <c r="E2" s="40"/>
      <c r="F2" s="40"/>
      <c r="G2" s="40"/>
      <c r="H2" s="40"/>
      <c r="I2" s="3"/>
      <c r="J2" s="3"/>
      <c r="K2" s="3"/>
      <c r="M2" s="1">
        <v>0</v>
      </c>
    </row>
    <row r="3" spans="2:23" x14ac:dyDescent="0.25">
      <c r="B3" s="2" t="s">
        <v>15</v>
      </c>
      <c r="C3" s="1">
        <v>1</v>
      </c>
      <c r="U3" t="s">
        <v>20</v>
      </c>
      <c r="V3" t="s">
        <v>19</v>
      </c>
    </row>
    <row r="4" spans="2:23" x14ac:dyDescent="0.25">
      <c r="B4" s="2" t="s">
        <v>11</v>
      </c>
      <c r="C4" s="1">
        <v>1</v>
      </c>
    </row>
    <row r="5" spans="2:23" ht="15.75" thickBot="1" x14ac:dyDescent="0.3">
      <c r="U5" t="s">
        <v>21</v>
      </c>
      <c r="V5" t="s">
        <v>22</v>
      </c>
    </row>
    <row r="6" spans="2:23" x14ac:dyDescent="0.25">
      <c r="B6" s="11" t="s">
        <v>0</v>
      </c>
      <c r="C6" s="12">
        <v>40</v>
      </c>
      <c r="F6" s="38" t="s">
        <v>16</v>
      </c>
      <c r="G6" s="26">
        <f>EXP(($C$8-$C$10-0.5*$C$9^2)*($C$11/$C$12)+$C$13)</f>
        <v>1.1369029108310436</v>
      </c>
    </row>
    <row r="7" spans="2:23" x14ac:dyDescent="0.25">
      <c r="B7" s="13" t="s">
        <v>1</v>
      </c>
      <c r="C7" s="14">
        <v>41</v>
      </c>
      <c r="F7" s="38" t="s">
        <v>18</v>
      </c>
      <c r="G7" s="26">
        <f>EXP(($C$8-$C$10-0.5*$C$9^2)*($C$11/$C$12)-$C$13)</f>
        <v>0.88990447470742928</v>
      </c>
    </row>
    <row r="8" spans="2:23" x14ac:dyDescent="0.25">
      <c r="B8" s="13" t="s">
        <v>2</v>
      </c>
      <c r="C8" s="34">
        <v>0.08</v>
      </c>
      <c r="F8" s="48" t="s">
        <v>36</v>
      </c>
      <c r="G8" s="48">
        <f>(EXP(($C$8-$C$10)*$C$16)-G7)/(G6-G7)</f>
        <v>0.50007662329933367</v>
      </c>
    </row>
    <row r="9" spans="2:23" x14ac:dyDescent="0.25">
      <c r="B9" s="16" t="s">
        <v>5</v>
      </c>
      <c r="C9" s="15">
        <v>0.3</v>
      </c>
    </row>
    <row r="10" spans="2:23" x14ac:dyDescent="0.25">
      <c r="B10" s="16" t="s">
        <v>24</v>
      </c>
      <c r="C10" s="34">
        <v>0</v>
      </c>
      <c r="F10" s="38" t="s">
        <v>16</v>
      </c>
      <c r="G10" s="26">
        <f>EXP(($C$8-$C$10)*($C$16)+$C$13)</f>
        <v>1.1454617381452392</v>
      </c>
      <c r="V10" s="35" t="s">
        <v>31</v>
      </c>
      <c r="W10" t="s">
        <v>23</v>
      </c>
    </row>
    <row r="11" spans="2:23" x14ac:dyDescent="0.25">
      <c r="B11" s="13" t="s">
        <v>9</v>
      </c>
      <c r="C11" s="14">
        <v>1</v>
      </c>
      <c r="F11" s="38" t="s">
        <v>18</v>
      </c>
      <c r="G11" s="26">
        <f>EXP(($C$8-$C$10)*($C$16)-$C$13)</f>
        <v>0.89660384951999206</v>
      </c>
    </row>
    <row r="12" spans="2:23" x14ac:dyDescent="0.25">
      <c r="B12" s="13" t="s">
        <v>12</v>
      </c>
      <c r="C12" s="14">
        <v>6</v>
      </c>
      <c r="F12" s="48" t="s">
        <v>36</v>
      </c>
      <c r="G12" s="48">
        <f>(EXP(($C$8-$C$10)*$C$16)-G11)/(G10-G11)</f>
        <v>0.46941959416953316</v>
      </c>
      <c r="V12" t="s">
        <v>27</v>
      </c>
      <c r="W12" t="s">
        <v>26</v>
      </c>
    </row>
    <row r="13" spans="2:23" x14ac:dyDescent="0.25">
      <c r="B13" s="13" t="s">
        <v>4</v>
      </c>
      <c r="C13" s="17">
        <f>$C$9*SQRT($C$16)</f>
        <v>0.1224744871391589</v>
      </c>
      <c r="V13" t="s">
        <v>25</v>
      </c>
      <c r="W13" t="s">
        <v>28</v>
      </c>
    </row>
    <row r="14" spans="2:23" x14ac:dyDescent="0.25">
      <c r="B14" s="13" t="s">
        <v>37</v>
      </c>
      <c r="C14" s="26">
        <f>G10</f>
        <v>1.1454617381452392</v>
      </c>
      <c r="F14" s="38" t="s">
        <v>16</v>
      </c>
      <c r="G14" s="26">
        <f>EXP(($C$13))</f>
        <v>1.1302902827674572</v>
      </c>
      <c r="V14" t="s">
        <v>29</v>
      </c>
      <c r="W14" t="s">
        <v>30</v>
      </c>
    </row>
    <row r="15" spans="2:23" x14ac:dyDescent="0.25">
      <c r="B15" s="13" t="s">
        <v>38</v>
      </c>
      <c r="C15" s="26">
        <f>G11</f>
        <v>0.89660384951999206</v>
      </c>
      <c r="F15" s="38" t="s">
        <v>18</v>
      </c>
      <c r="G15" s="26">
        <f>EXP((-$C$13))</f>
        <v>0.88472847661005438</v>
      </c>
    </row>
    <row r="16" spans="2:23" x14ac:dyDescent="0.25">
      <c r="B16" s="13" t="s">
        <v>3</v>
      </c>
      <c r="C16" s="27">
        <f>C11/C12</f>
        <v>0.16666666666666666</v>
      </c>
      <c r="F16" s="48" t="s">
        <v>36</v>
      </c>
      <c r="G16" s="48">
        <f>(EXP(($C$8-$C$10)*$C$16)-G15)/(G14-G15)</f>
        <v>0.52408045049072627</v>
      </c>
    </row>
    <row r="18" spans="2:22" x14ac:dyDescent="0.25">
      <c r="G18" s="39" t="s">
        <v>16</v>
      </c>
      <c r="H18" s="39" t="s">
        <v>17</v>
      </c>
      <c r="I18" s="39" t="s">
        <v>18</v>
      </c>
    </row>
    <row r="19" spans="2:22" x14ac:dyDescent="0.25">
      <c r="G19" s="36">
        <f>C14</f>
        <v>1.1454617381452392</v>
      </c>
      <c r="H19" s="37">
        <f>EXP((C8-C10)*C16)</f>
        <v>1.0134226186043425</v>
      </c>
      <c r="I19" s="36">
        <f>C15</f>
        <v>0.89660384951999206</v>
      </c>
    </row>
    <row r="20" spans="2:22" x14ac:dyDescent="0.25">
      <c r="U20" t="s">
        <v>32</v>
      </c>
      <c r="V20" t="s">
        <v>33</v>
      </c>
    </row>
    <row r="22" spans="2:22" x14ac:dyDescent="0.25">
      <c r="B22" s="2" t="s">
        <v>8</v>
      </c>
      <c r="C22" s="28">
        <f>Payoff!C3</f>
        <v>0</v>
      </c>
      <c r="G22" s="26">
        <f>EXP(($C$8-$C$10)*($C$16)+$C$13)</f>
        <v>1.1454617381452392</v>
      </c>
    </row>
    <row r="23" spans="2:22" x14ac:dyDescent="0.25">
      <c r="B23" t="s">
        <v>13</v>
      </c>
      <c r="C23">
        <f>Delta!C3</f>
        <v>0</v>
      </c>
      <c r="G23" s="26">
        <f>EXP(($C$8-$C$10)*($C$16)-$C$13)</f>
        <v>0.89660384951999206</v>
      </c>
    </row>
    <row r="24" spans="2:22" x14ac:dyDescent="0.25">
      <c r="B24" t="s">
        <v>14</v>
      </c>
      <c r="C24">
        <f>Bonds!C3</f>
        <v>0</v>
      </c>
    </row>
    <row r="25" spans="2:22" x14ac:dyDescent="0.25">
      <c r="E25" s="43"/>
      <c r="F25" s="43"/>
      <c r="G25" s="43"/>
      <c r="H25" s="43"/>
      <c r="I25" s="43"/>
    </row>
    <row r="26" spans="2:22" x14ac:dyDescent="0.25">
      <c r="B26" s="2"/>
      <c r="E26" s="43"/>
      <c r="F26" s="43"/>
    </row>
    <row r="27" spans="2:22" x14ac:dyDescent="0.25">
      <c r="B27" s="2" t="s">
        <v>40</v>
      </c>
    </row>
    <row r="29" spans="2:22" x14ac:dyDescent="0.25">
      <c r="D29" s="41" t="s">
        <v>35</v>
      </c>
      <c r="E29" s="41"/>
    </row>
    <row r="30" spans="2:22" x14ac:dyDescent="0.25">
      <c r="D30" s="38" t="s">
        <v>36</v>
      </c>
      <c r="E30" s="38">
        <f>(EXP(($C$8-$C$10)*$C$16)-$C$15)/($C$14-$G$11)</f>
        <v>0.46941959416953316</v>
      </c>
    </row>
    <row r="31" spans="2:22" x14ac:dyDescent="0.25">
      <c r="D31" s="38" t="s">
        <v>34</v>
      </c>
      <c r="E31" s="38">
        <f>1-$E$30</f>
        <v>0.53058040583046684</v>
      </c>
      <c r="F31" s="4"/>
    </row>
    <row r="32" spans="2:22" x14ac:dyDescent="0.25">
      <c r="E32" s="4"/>
      <c r="F32" s="4"/>
    </row>
    <row r="33" spans="4:6" x14ac:dyDescent="0.25">
      <c r="E33" s="4"/>
      <c r="F33" s="4"/>
    </row>
    <row r="34" spans="4:6" x14ac:dyDescent="0.25">
      <c r="D34" s="41" t="s">
        <v>35</v>
      </c>
      <c r="E34" s="41"/>
      <c r="F34" s="4"/>
    </row>
    <row r="35" spans="4:6" x14ac:dyDescent="0.25">
      <c r="D35" s="42" t="s">
        <v>42</v>
      </c>
      <c r="E35" s="38">
        <v>0.05</v>
      </c>
      <c r="F35" s="4"/>
    </row>
    <row r="36" spans="4:6" x14ac:dyDescent="0.25">
      <c r="D36" s="42" t="s">
        <v>41</v>
      </c>
      <c r="E36" s="38" t="e">
        <f>LN(E42)</f>
        <v>#DIV/0!</v>
      </c>
      <c r="F36" s="4"/>
    </row>
    <row r="37" spans="4:6" x14ac:dyDescent="0.25">
      <c r="D37" s="38" t="s">
        <v>36</v>
      </c>
      <c r="E37" s="38">
        <f>(EXP(($E$35)*$C$16)-$G$11)/($G$10-$G$11)</f>
        <v>0.44910894046746419</v>
      </c>
      <c r="F37" s="4"/>
    </row>
    <row r="38" spans="4:6" x14ac:dyDescent="0.25">
      <c r="D38" s="38" t="s">
        <v>34</v>
      </c>
      <c r="E38" s="38">
        <f>1-$E$37</f>
        <v>0.55089105953253581</v>
      </c>
      <c r="F38" s="4"/>
    </row>
    <row r="39" spans="4:6" x14ac:dyDescent="0.25">
      <c r="E39" s="4"/>
      <c r="F39" s="4"/>
    </row>
    <row r="40" spans="4:6" x14ac:dyDescent="0.25">
      <c r="E40" s="4"/>
      <c r="F40" s="4"/>
    </row>
    <row r="41" spans="4:6" x14ac:dyDescent="0.25">
      <c r="E41" s="4"/>
      <c r="F41" s="4"/>
    </row>
    <row r="42" spans="4:6" x14ac:dyDescent="0.25">
      <c r="E42" s="4" t="e">
        <f>(($C$23*$C$7)*EXP($E$35*$C$16)+$C$24*EXP($C$8*$C$16))/($C$23*$C$7+$C$24)</f>
        <v>#DIV/0!</v>
      </c>
      <c r="F42" s="4"/>
    </row>
    <row r="43" spans="4:6" x14ac:dyDescent="0.25">
      <c r="E43" s="4"/>
      <c r="F43" s="4"/>
    </row>
    <row r="44" spans="4:6" x14ac:dyDescent="0.25">
      <c r="E44" s="4"/>
      <c r="F44" s="4"/>
    </row>
    <row r="45" spans="4:6" x14ac:dyDescent="0.25">
      <c r="F45" s="4"/>
    </row>
    <row r="46" spans="4:6" x14ac:dyDescent="0.25">
      <c r="F46" s="4"/>
    </row>
  </sheetData>
  <mergeCells count="1">
    <mergeCell ref="B1:H2"/>
  </mergeCells>
  <dataValidations count="1">
    <dataValidation type="list" allowBlank="1" showInputMessage="1" showErrorMessage="1" sqref="C3:C4">
      <formula1>$M$1:$M$2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2</xdr:col>
                    <xdr:colOff>676275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n">
                <anchor moveWithCells="1" sizeWithCells="1">
                  <from>
                    <xdr:col>9</xdr:col>
                    <xdr:colOff>85725</xdr:colOff>
                    <xdr:row>13</xdr:row>
                    <xdr:rowOff>28575</xdr:rowOff>
                  </from>
                  <to>
                    <xdr:col>10</xdr:col>
                    <xdr:colOff>371475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inomialT">
                <anchor moveWithCells="1" sizeWithCells="1">
                  <from>
                    <xdr:col>9</xdr:col>
                    <xdr:colOff>85725</xdr:colOff>
                    <xdr:row>9</xdr:row>
                    <xdr:rowOff>9525</xdr:rowOff>
                  </from>
                  <to>
                    <xdr:col>10</xdr:col>
                    <xdr:colOff>371475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arrow">
                <anchor moveWithCells="1" sizeWithCells="1">
                  <from>
                    <xdr:col>9</xdr:col>
                    <xdr:colOff>85725</xdr:colOff>
                    <xdr:row>4</xdr:row>
                    <xdr:rowOff>190500</xdr:rowOff>
                  </from>
                  <to>
                    <xdr:col>10</xdr:col>
                    <xdr:colOff>371475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"/>
  <sheetViews>
    <sheetView zoomScale="140" zoomScaleNormal="140" workbookViewId="0">
      <selection activeCell="D7" sqref="D7"/>
    </sheetView>
  </sheetViews>
  <sheetFormatPr baseColWidth="10" defaultRowHeight="15" x14ac:dyDescent="0.25"/>
  <cols>
    <col min="2" max="2" width="4.28515625" bestFit="1" customWidth="1"/>
    <col min="4" max="5" width="12" bestFit="1" customWidth="1"/>
  </cols>
  <sheetData>
    <row r="1" spans="1:14" x14ac:dyDescent="0.25">
      <c r="A1" t="s">
        <v>6</v>
      </c>
    </row>
    <row r="2" spans="1:14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</row>
    <row r="3" spans="1:14" x14ac:dyDescent="0.25">
      <c r="B3">
        <v>0</v>
      </c>
      <c r="C3" s="18">
        <f>Datos!C7</f>
        <v>41</v>
      </c>
      <c r="D3" s="18">
        <f>IF($B3&gt;D$2,0,$C$3*(Datos!$C$14)^(Stock!D$2-Stock!$B3)*Datos!$C$15^Stock!$B3)</f>
        <v>46.963931263954805</v>
      </c>
      <c r="E3" s="19">
        <f>IF($B3&gt;E$2,0,$C$3*(Datos!$C$14)^(Stock!E$2-Stock!$B3)*Datos!$C$15^Stock!$B3)</f>
        <v>53.795386335743217</v>
      </c>
      <c r="F3" s="19">
        <f>IF($B3&gt;F$2,0,$C$3*(Datos!$C$14)^(Stock!F$2-Stock!$B3)*Datos!$C$15^Stock!$B3)</f>
        <v>61.620556736335082</v>
      </c>
      <c r="G3" s="19">
        <f>IF($B3&gt;G$2,0,$C$3*(Datos!$C$14)^(Stock!G$2-Stock!$B3)*Datos!$C$15^Stock!$B3)</f>
        <v>70.583990024679721</v>
      </c>
      <c r="H3" s="19">
        <f>IF($B3&gt;H$2,0,$C$3*(Datos!$C$14)^(Stock!H$2-Stock!$B3)*Datos!$C$15^Stock!$B3)</f>
        <v>80.851259898895862</v>
      </c>
      <c r="I3" s="4">
        <f>IF($B3&gt;I$2,0,$C$3*(Datos!$C$14)^(Stock!I$2-Stock!$B3)*Datos!$C$15^Stock!$B3)</f>
        <v>92.612024695021731</v>
      </c>
      <c r="J3" s="4"/>
      <c r="K3" s="4"/>
      <c r="L3" s="4"/>
      <c r="M3" s="4"/>
      <c r="N3" s="4"/>
    </row>
    <row r="4" spans="1:14" x14ac:dyDescent="0.25">
      <c r="B4">
        <v>1</v>
      </c>
      <c r="C4" s="20"/>
      <c r="D4" s="18">
        <f>IF($B4&gt;D$2,0,$C$3*(Datos!$C$14)^(Stock!D$2-Stock!$B4)*Datos!$C$15^Stock!$B4)</f>
        <v>36.760757830319676</v>
      </c>
      <c r="E4" s="19">
        <f>IF($B4&gt;E$2,0,$C$3*(Datos!$C$14)^(Stock!E$2-Stock!$B4)*Datos!$C$15^Stock!$B4)</f>
        <v>42.108041559854186</v>
      </c>
      <c r="F4" s="19">
        <f>IF($B4&gt;F$2,0,$C$3*(Datos!$C$14)^(Stock!F$2-Stock!$B4)*Datos!$C$15^Stock!$B4)</f>
        <v>48.233150475042549</v>
      </c>
      <c r="G4" s="19">
        <f>IF($B4&gt;G$2,0,$C$3*(Datos!$C$14)^(Stock!G$2-Stock!$B4)*Datos!$C$15^Stock!$B4)</f>
        <v>55.24922837936311</v>
      </c>
      <c r="H4" s="19">
        <f>IF($B4&gt;H$2,0,$C$3*(Datos!$C$14)^(Stock!H$2-Stock!$B4)*Datos!$C$15^Stock!$B4)</f>
        <v>63.285877170608558</v>
      </c>
      <c r="I4" s="4">
        <f>IF($B4&gt;I$2,0,$C$3*(Datos!$C$14)^(Stock!I$2-Stock!$B4)*Datos!$C$15^Stock!$B4)</f>
        <v>72.491550863891391</v>
      </c>
      <c r="J4" s="4"/>
      <c r="K4" s="4"/>
      <c r="L4" s="4"/>
      <c r="M4" s="4"/>
      <c r="N4" s="4"/>
    </row>
    <row r="5" spans="1:14" x14ac:dyDescent="0.25">
      <c r="C5" s="20"/>
      <c r="D5" s="19"/>
      <c r="E5" s="19"/>
      <c r="F5" s="19"/>
      <c r="G5" s="19"/>
      <c r="H5" s="19"/>
      <c r="I5" s="4"/>
      <c r="J5" s="4"/>
      <c r="K5" s="4"/>
      <c r="L5" s="4"/>
      <c r="M5" s="4"/>
      <c r="N5" s="4"/>
    </row>
    <row r="6" spans="1:14" x14ac:dyDescent="0.25">
      <c r="C6" s="20"/>
      <c r="D6" s="19"/>
      <c r="E6" s="19"/>
      <c r="F6" s="19"/>
      <c r="G6" s="19"/>
      <c r="H6" s="19"/>
      <c r="I6" s="4"/>
      <c r="J6" s="4"/>
      <c r="K6" s="4"/>
      <c r="L6" s="4"/>
      <c r="M6" s="4"/>
      <c r="N6" s="4"/>
    </row>
    <row r="7" spans="1:14" x14ac:dyDescent="0.25">
      <c r="C7" s="20"/>
      <c r="D7" s="19"/>
      <c r="E7" s="19"/>
      <c r="F7" s="19"/>
      <c r="G7" s="19"/>
      <c r="H7" s="19"/>
      <c r="I7" s="4"/>
      <c r="J7" s="4"/>
      <c r="K7" s="4"/>
      <c r="L7" s="4"/>
      <c r="M7" s="4"/>
      <c r="N7" s="4"/>
    </row>
    <row r="8" spans="1:14" x14ac:dyDescent="0.25">
      <c r="C8" s="20"/>
      <c r="D8" s="19"/>
      <c r="E8" s="19"/>
      <c r="F8" s="19"/>
      <c r="G8" s="19"/>
      <c r="H8" s="19"/>
      <c r="I8" s="4"/>
      <c r="J8" s="4"/>
      <c r="K8" s="4"/>
      <c r="L8" s="4"/>
      <c r="M8" s="4"/>
    </row>
    <row r="9" spans="1:14" x14ac:dyDescent="0.25">
      <c r="C9" s="20"/>
      <c r="D9" s="19"/>
      <c r="E9" s="19"/>
      <c r="F9" s="19"/>
      <c r="G9" s="19"/>
      <c r="H9" s="19"/>
      <c r="I9" s="4"/>
      <c r="J9" s="4"/>
      <c r="K9" s="4"/>
      <c r="L9" s="4"/>
      <c r="M9" s="4"/>
    </row>
    <row r="10" spans="1:14" x14ac:dyDescent="0.25"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4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4" x14ac:dyDescent="0.25"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4" x14ac:dyDescent="0.25">
      <c r="D13" s="4"/>
      <c r="E13" s="4"/>
      <c r="F13" s="4"/>
      <c r="G13" s="4"/>
      <c r="H13" s="4"/>
      <c r="I13" s="4"/>
      <c r="J13" s="4"/>
      <c r="K13" s="4"/>
      <c r="L13" s="4"/>
      <c r="M1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"/>
  <sheetViews>
    <sheetView zoomScale="140" zoomScaleNormal="140" workbookViewId="0">
      <selection activeCell="I9" sqref="I9"/>
    </sheetView>
  </sheetViews>
  <sheetFormatPr baseColWidth="10" defaultRowHeight="15" x14ac:dyDescent="0.25"/>
  <cols>
    <col min="2" max="2" width="3.140625" bestFit="1" customWidth="1"/>
  </cols>
  <sheetData>
    <row r="1" spans="1:9" x14ac:dyDescent="0.25">
      <c r="A1" t="s">
        <v>7</v>
      </c>
    </row>
    <row r="2" spans="1:9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</row>
    <row r="3" spans="1:9" x14ac:dyDescent="0.25">
      <c r="B3">
        <v>0</v>
      </c>
      <c r="C3" s="18">
        <f>IF($B3&gt;C$2,0,IF(Datos!$C$4=1,IFERROR(MAX(Stock!C3-Datos!$C$6,0),0),IFERROR(MAX(Datos!$C$6-Stock!C3,0),0)))</f>
        <v>1</v>
      </c>
      <c r="D3" s="18">
        <f>IF($B3&gt;D$2,0,IF(Datos!$C$4=1,IFERROR(MAX(Stock!D3-Datos!$C$6,0),0),IFERROR(MAX(Datos!$C$6-Stock!D3,0),0)))</f>
        <v>6.9639312639548052</v>
      </c>
      <c r="E3" s="19">
        <f>IF($B3&gt;E$2,0,IF(Datos!$C$4=1,IFERROR(MAX(Stock!E3-Datos!$C$6,0),0),IFERROR(MAX(Datos!$C$6-Stock!E3,0),0)))</f>
        <v>13.795386335743217</v>
      </c>
      <c r="F3" s="4">
        <f>IF($B3&gt;F$2,0,IF(Datos!$C$4=1,IFERROR(MAX(Stock!F3-Datos!$C$6,0),0),IFERROR(MAX(Datos!$C$6-Stock!F3,0),0)))</f>
        <v>21.620556736335082</v>
      </c>
      <c r="G3" s="4">
        <f>IF($B3&gt;G$2,0,IF(Datos!$C$4=1,IFERROR(MAX(Stock!G3-Datos!$C$6,0),0),IFERROR(MAX(Datos!$C$6-Stock!G3,0),0)))</f>
        <v>30.583990024679721</v>
      </c>
      <c r="H3" s="4">
        <f>IF($B3&gt;H$2,0,IF(Datos!$C$4=1,IFERROR(MAX(Stock!H3-Datos!$C$6,0),0),IFERROR(MAX(Datos!$C$6-Stock!H3,0),0)))</f>
        <v>40.851259898895862</v>
      </c>
      <c r="I3" s="4">
        <f>IF($B3&gt;I$2,0,IF(Datos!$C$4=1,IFERROR(MAX(Stock!I3-Datos!$C$6,0),0),IFERROR(MAX(Datos!$C$6-Stock!I3,0),0)))</f>
        <v>52.612024695021731</v>
      </c>
    </row>
    <row r="4" spans="1:9" x14ac:dyDescent="0.25">
      <c r="B4">
        <v>1</v>
      </c>
      <c r="C4" s="19"/>
      <c r="D4" s="19">
        <f>IF($B4&gt;D$2,0,IF(Datos!$C$4=1,IFERROR(MAX(Stock!D4-Datos!$C$6,0),0),IFERROR(MAX(Datos!$C$6-Stock!D4,0),0)))</f>
        <v>0</v>
      </c>
      <c r="E4" s="19">
        <f>IF($B4&gt;E$2,0,IF(Datos!$C$4=1,IFERROR(MAX(Stock!E4-Datos!$C$6,0),0),IFERROR(MAX(Datos!$C$6-Stock!E4,0),0)))</f>
        <v>2.1080415598541862</v>
      </c>
      <c r="F4" s="4">
        <f>IF($B4&gt;F$2,0,IF(Datos!$C$4=1,IFERROR(MAX(Stock!F4-Datos!$C$6,0),0),IFERROR(MAX(Datos!$C$6-Stock!F4,0),0)))</f>
        <v>8.2331504750425495</v>
      </c>
      <c r="G4" s="4">
        <f>IF($B4&gt;G$2,0,IF(Datos!$C$4=1,IFERROR(MAX(Stock!G4-Datos!$C$6,0),0),IFERROR(MAX(Datos!$C$6-Stock!G4,0),0)))</f>
        <v>15.24922837936311</v>
      </c>
      <c r="H4" s="4">
        <f>IF($B4&gt;H$2,0,IF(Datos!$C$4=1,IFERROR(MAX(Stock!H4-Datos!$C$6,0),0),IFERROR(MAX(Datos!$C$6-Stock!H4,0),0)))</f>
        <v>23.285877170608558</v>
      </c>
      <c r="I4" s="4">
        <f>IF($B4&gt;I$2,0,IF(Datos!$C$4=1,IFERROR(MAX(Stock!I4-Datos!$C$6,0),0),IFERROR(MAX(Datos!$C$6-Stock!I4,0),0)))</f>
        <v>32.491550863891391</v>
      </c>
    </row>
    <row r="5" spans="1:9" x14ac:dyDescent="0.25">
      <c r="B5">
        <v>2</v>
      </c>
      <c r="C5" s="19"/>
      <c r="D5" s="19">
        <f>IF($B5&gt;D$2,0,IF(Datos!$C$4=1,IFERROR(MAX(Stock!D5-Datos!$C$6,0),0),IFERROR(MAX(Datos!$C$6-Stock!D5,0),0)))</f>
        <v>0</v>
      </c>
      <c r="E5" s="19">
        <f>IF($B5&gt;E$2,0,IF(Datos!$C$4=1,IFERROR(MAX(Stock!E5-Datos!$C$6,0),0),IFERROR(MAX(Datos!$C$6-Stock!E5,0),0)))</f>
        <v>0</v>
      </c>
      <c r="F5" s="4">
        <f>IF($B5&gt;F$2,0,IF(Datos!$C$4=1,IFERROR(MAX(Stock!F5-Datos!$C$6,0),0),IFERROR(MAX(Datos!$C$6-Stock!F5,0),0)))</f>
        <v>0</v>
      </c>
      <c r="G5" s="4">
        <f>IF($B5&gt;G$2,0,IF(Datos!$C$4=1,IFERROR(MAX(Stock!G5-Datos!$C$6,0),0),IFERROR(MAX(Datos!$C$6-Stock!G5,0),0)))</f>
        <v>0</v>
      </c>
      <c r="H5" s="4">
        <f>IF($B5&gt;H$2,0,IF(Datos!$C$4=1,IFERROR(MAX(Stock!H5-Datos!$C$6,0),0),IFERROR(MAX(Datos!$C$6-Stock!H5,0),0)))</f>
        <v>0</v>
      </c>
      <c r="I5" s="4">
        <f>IF($B5&gt;I$2,0,IF(Datos!$C$4=1,IFERROR(MAX(Stock!I5-Datos!$C$6,0),0),IFERROR(MAX(Datos!$C$6-Stock!I5,0),0)))</f>
        <v>0</v>
      </c>
    </row>
    <row r="6" spans="1:9" x14ac:dyDescent="0.25">
      <c r="B6">
        <v>3</v>
      </c>
      <c r="C6" s="4"/>
      <c r="D6" s="4">
        <f>IF($B6&gt;D$2,0,IF(Datos!$C$4=1,IFERROR(MAX(Stock!D6-Datos!$C$6,0),0),IFERROR(MAX(Datos!$C$6-Stock!D6,0),0)))</f>
        <v>0</v>
      </c>
      <c r="E6" s="4">
        <f>IF($B6&gt;E$2,0,IF(Datos!$C$4=1,IFERROR(MAX(Stock!E6-Datos!$C$6,0),0),IFERROR(MAX(Datos!$C$6-Stock!E6,0),0)))</f>
        <v>0</v>
      </c>
      <c r="F6" s="4">
        <f>IF($B6&gt;F$2,0,IF(Datos!$C$4=1,IFERROR(MAX(Stock!F6-Datos!$C$6,0),0),IFERROR(MAX(Datos!$C$6-Stock!F6,0),0)))</f>
        <v>0</v>
      </c>
      <c r="G6" s="4">
        <f>IF($B6&gt;G$2,0,IF(Datos!$C$4=1,IFERROR(MAX(Stock!G6-Datos!$C$6,0),0),IFERROR(MAX(Datos!$C$6-Stock!G6,0),0)))</f>
        <v>0</v>
      </c>
      <c r="H6" s="4">
        <f>IF($B6&gt;H$2,0,IF(Datos!$C$4=1,IFERROR(MAX(Stock!H6-Datos!$C$6,0),0),IFERROR(MAX(Datos!$C$6-Stock!H6,0),0)))</f>
        <v>0</v>
      </c>
      <c r="I6" s="4">
        <f>IF($B6&gt;I$2,0,IF(Datos!$C$4=1,IFERROR(MAX(Stock!I6-Datos!$C$6,0),0),IFERROR(MAX(Datos!$C$6-Stock!I6,0),0)))</f>
        <v>0</v>
      </c>
    </row>
    <row r="7" spans="1:9" x14ac:dyDescent="0.25">
      <c r="B7">
        <v>4</v>
      </c>
      <c r="C7" s="4"/>
      <c r="D7" s="4">
        <f>IF($B7&gt;D$2,0,IF(Datos!$C$4=1,IFERROR(MAX(Stock!D7-Datos!$C$6,0),0),IFERROR(MAX(Datos!$C$6-Stock!D7,0),0)))</f>
        <v>0</v>
      </c>
      <c r="E7" s="4">
        <f>IF($B7&gt;E$2,0,IF(Datos!$C$4=1,IFERROR(MAX(Stock!E7-Datos!$C$6,0),0),IFERROR(MAX(Datos!$C$6-Stock!E7,0),0)))</f>
        <v>0</v>
      </c>
      <c r="F7" s="4">
        <f>IF($B7&gt;F$2,0,IF(Datos!$C$4=1,IFERROR(MAX(Stock!F7-Datos!$C$6,0),0),IFERROR(MAX(Datos!$C$6-Stock!F7,0),0)))</f>
        <v>0</v>
      </c>
      <c r="G7" s="4">
        <f>IF($B7&gt;G$2,0,IF(Datos!$C$4=1,IFERROR(MAX(Stock!G7-Datos!$C$6,0),0),IFERROR(MAX(Datos!$C$6-Stock!G7,0),0)))</f>
        <v>0</v>
      </c>
      <c r="H7" s="4">
        <f>IF($B7&gt;H$2,0,IF(Datos!$C$4=1,IFERROR(MAX(Stock!H7-Datos!$C$6,0),0),IFERROR(MAX(Datos!$C$6-Stock!H7,0),0)))</f>
        <v>0</v>
      </c>
      <c r="I7" s="4">
        <f>IF($B7&gt;I$2,0,IF(Datos!$C$4=1,IFERROR(MAX(Stock!I7-Datos!$C$6,0),0),IFERROR(MAX(Datos!$C$6-Stock!I7,0),0)))</f>
        <v>0</v>
      </c>
    </row>
    <row r="8" spans="1:9" x14ac:dyDescent="0.25">
      <c r="B8">
        <v>5</v>
      </c>
      <c r="C8" s="4"/>
      <c r="D8" s="4">
        <f>IF($B8&gt;D$2,0,IF(Datos!$C$4=1,IFERROR(MAX(Stock!D8-Datos!$C$6,0),0),IFERROR(MAX(Datos!$C$6-Stock!D8,0),0)))</f>
        <v>0</v>
      </c>
      <c r="E8" s="4">
        <f>IF($B8&gt;E$2,0,IF(Datos!$C$4=1,IFERROR(MAX(Stock!E8-Datos!$C$6,0),0),IFERROR(MAX(Datos!$C$6-Stock!E8,0),0)))</f>
        <v>0</v>
      </c>
      <c r="F8" s="4">
        <f>IF($B8&gt;F$2,0,IF(Datos!$C$4=1,IFERROR(MAX(Stock!F8-Datos!$C$6,0),0),IFERROR(MAX(Datos!$C$6-Stock!F8,0),0)))</f>
        <v>0</v>
      </c>
      <c r="G8" s="4">
        <f>IF($B8&gt;G$2,0,IF(Datos!$C$4=1,IFERROR(MAX(Stock!G8-Datos!$C$6,0),0),IFERROR(MAX(Datos!$C$6-Stock!G8,0),0)))</f>
        <v>0</v>
      </c>
      <c r="H8" s="4">
        <f>IF($B8&gt;H$2,0,IF(Datos!$C$4=1,IFERROR(MAX(Stock!H8-Datos!$C$6,0),0),IFERROR(MAX(Datos!$C$6-Stock!H8,0),0)))</f>
        <v>0</v>
      </c>
      <c r="I8" s="4">
        <f>IF($B8&gt;I$2,0,IF(Datos!$C$4=1,IFERROR(MAX(Stock!I8-Datos!$C$6,0),0),IFERROR(MAX(Datos!$C$6-Stock!I8,0),0)))</f>
        <v>0</v>
      </c>
    </row>
    <row r="9" spans="1:9" x14ac:dyDescent="0.25">
      <c r="B9">
        <v>6</v>
      </c>
      <c r="C9" s="4"/>
      <c r="D9" s="4">
        <f>IF($B9&gt;D$2,0,IF(Datos!$C$4=1,IFERROR(MAX(Stock!D9-Datos!$C$6,0),0),IFERROR(MAX(Datos!$C$6-Stock!D9,0),0)))</f>
        <v>0</v>
      </c>
      <c r="E9" s="4">
        <f>IF($B9&gt;E$2,0,IF(Datos!$C$4=1,IFERROR(MAX(Stock!E9-Datos!$C$6,0),0),IFERROR(MAX(Datos!$C$6-Stock!E9,0),0)))</f>
        <v>0</v>
      </c>
      <c r="F9" s="4">
        <f>IF($B9&gt;F$2,0,IF(Datos!$C$4=1,IFERROR(MAX(Stock!F9-Datos!$C$6,0),0),IFERROR(MAX(Datos!$C$6-Stock!F9,0),0)))</f>
        <v>0</v>
      </c>
      <c r="G9" s="4">
        <f>IF($B9&gt;G$2,0,IF(Datos!$C$4=1,IFERROR(MAX(Stock!G9-Datos!$C$6,0),0),IFERROR(MAX(Datos!$C$6-Stock!G9,0),0)))</f>
        <v>0</v>
      </c>
      <c r="H9" s="4">
        <f>IF($B9&gt;H$2,0,IF(Datos!$C$4=1,IFERROR(MAX(Stock!H9-Datos!$C$6,0),0),IFERROR(MAX(Datos!$C$6-Stock!H9,0),0)))</f>
        <v>0</v>
      </c>
      <c r="I9" s="4">
        <f>IF($B9&gt;I$2,0,IF(Datos!$C$4=1,IFERROR(MAX(Stock!I9-Datos!$C$6,0),0),IFERROR(MAX(Datos!$C$6-Stock!I9,0),0)))</f>
        <v>0</v>
      </c>
    </row>
    <row r="10" spans="1:9" x14ac:dyDescent="0.25">
      <c r="C10" s="4"/>
      <c r="D10" s="4"/>
      <c r="E10" s="4"/>
      <c r="F10" s="4"/>
      <c r="G10" s="4"/>
      <c r="H10" s="4"/>
      <c r="I10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C3:CX102"/>
  <sheetViews>
    <sheetView zoomScale="120" zoomScaleNormal="120" workbookViewId="0"/>
  </sheetViews>
  <sheetFormatPr baseColWidth="10" defaultRowHeight="15" x14ac:dyDescent="0.25"/>
  <cols>
    <col min="1" max="1" width="11.42578125" style="6"/>
    <col min="2" max="2" width="3.140625" style="6" bestFit="1" customWidth="1"/>
    <col min="3" max="5" width="13.28515625" style="6" bestFit="1" customWidth="1"/>
    <col min="6" max="16384" width="11.42578125" style="6"/>
  </cols>
  <sheetData>
    <row r="3" spans="3:102" x14ac:dyDescent="0.25">
      <c r="C3" s="29"/>
      <c r="D3" s="29"/>
      <c r="E3" s="29"/>
      <c r="F3" s="3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</row>
    <row r="4" spans="3:102" x14ac:dyDescent="0.25">
      <c r="C4" s="33"/>
      <c r="D4" s="29"/>
      <c r="E4" s="29"/>
      <c r="F4" s="3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</row>
    <row r="5" spans="3:102" x14ac:dyDescent="0.25">
      <c r="C5" s="33"/>
      <c r="D5" s="33"/>
      <c r="E5" s="29"/>
      <c r="F5" s="3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</row>
    <row r="6" spans="3:102" x14ac:dyDescent="0.25">
      <c r="C6" s="19"/>
      <c r="D6" s="19"/>
      <c r="E6" s="19"/>
      <c r="F6" s="3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</row>
    <row r="7" spans="3:102" x14ac:dyDescent="0.25"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</row>
    <row r="8" spans="3:102" x14ac:dyDescent="0.25"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</row>
    <row r="9" spans="3:102" x14ac:dyDescent="0.25"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</row>
    <row r="10" spans="3:102" x14ac:dyDescent="0.25"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</row>
    <row r="11" spans="3:102" x14ac:dyDescent="0.25"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</row>
    <row r="12" spans="3:102" x14ac:dyDescent="0.25"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</row>
    <row r="13" spans="3:102" x14ac:dyDescent="0.25">
      <c r="C13" s="30"/>
      <c r="E13" s="31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</row>
    <row r="14" spans="3:102" x14ac:dyDescent="0.25"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</row>
    <row r="15" spans="3:102" x14ac:dyDescent="0.25"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</row>
    <row r="16" spans="3:102" x14ac:dyDescent="0.25"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</row>
    <row r="17" spans="17:102" x14ac:dyDescent="0.25"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</row>
    <row r="18" spans="17:102" x14ac:dyDescent="0.25"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</row>
    <row r="19" spans="17:102" x14ac:dyDescent="0.25"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</row>
    <row r="20" spans="17:102" x14ac:dyDescent="0.25"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</row>
    <row r="21" spans="17:102" x14ac:dyDescent="0.25"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</row>
    <row r="22" spans="17:102" x14ac:dyDescent="0.25"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</row>
    <row r="23" spans="17:102" x14ac:dyDescent="0.25"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</row>
    <row r="24" spans="17:102" x14ac:dyDescent="0.25"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</row>
    <row r="25" spans="17:102" x14ac:dyDescent="0.25"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</row>
    <row r="26" spans="17:102" x14ac:dyDescent="0.25"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</row>
    <row r="27" spans="17:102" x14ac:dyDescent="0.25"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</row>
    <row r="28" spans="17:102" x14ac:dyDescent="0.25"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</row>
    <row r="29" spans="17:102" x14ac:dyDescent="0.25"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</row>
    <row r="30" spans="17:102" x14ac:dyDescent="0.25"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</row>
    <row r="31" spans="17:102" x14ac:dyDescent="0.25"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</row>
    <row r="32" spans="17:102" x14ac:dyDescent="0.25"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</row>
    <row r="33" spans="33:102" x14ac:dyDescent="0.25"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</row>
    <row r="34" spans="33:102" x14ac:dyDescent="0.25"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</row>
    <row r="35" spans="33:102" x14ac:dyDescent="0.25"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</row>
    <row r="36" spans="33:102" x14ac:dyDescent="0.25"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</row>
    <row r="37" spans="33:102" x14ac:dyDescent="0.25"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</row>
    <row r="38" spans="33:102" x14ac:dyDescent="0.25"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</row>
    <row r="39" spans="33:102" x14ac:dyDescent="0.25"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</row>
    <row r="40" spans="33:102" x14ac:dyDescent="0.25"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</row>
    <row r="41" spans="33:102" x14ac:dyDescent="0.25"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</row>
    <row r="42" spans="33:102" x14ac:dyDescent="0.25"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</row>
    <row r="43" spans="33:102" x14ac:dyDescent="0.25"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</row>
    <row r="44" spans="33:102" x14ac:dyDescent="0.25"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</row>
    <row r="45" spans="33:102" x14ac:dyDescent="0.25"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</row>
    <row r="46" spans="33:102" x14ac:dyDescent="0.25"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</row>
    <row r="47" spans="33:102" x14ac:dyDescent="0.25"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</row>
    <row r="48" spans="33:102" x14ac:dyDescent="0.25"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</row>
    <row r="49" spans="49:102" x14ac:dyDescent="0.25"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</row>
    <row r="50" spans="49:102" x14ac:dyDescent="0.25"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</row>
    <row r="51" spans="49:102" x14ac:dyDescent="0.25"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</row>
    <row r="52" spans="49:102" x14ac:dyDescent="0.25"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</row>
    <row r="53" spans="49:102" x14ac:dyDescent="0.25"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</row>
    <row r="54" spans="49:102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</row>
    <row r="55" spans="49:102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</row>
    <row r="56" spans="49:102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</row>
    <row r="57" spans="49:102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</row>
    <row r="58" spans="49:102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</row>
    <row r="59" spans="49:102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</row>
    <row r="60" spans="49:102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</row>
    <row r="61" spans="49:102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</row>
    <row r="62" spans="49:102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</row>
    <row r="63" spans="49:102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</row>
    <row r="64" spans="49:102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</row>
    <row r="65" spans="65:102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</row>
    <row r="66" spans="65:102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</row>
    <row r="67" spans="65:102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</row>
    <row r="68" spans="65:102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</row>
    <row r="69" spans="65:102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</row>
    <row r="70" spans="65:102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</row>
    <row r="71" spans="65:102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</row>
    <row r="72" spans="65:102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</row>
    <row r="73" spans="65:102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</row>
    <row r="74" spans="65:102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</row>
    <row r="75" spans="65:102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</row>
    <row r="76" spans="65:102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</row>
    <row r="77" spans="65:102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</row>
    <row r="78" spans="65:102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</row>
    <row r="79" spans="65:102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</row>
    <row r="80" spans="65:102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</row>
    <row r="81" spans="81:102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</row>
    <row r="82" spans="81:102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</row>
    <row r="83" spans="81:102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</row>
    <row r="84" spans="81:102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</row>
    <row r="85" spans="81:102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</row>
    <row r="86" spans="81:102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</row>
    <row r="87" spans="81:102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</row>
    <row r="88" spans="81:102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</row>
    <row r="89" spans="81:102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</row>
    <row r="90" spans="81:102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</row>
    <row r="91" spans="81:102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</row>
    <row r="92" spans="81:102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</row>
    <row r="93" spans="81:102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</row>
    <row r="94" spans="81:102" x14ac:dyDescent="0.25">
      <c r="CP94" s="22"/>
      <c r="CQ94" s="22"/>
      <c r="CR94" s="22"/>
      <c r="CS94" s="22"/>
      <c r="CT94" s="22"/>
      <c r="CU94" s="22"/>
      <c r="CV94" s="22"/>
      <c r="CW94" s="22"/>
      <c r="CX94" s="22"/>
    </row>
    <row r="95" spans="81:102" x14ac:dyDescent="0.25">
      <c r="CQ95" s="22"/>
      <c r="CR95" s="22"/>
      <c r="CS95" s="22"/>
      <c r="CT95" s="22"/>
      <c r="CU95" s="22"/>
      <c r="CV95" s="22"/>
      <c r="CW95" s="22"/>
      <c r="CX95" s="22"/>
    </row>
    <row r="96" spans="81:102" x14ac:dyDescent="0.25">
      <c r="CR96" s="22"/>
      <c r="CS96" s="22"/>
      <c r="CT96" s="22"/>
      <c r="CU96" s="22"/>
      <c r="CV96" s="22"/>
      <c r="CW96" s="22"/>
      <c r="CX96" s="22"/>
    </row>
    <row r="97" spans="97:102" x14ac:dyDescent="0.25">
      <c r="CS97" s="22"/>
      <c r="CT97" s="22"/>
      <c r="CU97" s="22"/>
      <c r="CV97" s="22"/>
      <c r="CW97" s="22"/>
      <c r="CX97" s="22"/>
    </row>
    <row r="98" spans="97:102" x14ac:dyDescent="0.25">
      <c r="CT98" s="22"/>
      <c r="CU98" s="22"/>
      <c r="CV98" s="22"/>
      <c r="CW98" s="22"/>
      <c r="CX98" s="22"/>
    </row>
    <row r="99" spans="97:102" x14ac:dyDescent="0.25">
      <c r="CU99" s="22"/>
      <c r="CV99" s="22"/>
      <c r="CW99" s="22"/>
      <c r="CX99" s="22"/>
    </row>
    <row r="100" spans="97:102" x14ac:dyDescent="0.25">
      <c r="CV100" s="22"/>
      <c r="CW100" s="22"/>
      <c r="CX100" s="22"/>
    </row>
    <row r="101" spans="97:102" x14ac:dyDescent="0.25">
      <c r="CW101" s="22"/>
      <c r="CX101" s="22"/>
    </row>
    <row r="102" spans="97:102" x14ac:dyDescent="0.25">
      <c r="CX102" s="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</sheetPr>
  <dimension ref="C1:CX102"/>
  <sheetViews>
    <sheetView zoomScale="120" zoomScaleNormal="120" workbookViewId="0"/>
  </sheetViews>
  <sheetFormatPr baseColWidth="10" defaultRowHeight="15" x14ac:dyDescent="0.25"/>
  <cols>
    <col min="1" max="1" width="11.42578125" style="6"/>
    <col min="2" max="2" width="3.28515625" style="6" bestFit="1" customWidth="1"/>
    <col min="3" max="16384" width="11.42578125" style="6"/>
  </cols>
  <sheetData>
    <row r="1" spans="3:102" x14ac:dyDescent="0.25">
      <c r="D1" s="5"/>
      <c r="E1" s="5"/>
    </row>
    <row r="2" spans="3:102" x14ac:dyDescent="0.25">
      <c r="D2" s="5"/>
      <c r="E2" s="5"/>
    </row>
    <row r="3" spans="3:102" x14ac:dyDescent="0.25">
      <c r="C3" s="24"/>
      <c r="D3" s="24"/>
      <c r="E3" s="24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</row>
    <row r="4" spans="3:102" x14ac:dyDescent="0.25">
      <c r="C4" s="5"/>
      <c r="D4" s="24"/>
      <c r="E4" s="24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</row>
    <row r="5" spans="3:102" x14ac:dyDescent="0.25">
      <c r="C5" s="5"/>
      <c r="D5" s="5"/>
      <c r="E5" s="24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</row>
    <row r="6" spans="3:102" x14ac:dyDescent="0.25"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</row>
    <row r="7" spans="3:102" x14ac:dyDescent="0.25"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</row>
    <row r="8" spans="3:102" x14ac:dyDescent="0.25"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</row>
    <row r="9" spans="3:102" x14ac:dyDescent="0.25"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</row>
    <row r="10" spans="3:102" x14ac:dyDescent="0.25"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</row>
    <row r="11" spans="3:102" x14ac:dyDescent="0.25"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</row>
    <row r="12" spans="3:102" x14ac:dyDescent="0.25"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</row>
    <row r="13" spans="3:102" x14ac:dyDescent="0.25"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</row>
    <row r="14" spans="3:102" x14ac:dyDescent="0.25"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</row>
    <row r="15" spans="3:102" x14ac:dyDescent="0.25"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</row>
    <row r="16" spans="3:102" x14ac:dyDescent="0.25"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</row>
    <row r="17" spans="17:102" x14ac:dyDescent="0.25"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</row>
    <row r="18" spans="17:102" x14ac:dyDescent="0.25"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</row>
    <row r="19" spans="17:102" x14ac:dyDescent="0.25"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</row>
    <row r="20" spans="17:102" x14ac:dyDescent="0.25"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</row>
    <row r="21" spans="17:102" x14ac:dyDescent="0.25"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</row>
    <row r="22" spans="17:102" x14ac:dyDescent="0.25"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</row>
    <row r="23" spans="17:102" x14ac:dyDescent="0.25"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</row>
    <row r="24" spans="17:102" x14ac:dyDescent="0.25"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</row>
    <row r="25" spans="17:102" x14ac:dyDescent="0.25"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</row>
    <row r="26" spans="17:102" x14ac:dyDescent="0.25"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</row>
    <row r="27" spans="17:102" x14ac:dyDescent="0.25"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</row>
    <row r="28" spans="17:102" x14ac:dyDescent="0.25"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</row>
    <row r="29" spans="17:102" x14ac:dyDescent="0.25"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</row>
    <row r="30" spans="17:102" x14ac:dyDescent="0.25"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</row>
    <row r="31" spans="17:102" x14ac:dyDescent="0.25"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</row>
    <row r="32" spans="17:102" x14ac:dyDescent="0.25"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</row>
    <row r="33" spans="33:102" x14ac:dyDescent="0.25"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</row>
    <row r="34" spans="33:102" x14ac:dyDescent="0.25"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</row>
    <row r="35" spans="33:102" x14ac:dyDescent="0.25"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</row>
    <row r="36" spans="33:102" x14ac:dyDescent="0.25"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</row>
    <row r="37" spans="33:102" x14ac:dyDescent="0.25"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</row>
    <row r="38" spans="33:102" x14ac:dyDescent="0.25"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</row>
    <row r="39" spans="33:102" x14ac:dyDescent="0.25"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</row>
    <row r="40" spans="33:102" x14ac:dyDescent="0.25"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</row>
    <row r="41" spans="33:102" x14ac:dyDescent="0.25"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</row>
    <row r="42" spans="33:102" x14ac:dyDescent="0.25"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</row>
    <row r="43" spans="33:102" x14ac:dyDescent="0.25"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</row>
    <row r="44" spans="33:102" x14ac:dyDescent="0.25"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</row>
    <row r="45" spans="33:102" x14ac:dyDescent="0.25"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</row>
    <row r="46" spans="33:102" x14ac:dyDescent="0.25"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</row>
    <row r="47" spans="33:102" x14ac:dyDescent="0.25"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</row>
    <row r="48" spans="33:102" x14ac:dyDescent="0.25"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</row>
    <row r="49" spans="49:102" x14ac:dyDescent="0.25"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</row>
    <row r="50" spans="49:102" x14ac:dyDescent="0.25"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</row>
    <row r="51" spans="49:102" x14ac:dyDescent="0.25"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</row>
    <row r="52" spans="49:102" x14ac:dyDescent="0.25"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</row>
    <row r="53" spans="49:102" x14ac:dyDescent="0.25"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</row>
    <row r="54" spans="49:102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</row>
    <row r="55" spans="49:102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</row>
    <row r="56" spans="49:102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</row>
    <row r="57" spans="49:102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</row>
    <row r="58" spans="49:102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</row>
    <row r="59" spans="49:102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</row>
    <row r="60" spans="49:102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</row>
    <row r="61" spans="49:102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</row>
    <row r="62" spans="49:102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</row>
    <row r="63" spans="49:102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</row>
    <row r="64" spans="49:102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</row>
    <row r="65" spans="65:102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</row>
    <row r="66" spans="65:102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</row>
    <row r="67" spans="65:102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</row>
    <row r="68" spans="65:102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</row>
    <row r="69" spans="65:102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</row>
    <row r="70" spans="65:102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</row>
    <row r="71" spans="65:102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</row>
    <row r="72" spans="65:102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</row>
    <row r="73" spans="65:102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</row>
    <row r="74" spans="65:102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</row>
    <row r="75" spans="65:102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</row>
    <row r="76" spans="65:102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</row>
    <row r="77" spans="65:102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</row>
    <row r="78" spans="65:102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</row>
    <row r="79" spans="65:102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</row>
    <row r="80" spans="65:102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</row>
    <row r="81" spans="81:102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</row>
    <row r="82" spans="81:102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</row>
    <row r="83" spans="81:102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</row>
    <row r="84" spans="81:102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</row>
    <row r="85" spans="81:102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</row>
    <row r="86" spans="81:102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</row>
    <row r="87" spans="81:102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</row>
    <row r="88" spans="81:102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</row>
    <row r="89" spans="81:102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</row>
    <row r="90" spans="81:102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</row>
    <row r="91" spans="81:102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</row>
    <row r="92" spans="81:102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</row>
    <row r="93" spans="81:102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</row>
    <row r="94" spans="81:102" x14ac:dyDescent="0.25">
      <c r="CP94" s="22"/>
      <c r="CQ94" s="22"/>
      <c r="CR94" s="22"/>
      <c r="CS94" s="22"/>
      <c r="CT94" s="22"/>
      <c r="CU94" s="22"/>
      <c r="CV94" s="22"/>
      <c r="CW94" s="22"/>
      <c r="CX94" s="22"/>
    </row>
    <row r="95" spans="81:102" x14ac:dyDescent="0.25">
      <c r="CQ95" s="22"/>
      <c r="CR95" s="22"/>
      <c r="CS95" s="22"/>
      <c r="CT95" s="22"/>
      <c r="CU95" s="22"/>
      <c r="CV95" s="22"/>
      <c r="CW95" s="22"/>
      <c r="CX95" s="22"/>
    </row>
    <row r="96" spans="81:102" x14ac:dyDescent="0.25">
      <c r="CR96" s="22"/>
      <c r="CS96" s="22"/>
      <c r="CT96" s="22"/>
      <c r="CU96" s="22"/>
      <c r="CV96" s="22"/>
      <c r="CW96" s="22"/>
      <c r="CX96" s="22"/>
    </row>
    <row r="97" spans="97:102" x14ac:dyDescent="0.25">
      <c r="CS97" s="22"/>
      <c r="CT97" s="22"/>
      <c r="CU97" s="22"/>
      <c r="CV97" s="22"/>
      <c r="CW97" s="22"/>
      <c r="CX97" s="22"/>
    </row>
    <row r="98" spans="97:102" x14ac:dyDescent="0.25">
      <c r="CT98" s="22"/>
      <c r="CU98" s="22"/>
      <c r="CV98" s="22"/>
      <c r="CW98" s="22"/>
      <c r="CX98" s="22"/>
    </row>
    <row r="99" spans="97:102" x14ac:dyDescent="0.25">
      <c r="CU99" s="22"/>
      <c r="CV99" s="22"/>
      <c r="CW99" s="22"/>
      <c r="CX99" s="22"/>
    </row>
    <row r="100" spans="97:102" x14ac:dyDescent="0.25">
      <c r="CV100" s="22"/>
      <c r="CW100" s="22"/>
      <c r="CX100" s="22"/>
    </row>
    <row r="101" spans="97:102" x14ac:dyDescent="0.25">
      <c r="CW101" s="22"/>
      <c r="CX101" s="22"/>
    </row>
    <row r="102" spans="97:102" x14ac:dyDescent="0.25">
      <c r="CX102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C3:CY103"/>
  <sheetViews>
    <sheetView zoomScale="118" zoomScaleNormal="118" workbookViewId="0">
      <selection activeCell="A19" sqref="A19"/>
    </sheetView>
  </sheetViews>
  <sheetFormatPr baseColWidth="10" defaultRowHeight="15" x14ac:dyDescent="0.25"/>
  <cols>
    <col min="1" max="1" width="7.85546875" style="6" bestFit="1" customWidth="1"/>
    <col min="2" max="2" width="2.140625" style="6" bestFit="1" customWidth="1"/>
    <col min="3" max="13" width="11.5703125" style="6" bestFit="1" customWidth="1"/>
    <col min="14" max="18" width="11.7109375" style="6" bestFit="1" customWidth="1"/>
    <col min="19" max="16384" width="11.42578125" style="6"/>
  </cols>
  <sheetData>
    <row r="3" spans="3:103" x14ac:dyDescent="0.25">
      <c r="C3" s="25"/>
      <c r="D3" s="25"/>
      <c r="E3" s="25"/>
      <c r="F3" s="23"/>
      <c r="G3" s="23"/>
      <c r="H3" s="23"/>
      <c r="I3" s="21">
        <v>52.612024695021731</v>
      </c>
      <c r="J3" s="21"/>
      <c r="K3" s="21"/>
      <c r="L3" s="21"/>
      <c r="M3" s="21"/>
      <c r="N3" s="21"/>
      <c r="O3" s="21"/>
      <c r="P3" s="21"/>
      <c r="Q3" s="21"/>
      <c r="R3" s="21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</row>
    <row r="4" spans="3:103" x14ac:dyDescent="0.25">
      <c r="C4" s="7"/>
      <c r="D4" s="25"/>
      <c r="E4" s="25"/>
      <c r="F4" s="23"/>
      <c r="G4" s="23"/>
      <c r="H4" s="23"/>
      <c r="I4" s="21">
        <v>32.491550863891391</v>
      </c>
      <c r="J4" s="21"/>
      <c r="K4" s="21"/>
      <c r="L4" s="21"/>
      <c r="M4" s="21"/>
      <c r="N4" s="21"/>
      <c r="O4" s="21"/>
      <c r="P4" s="21"/>
      <c r="Q4" s="21"/>
      <c r="R4" s="21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</row>
    <row r="5" spans="3:103" x14ac:dyDescent="0.25">
      <c r="C5" s="7"/>
      <c r="D5" s="7"/>
      <c r="E5" s="25"/>
      <c r="F5" s="23"/>
      <c r="G5" s="23"/>
      <c r="H5" s="23"/>
      <c r="I5" s="21">
        <v>16.742361091417017</v>
      </c>
      <c r="J5" s="21"/>
      <c r="K5" s="21"/>
      <c r="L5" s="21"/>
      <c r="M5" s="21"/>
      <c r="N5" s="21"/>
      <c r="O5" s="21"/>
      <c r="P5" s="21"/>
      <c r="Q5" s="21"/>
      <c r="R5" s="21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</row>
    <row r="6" spans="3:103" x14ac:dyDescent="0.25">
      <c r="C6" s="8"/>
      <c r="D6" s="8"/>
      <c r="E6" s="8"/>
      <c r="F6" s="23"/>
      <c r="G6" s="23"/>
      <c r="H6" s="23"/>
      <c r="I6" s="21">
        <v>4.4147697746732959</v>
      </c>
      <c r="J6" s="21"/>
      <c r="K6" s="21"/>
      <c r="L6" s="21"/>
      <c r="M6" s="21"/>
      <c r="N6" s="21"/>
      <c r="O6" s="21"/>
      <c r="P6" s="21"/>
      <c r="Q6" s="21"/>
      <c r="R6" s="21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</row>
    <row r="7" spans="3:103" x14ac:dyDescent="0.25">
      <c r="C7" s="8"/>
      <c r="D7" s="8"/>
      <c r="E7" s="8"/>
      <c r="F7" s="8"/>
      <c r="G7" s="23"/>
      <c r="H7" s="23"/>
      <c r="I7" s="21">
        <v>0</v>
      </c>
      <c r="J7" s="21"/>
      <c r="K7" s="21"/>
      <c r="L7" s="21"/>
      <c r="M7" s="21"/>
      <c r="N7" s="21"/>
      <c r="O7" s="21"/>
      <c r="P7" s="21"/>
      <c r="Q7" s="21"/>
      <c r="R7" s="21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</row>
    <row r="8" spans="3:103" x14ac:dyDescent="0.25">
      <c r="C8" s="8"/>
      <c r="D8" s="8"/>
      <c r="E8" s="8"/>
      <c r="F8" s="8"/>
      <c r="G8" s="8"/>
      <c r="H8" s="23"/>
      <c r="I8" s="21">
        <v>0</v>
      </c>
      <c r="J8" s="21"/>
      <c r="K8" s="21"/>
      <c r="L8" s="21"/>
      <c r="M8" s="21"/>
      <c r="N8" s="21"/>
      <c r="O8" s="21"/>
      <c r="P8" s="21"/>
      <c r="Q8" s="21"/>
      <c r="R8" s="21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</row>
    <row r="9" spans="3:103" x14ac:dyDescent="0.25">
      <c r="C9" s="9"/>
      <c r="D9" s="9"/>
      <c r="E9" s="9"/>
      <c r="F9" s="9"/>
      <c r="G9" s="9"/>
      <c r="H9" s="9"/>
      <c r="I9" s="21">
        <v>0</v>
      </c>
      <c r="J9" s="21"/>
      <c r="K9" s="21"/>
      <c r="L9" s="21"/>
      <c r="M9" s="21"/>
      <c r="N9" s="21"/>
      <c r="O9" s="21"/>
      <c r="P9" s="21"/>
      <c r="Q9" s="21"/>
      <c r="R9" s="21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</row>
    <row r="10" spans="3:103" x14ac:dyDescent="0.25">
      <c r="C10" s="10"/>
      <c r="D10" s="10"/>
      <c r="E10" s="10"/>
      <c r="F10" s="10"/>
      <c r="G10" s="10"/>
      <c r="H10" s="10"/>
      <c r="I10" s="10"/>
      <c r="J10" s="21"/>
      <c r="K10" s="21"/>
      <c r="L10" s="21"/>
      <c r="M10" s="21"/>
      <c r="N10" s="21"/>
      <c r="O10" s="21"/>
      <c r="P10" s="21"/>
      <c r="Q10" s="21"/>
      <c r="R10" s="21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</row>
    <row r="11" spans="3:103" x14ac:dyDescent="0.25">
      <c r="C11" s="10"/>
      <c r="D11" s="10"/>
      <c r="E11" s="10"/>
      <c r="F11" s="10"/>
      <c r="G11" s="10"/>
      <c r="H11" s="10"/>
      <c r="I11" s="10"/>
      <c r="J11" s="10"/>
      <c r="K11" s="21"/>
      <c r="L11" s="21"/>
      <c r="M11" s="21"/>
      <c r="N11" s="21"/>
      <c r="O11" s="21"/>
      <c r="P11" s="21"/>
      <c r="Q11" s="21"/>
      <c r="R11" s="21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</row>
    <row r="12" spans="3:103" x14ac:dyDescent="0.25">
      <c r="C12" s="10"/>
      <c r="D12" s="10"/>
      <c r="E12" s="10"/>
      <c r="F12" s="10"/>
      <c r="G12" s="10"/>
      <c r="H12" s="10"/>
      <c r="I12" s="10"/>
      <c r="J12" s="10"/>
      <c r="K12" s="10"/>
      <c r="L12" s="21"/>
      <c r="M12" s="21"/>
      <c r="N12" s="21"/>
      <c r="O12" s="21"/>
      <c r="P12" s="21"/>
      <c r="Q12" s="21"/>
      <c r="R12" s="21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</row>
    <row r="13" spans="3:103" x14ac:dyDescent="0.25"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21"/>
      <c r="N13" s="21"/>
      <c r="O13" s="21"/>
      <c r="P13" s="21"/>
      <c r="Q13" s="21"/>
      <c r="R13" s="21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</row>
    <row r="14" spans="3:103" x14ac:dyDescent="0.25"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21"/>
      <c r="O14" s="21"/>
      <c r="P14" s="21"/>
      <c r="Q14" s="21"/>
      <c r="R14" s="2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</row>
    <row r="15" spans="3:103" x14ac:dyDescent="0.25"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21"/>
      <c r="P15" s="21"/>
      <c r="Q15" s="21"/>
      <c r="R15" s="21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</row>
    <row r="16" spans="3:103" x14ac:dyDescent="0.25"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21"/>
      <c r="Q16" s="21"/>
      <c r="R16" s="21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</row>
    <row r="17" spans="3:103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21"/>
      <c r="R17" s="21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</row>
    <row r="18" spans="3:103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21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</row>
    <row r="19" spans="3:103" x14ac:dyDescent="0.25"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</row>
    <row r="20" spans="3:103" x14ac:dyDescent="0.2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</row>
    <row r="21" spans="3:103" x14ac:dyDescent="0.25"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</row>
    <row r="22" spans="3:103" x14ac:dyDescent="0.25"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</row>
    <row r="23" spans="3:103" x14ac:dyDescent="0.25"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</row>
    <row r="24" spans="3:103" x14ac:dyDescent="0.25"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</row>
    <row r="25" spans="3:103" x14ac:dyDescent="0.25"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</row>
    <row r="26" spans="3:103" x14ac:dyDescent="0.25"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</row>
    <row r="27" spans="3:103" x14ac:dyDescent="0.25"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</row>
    <row r="28" spans="3:103" x14ac:dyDescent="0.25"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</row>
    <row r="29" spans="3:103" x14ac:dyDescent="0.25"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</row>
    <row r="30" spans="3:103" x14ac:dyDescent="0.25"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</row>
    <row r="31" spans="3:103" x14ac:dyDescent="0.25"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</row>
    <row r="32" spans="3:103" x14ac:dyDescent="0.25"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</row>
    <row r="33" spans="33:103" x14ac:dyDescent="0.25"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</row>
    <row r="34" spans="33:103" x14ac:dyDescent="0.25"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</row>
    <row r="35" spans="33:103" x14ac:dyDescent="0.25"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</row>
    <row r="36" spans="33:103" x14ac:dyDescent="0.25"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</row>
    <row r="37" spans="33:103" x14ac:dyDescent="0.25"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</row>
    <row r="38" spans="33:103" x14ac:dyDescent="0.25"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</row>
    <row r="39" spans="33:103" x14ac:dyDescent="0.25"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</row>
    <row r="40" spans="33:103" x14ac:dyDescent="0.25"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</row>
    <row r="41" spans="33:103" x14ac:dyDescent="0.25"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</row>
    <row r="42" spans="33:103" x14ac:dyDescent="0.25"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</row>
    <row r="43" spans="33:103" x14ac:dyDescent="0.25"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</row>
    <row r="44" spans="33:103" x14ac:dyDescent="0.25"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</row>
    <row r="45" spans="33:103" x14ac:dyDescent="0.25"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</row>
    <row r="46" spans="33:103" x14ac:dyDescent="0.25"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</row>
    <row r="47" spans="33:103" x14ac:dyDescent="0.25"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</row>
    <row r="48" spans="33:103" x14ac:dyDescent="0.25"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</row>
    <row r="49" spans="49:103" x14ac:dyDescent="0.25"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</row>
    <row r="50" spans="49:103" x14ac:dyDescent="0.25"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</row>
    <row r="51" spans="49:103" x14ac:dyDescent="0.25"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</row>
    <row r="52" spans="49:103" x14ac:dyDescent="0.25"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</row>
    <row r="53" spans="49:103" x14ac:dyDescent="0.25"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</row>
    <row r="54" spans="49:103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</row>
    <row r="55" spans="49:103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</row>
    <row r="56" spans="49:103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</row>
    <row r="57" spans="49:103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</row>
    <row r="58" spans="49:103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</row>
    <row r="59" spans="49:103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</row>
    <row r="60" spans="49:103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</row>
    <row r="61" spans="49:103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</row>
    <row r="62" spans="49:103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</row>
    <row r="63" spans="49:103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</row>
    <row r="64" spans="49:103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</row>
    <row r="65" spans="65:103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</row>
    <row r="66" spans="65:103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</row>
    <row r="67" spans="65:103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</row>
    <row r="68" spans="65:103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</row>
    <row r="69" spans="65:103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</row>
    <row r="70" spans="65:103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</row>
    <row r="71" spans="65:103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</row>
    <row r="72" spans="65:103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</row>
    <row r="73" spans="65:103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</row>
    <row r="74" spans="65:103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</row>
    <row r="75" spans="65:103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</row>
    <row r="76" spans="65:103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</row>
    <row r="77" spans="65:103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</row>
    <row r="78" spans="65:103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</row>
    <row r="79" spans="65:103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</row>
    <row r="80" spans="65:103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</row>
    <row r="81" spans="81:103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</row>
    <row r="82" spans="81:103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</row>
    <row r="83" spans="81:103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</row>
    <row r="84" spans="81:103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</row>
    <row r="85" spans="81:103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</row>
    <row r="86" spans="81:103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</row>
    <row r="87" spans="81:103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</row>
    <row r="88" spans="81:103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  <c r="CY88" s="22"/>
    </row>
    <row r="89" spans="81:103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  <c r="CY89" s="22"/>
    </row>
    <row r="90" spans="81:103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  <c r="CY90" s="22"/>
    </row>
    <row r="91" spans="81:103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</row>
    <row r="92" spans="81:103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</row>
    <row r="93" spans="81:103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</row>
    <row r="94" spans="81:103" x14ac:dyDescent="0.25">
      <c r="CP94" s="22"/>
      <c r="CQ94" s="22"/>
      <c r="CR94" s="22"/>
      <c r="CS94" s="22"/>
      <c r="CT94" s="22"/>
      <c r="CU94" s="22"/>
      <c r="CV94" s="22"/>
      <c r="CW94" s="22"/>
      <c r="CX94" s="22"/>
      <c r="CY94" s="22"/>
    </row>
    <row r="95" spans="81:103" x14ac:dyDescent="0.25">
      <c r="CQ95" s="22"/>
      <c r="CR95" s="22"/>
      <c r="CS95" s="22"/>
      <c r="CT95" s="22"/>
      <c r="CU95" s="22"/>
      <c r="CV95" s="22"/>
      <c r="CW95" s="22"/>
      <c r="CX95" s="22"/>
      <c r="CY95" s="22"/>
    </row>
    <row r="96" spans="81:103" x14ac:dyDescent="0.25">
      <c r="CR96" s="22"/>
      <c r="CS96" s="22"/>
      <c r="CT96" s="22"/>
      <c r="CU96" s="22"/>
      <c r="CV96" s="22"/>
      <c r="CW96" s="22"/>
      <c r="CX96" s="22"/>
      <c r="CY96" s="22"/>
    </row>
    <row r="97" spans="97:103" x14ac:dyDescent="0.25">
      <c r="CS97" s="22"/>
      <c r="CT97" s="22"/>
      <c r="CU97" s="22"/>
      <c r="CV97" s="22"/>
      <c r="CW97" s="22"/>
      <c r="CX97" s="22"/>
      <c r="CY97" s="22"/>
    </row>
    <row r="98" spans="97:103" x14ac:dyDescent="0.25">
      <c r="CT98" s="22"/>
      <c r="CU98" s="22"/>
      <c r="CV98" s="22"/>
      <c r="CW98" s="22"/>
      <c r="CX98" s="22"/>
      <c r="CY98" s="22"/>
    </row>
    <row r="99" spans="97:103" x14ac:dyDescent="0.25">
      <c r="CU99" s="22"/>
      <c r="CV99" s="22"/>
      <c r="CW99" s="22"/>
      <c r="CX99" s="22"/>
      <c r="CY99" s="22"/>
    </row>
    <row r="100" spans="97:103" x14ac:dyDescent="0.25">
      <c r="CV100" s="22"/>
      <c r="CW100" s="22"/>
      <c r="CX100" s="22"/>
      <c r="CY100" s="22"/>
    </row>
    <row r="101" spans="97:103" x14ac:dyDescent="0.25">
      <c r="CW101" s="22"/>
      <c r="CX101" s="22"/>
      <c r="CY101" s="22"/>
    </row>
    <row r="102" spans="97:103" x14ac:dyDescent="0.25">
      <c r="CX102" s="22"/>
      <c r="CY102" s="22"/>
    </row>
    <row r="103" spans="97:103" x14ac:dyDescent="0.25">
      <c r="CY103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70C0"/>
  </sheetPr>
  <dimension ref="B2:I9"/>
  <sheetViews>
    <sheetView workbookViewId="0">
      <selection activeCell="E9" sqref="E9"/>
    </sheetView>
  </sheetViews>
  <sheetFormatPr baseColWidth="10" defaultRowHeight="15" x14ac:dyDescent="0.25"/>
  <sheetData>
    <row r="2" spans="2:9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</row>
    <row r="3" spans="2:9" x14ac:dyDescent="0.25">
      <c r="B3">
        <v>0</v>
      </c>
      <c r="C3" s="1">
        <v>7.1242611263223097</v>
      </c>
      <c r="D3" s="1">
        <v>10.957566969410435</v>
      </c>
      <c r="E3" s="1">
        <v>16.266129434854118</v>
      </c>
      <c r="F3" s="1">
        <v>23.188979170242145</v>
      </c>
      <c r="G3" s="1">
        <v>31.636560050553911</v>
      </c>
      <c r="H3" s="1">
        <v>41.381053426608027</v>
      </c>
      <c r="I3" s="1">
        <v>52.612024695021731</v>
      </c>
    </row>
    <row r="4" spans="2:9" x14ac:dyDescent="0.25">
      <c r="B4">
        <v>1</v>
      </c>
      <c r="C4" s="1"/>
      <c r="D4" s="1">
        <v>3.9130557849057523</v>
      </c>
      <c r="E4" s="1">
        <v>6.5381350225784365</v>
      </c>
      <c r="F4" s="1">
        <v>10.552787539077078</v>
      </c>
      <c r="G4" s="1">
        <v>16.30179840523731</v>
      </c>
      <c r="H4" s="1">
        <v>23.815670698320723</v>
      </c>
      <c r="I4" s="1">
        <v>32.491550863891391</v>
      </c>
    </row>
    <row r="5" spans="2:9" x14ac:dyDescent="0.25">
      <c r="B5">
        <v>2</v>
      </c>
      <c r="D5" s="1"/>
      <c r="E5" s="1">
        <v>1.6895658820203678</v>
      </c>
      <c r="F5" s="1">
        <v>3.1516593018582815</v>
      </c>
      <c r="G5" s="1">
        <v>5.7334382430600614</v>
      </c>
      <c r="H5" s="1">
        <v>10.066464375658333</v>
      </c>
      <c r="I5" s="1">
        <v>16.742361091417017</v>
      </c>
    </row>
    <row r="6" spans="2:9" x14ac:dyDescent="0.25">
      <c r="B6">
        <v>3</v>
      </c>
      <c r="E6" s="1"/>
      <c r="F6" s="1">
        <v>0.43875282137175525</v>
      </c>
      <c r="G6" s="1">
        <v>0.94721660253922613</v>
      </c>
      <c r="H6" s="1">
        <v>2.0449311056754218</v>
      </c>
      <c r="I6" s="1">
        <v>4.4147697746732959</v>
      </c>
    </row>
    <row r="7" spans="2:9" x14ac:dyDescent="0.25">
      <c r="B7">
        <v>4</v>
      </c>
      <c r="F7" s="1"/>
      <c r="G7" s="1">
        <v>0</v>
      </c>
      <c r="H7" s="1">
        <v>0</v>
      </c>
      <c r="I7" s="1">
        <v>0</v>
      </c>
    </row>
    <row r="8" spans="2:9" x14ac:dyDescent="0.25">
      <c r="B8">
        <v>5</v>
      </c>
      <c r="G8" s="1"/>
      <c r="H8" s="1">
        <v>0</v>
      </c>
      <c r="I8" s="1">
        <v>0</v>
      </c>
    </row>
    <row r="9" spans="2:9" x14ac:dyDescent="0.25">
      <c r="B9">
        <v>6</v>
      </c>
      <c r="H9" s="1"/>
      <c r="I9" s="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A1"/>
  <sheetViews>
    <sheetView workbookViewId="0">
      <selection activeCell="F25" sqref="F25"/>
    </sheetView>
  </sheetViews>
  <sheetFormatPr baseColWidth="10" defaultRowHeight="15" x14ac:dyDescent="0.25"/>
  <cols>
    <col min="1" max="16384" width="11.42578125" style="4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3:A9"/>
  <sheetViews>
    <sheetView workbookViewId="0">
      <selection activeCell="E12" sqref="E12"/>
    </sheetView>
  </sheetViews>
  <sheetFormatPr baseColWidth="10" defaultRowHeight="15" x14ac:dyDescent="0.25"/>
  <cols>
    <col min="1" max="16384" width="11.42578125" style="4"/>
  </cols>
  <sheetData>
    <row r="3" s="4" customFormat="1" x14ac:dyDescent="0.25"/>
    <row r="4" s="4" customFormat="1" x14ac:dyDescent="0.25"/>
    <row r="5" s="4" customFormat="1" x14ac:dyDescent="0.25"/>
    <row r="6" s="4" customFormat="1" x14ac:dyDescent="0.25"/>
    <row r="7" s="4" customFormat="1" x14ac:dyDescent="0.25"/>
    <row r="8" s="4" customFormat="1" x14ac:dyDescent="0.25"/>
    <row r="9" s="4" customFormat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AN101"/>
  <sheetViews>
    <sheetView tabSelected="1" zoomScale="115" zoomScaleNormal="115" workbookViewId="0">
      <selection activeCell="F8" sqref="F8"/>
    </sheetView>
  </sheetViews>
  <sheetFormatPr baseColWidth="10" defaultRowHeight="15" x14ac:dyDescent="0.25"/>
  <cols>
    <col min="1" max="1" width="14" bestFit="1" customWidth="1"/>
    <col min="4" max="4" width="13.42578125" bestFit="1" customWidth="1"/>
    <col min="5" max="5" width="12" bestFit="1" customWidth="1"/>
    <col min="6" max="7" width="15.28515625" customWidth="1"/>
    <col min="10" max="10" width="13.5703125" bestFit="1" customWidth="1"/>
    <col min="15" max="15" width="11.85546875" bestFit="1" customWidth="1"/>
    <col min="39" max="39" width="11.85546875" bestFit="1" customWidth="1"/>
  </cols>
  <sheetData>
    <row r="1" spans="1:40" x14ac:dyDescent="0.25">
      <c r="A1" s="2" t="s">
        <v>15</v>
      </c>
      <c r="B1" s="1">
        <v>1</v>
      </c>
      <c r="D1" s="44" t="s">
        <v>43</v>
      </c>
      <c r="E1">
        <f>MIN(TablaModelos[Min Binomial])</f>
        <v>3.7962542995728654E-4</v>
      </c>
      <c r="H1" t="s">
        <v>47</v>
      </c>
      <c r="I1" t="s">
        <v>46</v>
      </c>
      <c r="J1" s="43" t="s">
        <v>45</v>
      </c>
      <c r="K1" s="43" t="s">
        <v>44</v>
      </c>
      <c r="L1" s="55" t="s">
        <v>49</v>
      </c>
      <c r="M1" t="s">
        <v>57</v>
      </c>
      <c r="N1" t="s">
        <v>56</v>
      </c>
      <c r="O1" t="s">
        <v>55</v>
      </c>
    </row>
    <row r="2" spans="1:40" x14ac:dyDescent="0.25">
      <c r="A2" s="2" t="s">
        <v>11</v>
      </c>
      <c r="B2" s="1">
        <v>0</v>
      </c>
      <c r="D2" s="44" t="s">
        <v>45</v>
      </c>
      <c r="E2">
        <f>MIN(TablaModelos[Min CRR])</f>
        <v>3.7160856051078994E-2</v>
      </c>
      <c r="H2">
        <v>1</v>
      </c>
      <c r="I2">
        <f>bsc($B$4,$B$5,$B$6,$B$9,$B$8,$B$7,$B$2)</f>
        <v>13.145893900288087</v>
      </c>
      <c r="J2" s="54">
        <f>CRR($B$4,$B$5,$B$9,$B$6,$B$7,$H2,$B$2)</f>
        <v>16.817697849689878</v>
      </c>
      <c r="K2" s="54">
        <f>JR($B$4,$B$5,$B$9,$B$6,$B$7,$B$8,$H2,$B$2)</f>
        <v>15.581785907504074</v>
      </c>
      <c r="L2" s="54">
        <f>Binomial($B$4,$B$5,$B$9,$B$6,$B$7,$B$8,$H2,$B$2)</f>
        <v>16.817697849689882</v>
      </c>
      <c r="M2" s="54">
        <f>ABS(TablaModelos[[#This Row],[B-S]]-TablaModelos[[#This Row],[CRR]])</f>
        <v>3.6718039494017916</v>
      </c>
      <c r="N2" s="54">
        <f>ABS(TablaModelos[[#This Row],[B-S]]-TablaModelos[[#This Row],[JR]])</f>
        <v>2.4358920072159869</v>
      </c>
      <c r="O2" s="54">
        <f>ABS(TablaModelos[[#This Row],[B-S]]-TablaModelos[[#This Row],[Binomial]])</f>
        <v>3.6718039494017951</v>
      </c>
      <c r="AE2" s="49"/>
      <c r="AF2" s="49"/>
      <c r="AG2" s="49"/>
      <c r="AH2" s="49"/>
      <c r="AI2" s="49"/>
      <c r="AJ2" s="49"/>
      <c r="AK2" s="56"/>
      <c r="AN2" s="56"/>
    </row>
    <row r="3" spans="1:40" ht="15.75" thickBot="1" x14ac:dyDescent="0.3">
      <c r="D3" s="44" t="s">
        <v>48</v>
      </c>
      <c r="E3">
        <f>MIN(TablaModelos[Min JR])</f>
        <v>1.4903221574744663E-3</v>
      </c>
      <c r="H3">
        <v>2</v>
      </c>
      <c r="I3">
        <f>bsc($B$4,$B$5,$B$6,$B$9,$B$8,$B$7,$B$2)</f>
        <v>13.145893900288087</v>
      </c>
      <c r="J3" s="54">
        <f>CRR($B$4,$B$5,$B$9,$B$6,$B$7,$H3,$B$2)</f>
        <v>11.37383451892153</v>
      </c>
      <c r="K3" s="54">
        <f>JR($B$4,$B$5,$B$9,$B$6,$B$7,$B$8,$H3,$B$2)</f>
        <v>12.913839227103125</v>
      </c>
      <c r="L3" s="54">
        <f>Binomial($B$4,$B$5,$B$9,$B$6,$B$7,$B$8,$H3,$B$2)</f>
        <v>12.462695500710019</v>
      </c>
      <c r="M3" s="54">
        <f>ABS(TablaModelos[[#This Row],[B-S]]-TablaModelos[[#This Row],[CRR]])</f>
        <v>1.7720593813665566</v>
      </c>
      <c r="N3" s="54">
        <f>ABS(TablaModelos[[#This Row],[B-S]]-TablaModelos[[#This Row],[JR]])</f>
        <v>0.23205467318496176</v>
      </c>
      <c r="O3" s="54">
        <f>ABS(TablaModelos[[#This Row],[B-S]]-TablaModelos[[#This Row],[Binomial]])</f>
        <v>0.68319839957806749</v>
      </c>
      <c r="AE3" s="49"/>
      <c r="AF3" s="49"/>
      <c r="AG3" s="49"/>
      <c r="AH3" s="49"/>
      <c r="AI3" s="49"/>
      <c r="AJ3" s="49"/>
      <c r="AK3" s="56"/>
    </row>
    <row r="4" spans="1:40" x14ac:dyDescent="0.25">
      <c r="A4" s="11" t="s">
        <v>0</v>
      </c>
      <c r="B4" s="12">
        <v>100</v>
      </c>
      <c r="H4">
        <v>3</v>
      </c>
      <c r="I4">
        <f>bsc($B$4,$B$5,$B$6,$B$9,$B$8,$B$7,$B$2)</f>
        <v>13.145893900288087</v>
      </c>
      <c r="J4" s="54">
        <f>CRR($B$4,$B$5,$B$9,$B$6,$B$7,$H4,$B$2)</f>
        <v>14.396856987509166</v>
      </c>
      <c r="K4" s="54">
        <f>JR($B$4,$B$5,$B$9,$B$6,$B$7,$B$8,$H4,$B$2)</f>
        <v>13.830942405556451</v>
      </c>
      <c r="L4" s="54">
        <f>Binomial($B$4,$B$5,$B$9,$B$6,$B$7,$B$8,$H4,$B$2)</f>
        <v>14.31079807715609</v>
      </c>
      <c r="M4" s="54">
        <f>ABS(TablaModelos[[#This Row],[B-S]]-TablaModelos[[#This Row],[CRR]])</f>
        <v>1.2509630872210789</v>
      </c>
      <c r="N4" s="54">
        <f>ABS(TablaModelos[[#This Row],[B-S]]-TablaModelos[[#This Row],[JR]])</f>
        <v>0.68504850526836414</v>
      </c>
      <c r="O4" s="54">
        <f>ABS(TablaModelos[[#This Row],[B-S]]-TablaModelos[[#This Row],[Binomial]])</f>
        <v>1.1649041768680028</v>
      </c>
      <c r="AE4" s="49"/>
      <c r="AF4" s="49"/>
      <c r="AG4" s="49"/>
      <c r="AH4" s="49"/>
      <c r="AI4" s="49"/>
      <c r="AJ4" s="49"/>
      <c r="AK4" s="56"/>
    </row>
    <row r="5" spans="1:40" x14ac:dyDescent="0.25">
      <c r="A5" s="13" t="s">
        <v>1</v>
      </c>
      <c r="B5" s="14">
        <v>100</v>
      </c>
      <c r="H5">
        <v>4</v>
      </c>
      <c r="I5">
        <f>bsc($B$4,$B$5,$B$6,$B$9,$B$8,$B$7,$B$2)</f>
        <v>13.145893900288087</v>
      </c>
      <c r="J5" s="54">
        <f>CRR($B$4,$B$5,$B$9,$B$6,$B$7,$H5,$B$2)</f>
        <v>12.21114982023928</v>
      </c>
      <c r="K5" s="54">
        <f>JR($B$4,$B$5,$B$9,$B$6,$B$7,$B$8,$H5,$B$2)</f>
        <v>13.28820262051053</v>
      </c>
      <c r="L5" s="54">
        <f>Binomial($B$4,$B$5,$B$9,$B$6,$B$7,$B$8,$H5,$B$2)</f>
        <v>12.995179826956083</v>
      </c>
      <c r="M5" s="54">
        <f>ABS(TablaModelos[[#This Row],[B-S]]-TablaModelos[[#This Row],[CRR]])</f>
        <v>0.93474408004880694</v>
      </c>
      <c r="N5" s="54">
        <f>ABS(TablaModelos[[#This Row],[B-S]]-TablaModelos[[#This Row],[JR]])</f>
        <v>0.14230872022244334</v>
      </c>
      <c r="O5" s="54">
        <f>ABS(TablaModelos[[#This Row],[B-S]]-TablaModelos[[#This Row],[Binomial]])</f>
        <v>0.15071407333200426</v>
      </c>
      <c r="AE5" s="49"/>
      <c r="AF5" s="49"/>
      <c r="AG5" s="49"/>
      <c r="AH5" s="49"/>
      <c r="AI5" s="49"/>
      <c r="AJ5" s="49"/>
      <c r="AK5" s="56"/>
    </row>
    <row r="6" spans="1:40" x14ac:dyDescent="0.25">
      <c r="A6" s="13" t="s">
        <v>2</v>
      </c>
      <c r="B6" s="52">
        <v>0.05</v>
      </c>
      <c r="D6" s="46">
        <f>EXP($B$7*SQRT($B$14))</f>
        <v>1.0935646911485417</v>
      </c>
      <c r="H6">
        <v>5</v>
      </c>
      <c r="I6">
        <f>bsc($B$4,$B$5,$B$6,$B$9,$B$8,$B$7,$B$2)</f>
        <v>13.145893900288087</v>
      </c>
      <c r="J6" s="54">
        <f>CRR($B$4,$B$5,$B$9,$B$6,$B$7,$H6,$B$2)</f>
        <v>13.893200896665153</v>
      </c>
      <c r="K6" s="54">
        <f>JR($B$4,$B$5,$B$9,$B$6,$B$7,$B$8,$H6,$B$2)</f>
        <v>13.440960198068357</v>
      </c>
      <c r="L6" s="54">
        <f>Binomial($B$4,$B$5,$B$9,$B$6,$B$7,$B$8,$H6,$B$2)</f>
        <v>13.793174744828518</v>
      </c>
      <c r="M6" s="54">
        <f>ABS(TablaModelos[[#This Row],[B-S]]-TablaModelos[[#This Row],[CRR]])</f>
        <v>0.74730699637706621</v>
      </c>
      <c r="N6" s="54">
        <f>ABS(TablaModelos[[#This Row],[B-S]]-TablaModelos[[#This Row],[JR]])</f>
        <v>0.29506629778027005</v>
      </c>
      <c r="O6" s="54">
        <f>ABS(TablaModelos[[#This Row],[B-S]]-TablaModelos[[#This Row],[Binomial]])</f>
        <v>0.64728084454043078</v>
      </c>
      <c r="AE6" s="49"/>
      <c r="AF6" s="49"/>
      <c r="AG6" s="49"/>
      <c r="AH6" s="49"/>
      <c r="AI6" s="49"/>
      <c r="AJ6" s="49"/>
      <c r="AK6" s="56"/>
    </row>
    <row r="7" spans="1:40" x14ac:dyDescent="0.25">
      <c r="A7" s="16" t="s">
        <v>5</v>
      </c>
      <c r="B7" s="52">
        <v>0.4</v>
      </c>
      <c r="D7" s="46">
        <f>EXP(-$B$7*SQRT($B$14))</f>
        <v>0.914440643607217</v>
      </c>
      <c r="H7">
        <v>6</v>
      </c>
      <c r="I7">
        <f>bsc($B$4,$B$5,$B$6,$B$9,$B$8,$B$7,$B$2)</f>
        <v>13.145893900288087</v>
      </c>
      <c r="J7" s="54">
        <f>CRR($B$4,$B$5,$B$9,$B$6,$B$7,$H7,$B$2)</f>
        <v>12.51305126763693</v>
      </c>
      <c r="K7" s="54">
        <f>JR($B$4,$B$5,$B$9,$B$6,$B$7,$B$8,$H7,$B$2)</f>
        <v>13.359779679064712</v>
      </c>
      <c r="L7" s="54">
        <f>Binomial($B$4,$B$5,$B$9,$B$6,$B$7,$B$8,$H7,$B$2)</f>
        <v>13.14551427485813</v>
      </c>
      <c r="M7" s="54">
        <f>ABS(TablaModelos[[#This Row],[B-S]]-TablaModelos[[#This Row],[CRR]])</f>
        <v>0.63284263265115648</v>
      </c>
      <c r="N7" s="54">
        <f>ABS(TablaModelos[[#This Row],[B-S]]-TablaModelos[[#This Row],[JR]])</f>
        <v>0.21388577877662485</v>
      </c>
      <c r="O7" s="53">
        <f>ABS(TablaModelos[[#This Row],[B-S]]-TablaModelos[[#This Row],[Binomial]])</f>
        <v>3.7962542995728654E-4</v>
      </c>
      <c r="AE7" s="49"/>
      <c r="AF7" s="49"/>
      <c r="AG7" s="49"/>
      <c r="AH7" s="49"/>
      <c r="AI7" s="49"/>
      <c r="AJ7" s="49"/>
      <c r="AK7" s="56"/>
    </row>
    <row r="8" spans="1:40" x14ac:dyDescent="0.25">
      <c r="A8" s="16" t="s">
        <v>24</v>
      </c>
      <c r="B8" s="52">
        <v>0</v>
      </c>
      <c r="H8">
        <v>7</v>
      </c>
      <c r="I8">
        <f>bsc($B$4,$B$5,$B$6,$B$9,$B$8,$B$7,$B$2)</f>
        <v>13.145893900288087</v>
      </c>
      <c r="J8" s="54">
        <f>CRR($B$4,$B$5,$B$9,$B$6,$B$7,$H8,$B$2)</f>
        <v>13.67786221175766</v>
      </c>
      <c r="K8" s="54">
        <f>JR($B$4,$B$5,$B$9,$B$6,$B$7,$B$8,$H8,$B$2)</f>
        <v>13.272200610303324</v>
      </c>
      <c r="L8" s="54">
        <f>Binomial($B$4,$B$5,$B$9,$B$6,$B$7,$B$8,$H8,$B$2)</f>
        <v>13.572174536745665</v>
      </c>
      <c r="M8" s="54">
        <f>ABS(TablaModelos[[#This Row],[B-S]]-TablaModelos[[#This Row],[CRR]])</f>
        <v>0.5319683114695728</v>
      </c>
      <c r="N8" s="54">
        <f>ABS(TablaModelos[[#This Row],[B-S]]-TablaModelos[[#This Row],[JR]])</f>
        <v>0.1263067100152373</v>
      </c>
      <c r="O8" s="54">
        <f>ABS(TablaModelos[[#This Row],[B-S]]-TablaModelos[[#This Row],[Binomial]])</f>
        <v>0.42628063645757841</v>
      </c>
      <c r="AE8" s="49"/>
      <c r="AF8" s="49"/>
      <c r="AG8" s="49"/>
      <c r="AH8" s="49"/>
      <c r="AI8" s="49"/>
      <c r="AJ8" s="49"/>
      <c r="AK8" s="56"/>
    </row>
    <row r="9" spans="1:40" x14ac:dyDescent="0.25">
      <c r="A9" s="13" t="s">
        <v>9</v>
      </c>
      <c r="B9" s="14">
        <v>1</v>
      </c>
      <c r="H9">
        <v>8</v>
      </c>
      <c r="I9">
        <f>bsc($B$4,$B$5,$B$6,$B$9,$B$8,$B$7,$B$2)</f>
        <v>13.145893900288087</v>
      </c>
      <c r="J9" s="54">
        <f>CRR($B$4,$B$5,$B$9,$B$6,$B$7,$H9,$B$2)</f>
        <v>12.667900289428683</v>
      </c>
      <c r="K9" s="54">
        <f>JR($B$4,$B$5,$B$9,$B$6,$B$7,$B$8,$H9,$B$2)</f>
        <v>13.371045234395464</v>
      </c>
      <c r="L9" s="54">
        <f>Binomial($B$4,$B$5,$B$9,$B$6,$B$7,$B$8,$H9,$B$2)</f>
        <v>13.205879421989419</v>
      </c>
      <c r="M9" s="54">
        <f>ABS(TablaModelos[[#This Row],[B-S]]-TablaModelos[[#This Row],[CRR]])</f>
        <v>0.47799361085940362</v>
      </c>
      <c r="N9" s="54">
        <f>ABS(TablaModelos[[#This Row],[B-S]]-TablaModelos[[#This Row],[JR]])</f>
        <v>0.22515133410737675</v>
      </c>
      <c r="O9" s="54">
        <f>ABS(TablaModelos[[#This Row],[B-S]]-TablaModelos[[#This Row],[Binomial]])</f>
        <v>5.998552170133209E-2</v>
      </c>
      <c r="AE9" s="49"/>
      <c r="AF9" s="49"/>
      <c r="AG9" s="49"/>
      <c r="AH9" s="49"/>
      <c r="AI9" s="49"/>
      <c r="AJ9" s="49"/>
      <c r="AK9" s="56"/>
    </row>
    <row r="10" spans="1:40" x14ac:dyDescent="0.25">
      <c r="A10" s="13" t="s">
        <v>12</v>
      </c>
      <c r="B10" s="14">
        <v>20</v>
      </c>
      <c r="H10">
        <v>9</v>
      </c>
      <c r="I10">
        <f>bsc($B$4,$B$5,$B$6,$B$9,$B$8,$B$7,$B$2)</f>
        <v>13.145893900288087</v>
      </c>
      <c r="J10" s="54">
        <f>CRR($B$4,$B$5,$B$9,$B$6,$B$7,$H10,$B$2)</f>
        <v>13.55867531510385</v>
      </c>
      <c r="K10" s="54">
        <f>JR($B$4,$B$5,$B$9,$B$6,$B$7,$B$8,$H10,$B$2)</f>
        <v>13.178335380035737</v>
      </c>
      <c r="L10" s="54">
        <f>Binomial($B$4,$B$5,$B$9,$B$6,$B$7,$B$8,$H10,$B$2)</f>
        <v>13.449923896803982</v>
      </c>
      <c r="M10" s="54">
        <f>ABS(TablaModelos[[#This Row],[B-S]]-TablaModelos[[#This Row],[CRR]])</f>
        <v>0.41278141481576291</v>
      </c>
      <c r="N10" s="54">
        <f>ABS(TablaModelos[[#This Row],[B-S]]-TablaModelos[[#This Row],[JR]])</f>
        <v>3.2441479747649993E-2</v>
      </c>
      <c r="O10" s="54">
        <f>ABS(TablaModelos[[#This Row],[B-S]]-TablaModelos[[#This Row],[Binomial]])</f>
        <v>0.30402999651589546</v>
      </c>
      <c r="AE10" s="49"/>
      <c r="AF10" s="49"/>
      <c r="AG10" s="49"/>
      <c r="AH10" s="49"/>
      <c r="AI10" s="49"/>
      <c r="AJ10" s="49"/>
      <c r="AK10" s="56"/>
    </row>
    <row r="11" spans="1:40" x14ac:dyDescent="0.25">
      <c r="A11" s="13" t="s">
        <v>36</v>
      </c>
      <c r="B11" s="50">
        <f>(EXP($B$6*$B$14)-$B$13)/($B$12-$B$13)</f>
        <v>0.47765421542880326</v>
      </c>
      <c r="H11">
        <v>10</v>
      </c>
      <c r="I11">
        <f>bsc($B$4,$B$5,$B$6,$B$9,$B$8,$B$7,$B$2)</f>
        <v>13.145893900288087</v>
      </c>
      <c r="J11" s="54">
        <f>CRR($B$4,$B$5,$B$9,$B$6,$B$7,$H11,$B$2)</f>
        <v>12.761965632362795</v>
      </c>
      <c r="K11" s="54">
        <f>JR($B$4,$B$5,$B$9,$B$6,$B$7,$B$8,$H11,$B$2)</f>
        <v>13.364763885879139</v>
      </c>
      <c r="L11" s="54">
        <f>Binomial($B$4,$B$5,$B$9,$B$6,$B$7,$B$8,$H11,$B$2)</f>
        <v>13.233909839580598</v>
      </c>
      <c r="M11" s="54">
        <f>ABS(TablaModelos[[#This Row],[B-S]]-TablaModelos[[#This Row],[CRR]])</f>
        <v>0.38392826792529178</v>
      </c>
      <c r="N11" s="54">
        <f>ABS(TablaModelos[[#This Row],[B-S]]-TablaModelos[[#This Row],[JR]])</f>
        <v>0.21886998559105209</v>
      </c>
      <c r="O11" s="54">
        <f>ABS(TablaModelos[[#This Row],[B-S]]-TablaModelos[[#This Row],[Binomial]])</f>
        <v>8.8015939292510836E-2</v>
      </c>
      <c r="AE11" s="49"/>
      <c r="AF11" s="49"/>
      <c r="AG11" s="49"/>
      <c r="AH11" s="49"/>
      <c r="AI11" s="49"/>
      <c r="AJ11" s="49"/>
      <c r="AK11" s="56"/>
    </row>
    <row r="12" spans="1:40" x14ac:dyDescent="0.25">
      <c r="A12" s="13" t="s">
        <v>16</v>
      </c>
      <c r="B12" s="26">
        <f>EXP(($B$6-$B$8)*$B$14+$B$7*SQRT($B$14))</f>
        <v>1.0963020231156784</v>
      </c>
      <c r="C12" s="46">
        <v>1.04425425826203</v>
      </c>
      <c r="D12" s="51">
        <f>EXP(($B$6-$B$8-0.5*$B$7^2)*$B$14+$B$7*SQRT($B$14))</f>
        <v>1.0919255737571969</v>
      </c>
      <c r="H12">
        <v>11</v>
      </c>
      <c r="I12">
        <f>bsc($B$4,$B$5,$B$6,$B$9,$B$8,$B$7,$B$2)</f>
        <v>13.145893900288087</v>
      </c>
      <c r="J12" s="54">
        <f>CRR($B$4,$B$5,$B$9,$B$6,$B$7,$H12,$B$2)</f>
        <v>13.483060071393542</v>
      </c>
      <c r="K12" s="54">
        <f>JR($B$4,$B$5,$B$9,$B$6,$B$7,$B$8,$H12,$B$2)</f>
        <v>13.118627472152024</v>
      </c>
      <c r="L12" s="54">
        <f>Binomial($B$4,$B$5,$B$9,$B$6,$B$7,$B$8,$H12,$B$2)</f>
        <v>13.37238869617839</v>
      </c>
      <c r="M12" s="54">
        <f>ABS(TablaModelos[[#This Row],[B-S]]-TablaModelos[[#This Row],[CRR]])</f>
        <v>0.33716617110545499</v>
      </c>
      <c r="N12" s="54">
        <f>ABS(TablaModelos[[#This Row],[B-S]]-TablaModelos[[#This Row],[JR]])</f>
        <v>2.7266428136062615E-2</v>
      </c>
      <c r="O12" s="54">
        <f>ABS(TablaModelos[[#This Row],[B-S]]-TablaModelos[[#This Row],[Binomial]])</f>
        <v>0.22649479589030364</v>
      </c>
      <c r="AE12" s="49"/>
      <c r="AF12" s="49"/>
      <c r="AG12" s="49"/>
      <c r="AH12" s="49"/>
      <c r="AI12" s="49"/>
      <c r="AJ12" s="49"/>
      <c r="AK12" s="56"/>
    </row>
    <row r="13" spans="1:40" x14ac:dyDescent="0.25">
      <c r="A13" s="13" t="s">
        <v>18</v>
      </c>
      <c r="B13" s="26">
        <f>EXP(($B$6-$B$8)*$B$14-$B$7*SQRT($B$14))</f>
        <v>0.91672960522609126</v>
      </c>
      <c r="C13" s="46">
        <v>0.95762118477191482</v>
      </c>
      <c r="D13" s="51">
        <f>EXP(($B$6-$B$8-0.5*$B$7^2)*$B$14-$B$7*SQRT($B$14))</f>
        <v>0.91307001087335027</v>
      </c>
      <c r="H13">
        <v>12</v>
      </c>
      <c r="I13">
        <f>bsc($B$4,$B$5,$B$6,$B$9,$B$8,$B$7,$B$2)</f>
        <v>13.145893900288087</v>
      </c>
      <c r="J13" s="54">
        <f>CRR($B$4,$B$5,$B$9,$B$6,$B$7,$H13,$B$2)</f>
        <v>12.825131716013431</v>
      </c>
      <c r="K13" s="54">
        <f>JR($B$4,$B$5,$B$9,$B$6,$B$7,$B$8,$H13,$B$2)</f>
        <v>13.352754772596494</v>
      </c>
      <c r="L13" s="54">
        <f>Binomial($B$4,$B$5,$B$9,$B$6,$B$7,$B$8,$H13,$B$2)</f>
        <v>13.247603136691088</v>
      </c>
      <c r="M13" s="54">
        <f>ABS(TablaModelos[[#This Row],[B-S]]-TablaModelos[[#This Row],[CRR]])</f>
        <v>0.32076218427465619</v>
      </c>
      <c r="N13" s="54">
        <f>ABS(TablaModelos[[#This Row],[B-S]]-TablaModelos[[#This Row],[JR]])</f>
        <v>0.20686087230840755</v>
      </c>
      <c r="O13" s="54">
        <f>ABS(TablaModelos[[#This Row],[B-S]]-TablaModelos[[#This Row],[Binomial]])</f>
        <v>0.10170923640300167</v>
      </c>
      <c r="AE13" s="49"/>
      <c r="AF13" s="49"/>
      <c r="AG13" s="49"/>
      <c r="AH13" s="49"/>
      <c r="AI13" s="49"/>
      <c r="AJ13" s="49"/>
      <c r="AK13" s="56"/>
    </row>
    <row r="14" spans="1:40" x14ac:dyDescent="0.25">
      <c r="A14" s="13" t="s">
        <v>3</v>
      </c>
      <c r="B14" s="50">
        <f>B9/B10</f>
        <v>0.05</v>
      </c>
      <c r="H14">
        <v>13</v>
      </c>
      <c r="I14">
        <f>bsc($B$4,$B$5,$B$6,$B$9,$B$8,$B$7,$B$2)</f>
        <v>13.145893900288087</v>
      </c>
      <c r="J14" s="54">
        <f>CRR($B$4,$B$5,$B$9,$B$6,$B$7,$H14,$B$2)</f>
        <v>13.430835157732693</v>
      </c>
      <c r="K14" s="54">
        <f>JR($B$4,$B$5,$B$9,$B$6,$B$7,$B$8,$H14,$B$2)</f>
        <v>13.077321388989805</v>
      </c>
      <c r="L14" s="54">
        <f>Binomial($B$4,$B$5,$B$9,$B$6,$B$7,$B$8,$H14,$B$2)</f>
        <v>13.318847916093166</v>
      </c>
      <c r="M14" s="54">
        <f>ABS(TablaModelos[[#This Row],[B-S]]-TablaModelos[[#This Row],[CRR]])</f>
        <v>0.28494125744460597</v>
      </c>
      <c r="N14" s="54">
        <f>ABS(TablaModelos[[#This Row],[B-S]]-TablaModelos[[#This Row],[JR]])</f>
        <v>6.8572511298281569E-2</v>
      </c>
      <c r="O14" s="54">
        <f>ABS(TablaModelos[[#This Row],[B-S]]-TablaModelos[[#This Row],[Binomial]])</f>
        <v>0.17295401580507885</v>
      </c>
      <c r="AE14" s="49"/>
      <c r="AF14" s="49"/>
      <c r="AG14" s="49"/>
      <c r="AH14" s="49"/>
      <c r="AI14" s="49"/>
      <c r="AJ14" s="49"/>
      <c r="AK14" s="56"/>
    </row>
    <row r="15" spans="1:40" x14ac:dyDescent="0.25">
      <c r="A15" t="s">
        <v>50</v>
      </c>
      <c r="H15">
        <v>14</v>
      </c>
      <c r="I15">
        <f>bsc($B$4,$B$5,$B$6,$B$9,$B$8,$B$7,$B$2)</f>
        <v>13.145893900288087</v>
      </c>
      <c r="J15" s="54">
        <f>CRR($B$4,$B$5,$B$9,$B$6,$B$7,$H15,$B$2)</f>
        <v>12.870464717587668</v>
      </c>
      <c r="K15" s="54">
        <f>JR($B$4,$B$5,$B$9,$B$6,$B$7,$B$8,$H15,$B$2)</f>
        <v>13.339071482310683</v>
      </c>
      <c r="L15" s="54">
        <f>Binomial($B$4,$B$5,$B$9,$B$6,$B$7,$B$8,$H15,$B$2)</f>
        <v>13.254095719514627</v>
      </c>
      <c r="M15" s="54">
        <f>ABS(TablaModelos[[#This Row],[B-S]]-TablaModelos[[#This Row],[CRR]])</f>
        <v>0.27542918270041916</v>
      </c>
      <c r="N15" s="54">
        <f>ABS(TablaModelos[[#This Row],[B-S]]-TablaModelos[[#This Row],[JR]])</f>
        <v>0.19317758202259583</v>
      </c>
      <c r="O15" s="54">
        <f>ABS(TablaModelos[[#This Row],[B-S]]-TablaModelos[[#This Row],[Binomial]])</f>
        <v>0.10820181922654015</v>
      </c>
      <c r="AE15" s="49"/>
      <c r="AF15" s="49"/>
      <c r="AG15" s="49"/>
      <c r="AH15" s="49"/>
      <c r="AI15" s="49"/>
      <c r="AJ15" s="49"/>
      <c r="AK15" s="56"/>
    </row>
    <row r="16" spans="1:40" x14ac:dyDescent="0.25">
      <c r="H16">
        <v>15</v>
      </c>
      <c r="I16">
        <f>bsc($B$4,$B$5,$B$6,$B$9,$B$8,$B$7,$B$2)</f>
        <v>13.145893900288087</v>
      </c>
      <c r="J16" s="54">
        <f>CRR($B$4,$B$5,$B$9,$B$6,$B$7,$H16,$B$2)</f>
        <v>13.392608185925519</v>
      </c>
      <c r="K16" s="54">
        <f>JR($B$4,$B$5,$B$9,$B$6,$B$7,$B$8,$H16,$B$2)</f>
        <v>13.047052771875325</v>
      </c>
      <c r="L16" s="54">
        <f>Binomial($B$4,$B$5,$B$9,$B$6,$B$7,$B$8,$H16,$B$2)</f>
        <v>13.279662835781092</v>
      </c>
      <c r="M16" s="54">
        <f>ABS(TablaModelos[[#This Row],[B-S]]-TablaModelos[[#This Row],[CRR]])</f>
        <v>0.2467142856374327</v>
      </c>
      <c r="N16" s="54">
        <f>ABS(TablaModelos[[#This Row],[B-S]]-TablaModelos[[#This Row],[JR]])</f>
        <v>9.8841128412761492E-2</v>
      </c>
      <c r="O16" s="54">
        <f>ABS(TablaModelos[[#This Row],[B-S]]-TablaModelos[[#This Row],[Binomial]])</f>
        <v>0.13376893549300561</v>
      </c>
      <c r="AE16" s="49"/>
      <c r="AF16" s="49"/>
      <c r="AG16" s="49"/>
      <c r="AH16" s="49"/>
      <c r="AI16" s="49"/>
      <c r="AJ16" s="49"/>
      <c r="AK16" s="56"/>
    </row>
    <row r="17" spans="1:37" x14ac:dyDescent="0.25">
      <c r="A17" s="26" t="s">
        <v>49</v>
      </c>
      <c r="H17">
        <v>16</v>
      </c>
      <c r="I17">
        <f>bsc($B$4,$B$5,$B$6,$B$9,$B$8,$B$7,$B$2)</f>
        <v>13.145893900288087</v>
      </c>
      <c r="J17" s="54">
        <f>CRR($B$4,$B$5,$B$9,$B$6,$B$7,$H17,$B$2)</f>
        <v>12.904578108840894</v>
      </c>
      <c r="K17" s="54">
        <f>JR($B$4,$B$5,$B$9,$B$6,$B$7,$B$8,$H17,$B$2)</f>
        <v>13.325265992280297</v>
      </c>
      <c r="L17" s="54">
        <f>Binomial($B$4,$B$5,$B$9,$B$6,$B$7,$B$8,$H17,$B$2)</f>
        <v>13.256670908629486</v>
      </c>
      <c r="M17" s="54">
        <f>ABS(TablaModelos[[#This Row],[B-S]]-TablaModelos[[#This Row],[CRR]])</f>
        <v>0.2413157914471924</v>
      </c>
      <c r="N17" s="54">
        <f>ABS(TablaModelos[[#This Row],[B-S]]-TablaModelos[[#This Row],[JR]])</f>
        <v>0.17937209199221016</v>
      </c>
      <c r="O17" s="54">
        <f>ABS(TablaModelos[[#This Row],[B-S]]-TablaModelos[[#This Row],[Binomial]])</f>
        <v>0.11077700834139925</v>
      </c>
      <c r="AE17" s="49"/>
      <c r="AF17" s="49"/>
      <c r="AG17" s="49"/>
      <c r="AH17" s="49"/>
      <c r="AI17" s="49"/>
      <c r="AJ17" s="49"/>
      <c r="AK17" s="56"/>
    </row>
    <row r="18" spans="1:37" x14ac:dyDescent="0.25">
      <c r="H18">
        <v>17</v>
      </c>
      <c r="I18">
        <f>bsc($B$4,$B$5,$B$6,$B$9,$B$8,$B$7,$B$2)</f>
        <v>13.145893900288087</v>
      </c>
      <c r="J18" s="54">
        <f>CRR($B$4,$B$5,$B$9,$B$6,$B$7,$H18,$B$2)</f>
        <v>13.363419323146731</v>
      </c>
      <c r="K18" s="54">
        <f>JR($B$4,$B$5,$B$9,$B$6,$B$7,$B$8,$H18,$B$2)</f>
        <v>13.023921885971093</v>
      </c>
      <c r="L18" s="54">
        <f>Binomial($B$4,$B$5,$B$9,$B$6,$B$7,$B$8,$H18,$B$2)</f>
        <v>13.2497451867967</v>
      </c>
      <c r="M18" s="54">
        <f>ABS(TablaModelos[[#This Row],[B-S]]-TablaModelos[[#This Row],[CRR]])</f>
        <v>0.21752542285864429</v>
      </c>
      <c r="N18" s="54">
        <f>ABS(TablaModelos[[#This Row],[B-S]]-TablaModelos[[#This Row],[JR]])</f>
        <v>0.12197201431699334</v>
      </c>
      <c r="O18" s="54">
        <f>ABS(TablaModelos[[#This Row],[B-S]]-TablaModelos[[#This Row],[Binomial]])</f>
        <v>0.10385128650861297</v>
      </c>
      <c r="AE18" s="49"/>
      <c r="AF18" s="49"/>
      <c r="AG18" s="49"/>
      <c r="AH18" s="49"/>
      <c r="AI18" s="49"/>
      <c r="AJ18" s="49"/>
      <c r="AK18" s="56"/>
    </row>
    <row r="19" spans="1:37" x14ac:dyDescent="0.25">
      <c r="H19">
        <v>18</v>
      </c>
      <c r="I19">
        <f>bsc($B$4,$B$5,$B$6,$B$9,$B$8,$B$7,$B$2)</f>
        <v>13.145893900288087</v>
      </c>
      <c r="J19" s="54">
        <f>CRR($B$4,$B$5,$B$9,$B$6,$B$7,$H19,$B$2)</f>
        <v>12.931176457412281</v>
      </c>
      <c r="K19" s="54">
        <f>JR($B$4,$B$5,$B$9,$B$6,$B$7,$B$8,$H19,$B$2)</f>
        <v>13.311953500120101</v>
      </c>
      <c r="L19" s="54">
        <f>Binomial($B$4,$B$5,$B$9,$B$6,$B$7,$B$8,$H19,$B$2)</f>
        <v>13.257000623462721</v>
      </c>
      <c r="M19" s="54">
        <f>ABS(TablaModelos[[#This Row],[B-S]]-TablaModelos[[#This Row],[CRR]])</f>
        <v>0.21471744287580563</v>
      </c>
      <c r="N19" s="54">
        <f>ABS(TablaModelos[[#This Row],[B-S]]-TablaModelos[[#This Row],[JR]])</f>
        <v>0.16605959983201402</v>
      </c>
      <c r="O19" s="54">
        <f>ABS(TablaModelos[[#This Row],[B-S]]-TablaModelos[[#This Row],[Binomial]])</f>
        <v>0.11110672317463433</v>
      </c>
      <c r="AE19" s="49"/>
      <c r="AF19" s="49"/>
      <c r="AG19" s="49"/>
      <c r="AH19" s="49"/>
      <c r="AI19" s="49"/>
      <c r="AJ19" s="49"/>
      <c r="AK19" s="56"/>
    </row>
    <row r="20" spans="1:37" x14ac:dyDescent="0.25">
      <c r="H20">
        <v>19</v>
      </c>
      <c r="I20">
        <f>bsc($B$4,$B$5,$B$6,$B$9,$B$8,$B$7,$B$2)</f>
        <v>13.145893900288087</v>
      </c>
      <c r="J20" s="54">
        <f>CRR($B$4,$B$5,$B$9,$B$6,$B$7,$H20,$B$2)</f>
        <v>13.340403446603499</v>
      </c>
      <c r="K20" s="54">
        <f>JR($B$4,$B$5,$B$9,$B$6,$B$7,$B$8,$H20,$B$2)</f>
        <v>13.005671605571573</v>
      </c>
      <c r="L20" s="54">
        <f>Binomial($B$4,$B$5,$B$9,$B$6,$B$7,$B$8,$H20,$B$2)</f>
        <v>13.226156315939384</v>
      </c>
      <c r="M20" s="54">
        <f>ABS(TablaModelos[[#This Row],[B-S]]-TablaModelos[[#This Row],[CRR]])</f>
        <v>0.19450954631541251</v>
      </c>
      <c r="N20" s="54">
        <f>ABS(TablaModelos[[#This Row],[B-S]]-TablaModelos[[#This Row],[JR]])</f>
        <v>0.14022229471651393</v>
      </c>
      <c r="O20" s="54">
        <f>ABS(TablaModelos[[#This Row],[B-S]]-TablaModelos[[#This Row],[Binomial]])</f>
        <v>8.0262415651297658E-2</v>
      </c>
      <c r="AE20" s="49"/>
      <c r="AF20" s="49"/>
      <c r="AG20" s="49"/>
      <c r="AH20" s="49"/>
      <c r="AI20" s="49"/>
      <c r="AJ20" s="49"/>
      <c r="AK20" s="56"/>
    </row>
    <row r="21" spans="1:37" x14ac:dyDescent="0.25">
      <c r="H21">
        <v>20</v>
      </c>
      <c r="I21">
        <f>bsc($B$4,$B$5,$B$6,$B$9,$B$8,$B$7,$B$2)</f>
        <v>13.145893900288087</v>
      </c>
      <c r="J21" s="54">
        <f>CRR($B$4,$B$5,$B$9,$B$6,$B$7,$H21,$B$2)</f>
        <v>12.952495722878378</v>
      </c>
      <c r="K21" s="54">
        <f>JR($B$4,$B$5,$B$9,$B$6,$B$7,$B$8,$H21,$B$2)</f>
        <v>13.299363819938559</v>
      </c>
      <c r="L21" s="54">
        <f>Binomial($B$4,$B$5,$B$9,$B$6,$B$7,$B$8,$H21,$B$2)</f>
        <v>13.2560008487507</v>
      </c>
      <c r="M21" s="54">
        <f>ABS(TablaModelos[[#This Row],[B-S]]-TablaModelos[[#This Row],[CRR]])</f>
        <v>0.19339817740970844</v>
      </c>
      <c r="N21" s="54">
        <f>ABS(TablaModelos[[#This Row],[B-S]]-TablaModelos[[#This Row],[JR]])</f>
        <v>0.15346991965047252</v>
      </c>
      <c r="O21" s="54">
        <f>ABS(TablaModelos[[#This Row],[B-S]]-TablaModelos[[#This Row],[Binomial]])</f>
        <v>0.11010694846261337</v>
      </c>
      <c r="AE21" s="49"/>
      <c r="AF21" s="49"/>
      <c r="AG21" s="49"/>
      <c r="AH21" s="49"/>
      <c r="AI21" s="49"/>
      <c r="AJ21" s="49"/>
      <c r="AK21" s="56"/>
    </row>
    <row r="22" spans="1:37" x14ac:dyDescent="0.25">
      <c r="A22" t="s">
        <v>51</v>
      </c>
      <c r="H22">
        <v>21</v>
      </c>
      <c r="I22">
        <f>bsc($B$4,$B$5,$B$6,$B$9,$B$8,$B$7,$B$2)</f>
        <v>13.145893900288087</v>
      </c>
      <c r="J22" s="54">
        <f>CRR($B$4,$B$5,$B$9,$B$6,$B$7,$H22,$B$2)</f>
        <v>13.321790286446838</v>
      </c>
      <c r="K22" s="54">
        <f>JR($B$4,$B$5,$B$9,$B$6,$B$7,$B$8,$H22,$B$2)</f>
        <v>12.990905320456715</v>
      </c>
      <c r="L22" s="54">
        <f>Binomial($B$4,$B$5,$B$9,$B$6,$B$7,$B$8,$H22,$B$2)</f>
        <v>13.207080822657499</v>
      </c>
      <c r="M22" s="54">
        <f>ABS(TablaModelos[[#This Row],[B-S]]-TablaModelos[[#This Row],[CRR]])</f>
        <v>0.17589638615875103</v>
      </c>
      <c r="N22" s="54">
        <f>ABS(TablaModelos[[#This Row],[B-S]]-TablaModelos[[#This Row],[JR]])</f>
        <v>0.15498857983137171</v>
      </c>
      <c r="O22" s="54">
        <f>ABS(TablaModelos[[#This Row],[B-S]]-TablaModelos[[#This Row],[Binomial]])</f>
        <v>6.1186922369412144E-2</v>
      </c>
      <c r="AE22" s="49"/>
      <c r="AF22" s="49"/>
      <c r="AG22" s="49"/>
      <c r="AH22" s="49"/>
      <c r="AI22" s="49"/>
      <c r="AJ22" s="49"/>
      <c r="AK22" s="56"/>
    </row>
    <row r="23" spans="1:37" x14ac:dyDescent="0.25">
      <c r="A23" s="47" t="s">
        <v>45</v>
      </c>
      <c r="H23">
        <v>22</v>
      </c>
      <c r="I23">
        <f>bsc($B$4,$B$5,$B$6,$B$9,$B$8,$B$7,$B$2)</f>
        <v>13.145893900288087</v>
      </c>
      <c r="J23" s="54">
        <f>CRR($B$4,$B$5,$B$9,$B$6,$B$7,$H23,$B$2)</f>
        <v>12.969965158559864</v>
      </c>
      <c r="K23" s="54">
        <f>JR($B$4,$B$5,$B$9,$B$6,$B$7,$B$8,$H23,$B$2)</f>
        <v>13.287559465495844</v>
      </c>
      <c r="L23" s="54">
        <f>Binomial($B$4,$B$5,$B$9,$B$6,$B$7,$B$8,$H23,$B$2)</f>
        <v>13.254201544815183</v>
      </c>
      <c r="M23" s="54">
        <f>ABS(TablaModelos[[#This Row],[B-S]]-TablaModelos[[#This Row],[CRR]])</f>
        <v>0.1759287417282227</v>
      </c>
      <c r="N23" s="54">
        <f>ABS(TablaModelos[[#This Row],[B-S]]-TablaModelos[[#This Row],[JR]])</f>
        <v>0.14166556520775764</v>
      </c>
      <c r="O23" s="54">
        <f>ABS(TablaModelos[[#This Row],[B-S]]-TablaModelos[[#This Row],[Binomial]])</f>
        <v>0.10830764452709651</v>
      </c>
      <c r="AE23" s="49"/>
      <c r="AF23" s="49"/>
      <c r="AG23" s="49"/>
      <c r="AH23" s="49"/>
      <c r="AI23" s="49"/>
      <c r="AJ23" s="49"/>
      <c r="AK23" s="56"/>
    </row>
    <row r="24" spans="1:37" x14ac:dyDescent="0.25">
      <c r="H24">
        <v>23</v>
      </c>
      <c r="I24">
        <f>bsc($B$4,$B$5,$B$6,$B$9,$B$8,$B$7,$B$2)</f>
        <v>13.145893900288087</v>
      </c>
      <c r="J24" s="54">
        <f>CRR($B$4,$B$5,$B$9,$B$6,$B$7,$H24,$B$2)</f>
        <v>13.30642720874325</v>
      </c>
      <c r="K24" s="54">
        <f>JR($B$4,$B$5,$B$9,$B$6,$B$7,$B$8,$H24,$B$2)</f>
        <v>12.978712685598206</v>
      </c>
      <c r="L24" s="54">
        <f>Binomial($B$4,$B$5,$B$9,$B$6,$B$7,$B$8,$H24,$B$2)</f>
        <v>13.191336838651639</v>
      </c>
      <c r="M24" s="54">
        <f>ABS(TablaModelos[[#This Row],[B-S]]-TablaModelos[[#This Row],[CRR]])</f>
        <v>0.16053330845516278</v>
      </c>
      <c r="N24" s="54">
        <f>ABS(TablaModelos[[#This Row],[B-S]]-TablaModelos[[#This Row],[JR]])</f>
        <v>0.16718121468988123</v>
      </c>
      <c r="O24" s="54">
        <f>ABS(TablaModelos[[#This Row],[B-S]]-TablaModelos[[#This Row],[Binomial]])</f>
        <v>4.5442938363551733E-2</v>
      </c>
      <c r="AE24" s="49"/>
      <c r="AF24" s="49"/>
      <c r="AG24" s="49"/>
      <c r="AH24" s="49"/>
      <c r="AI24" s="49"/>
      <c r="AJ24" s="49"/>
      <c r="AK24" s="56"/>
    </row>
    <row r="25" spans="1:37" x14ac:dyDescent="0.25">
      <c r="H25">
        <v>24</v>
      </c>
      <c r="I25">
        <f>bsc($B$4,$B$5,$B$6,$B$9,$B$8,$B$7,$B$2)</f>
        <v>13.145893900288087</v>
      </c>
      <c r="J25" s="54">
        <f>CRR($B$4,$B$5,$B$9,$B$6,$B$7,$H25,$B$2)</f>
        <v>12.984540925751919</v>
      </c>
      <c r="K25" s="54">
        <f>JR($B$4,$B$5,$B$9,$B$6,$B$7,$B$8,$H25,$B$2)</f>
        <v>13.276529136914744</v>
      </c>
      <c r="L25" s="54">
        <f>Binomial($B$4,$B$5,$B$9,$B$6,$B$7,$B$8,$H25,$B$2)</f>
        <v>13.251922280639876</v>
      </c>
      <c r="M25" s="54">
        <f>ABS(TablaModelos[[#This Row],[B-S]]-TablaModelos[[#This Row],[CRR]])</f>
        <v>0.16135297453616815</v>
      </c>
      <c r="N25" s="54">
        <f>ABS(TablaModelos[[#This Row],[B-S]]-TablaModelos[[#This Row],[JR]])</f>
        <v>0.13063523662665766</v>
      </c>
      <c r="O25" s="54">
        <f>ABS(TablaModelos[[#This Row],[B-S]]-TablaModelos[[#This Row],[Binomial]])</f>
        <v>0.10602838035178941</v>
      </c>
      <c r="AE25" s="49"/>
      <c r="AF25" s="49"/>
      <c r="AG25" s="49"/>
      <c r="AH25" s="49"/>
      <c r="AI25" s="49"/>
      <c r="AJ25" s="49"/>
      <c r="AK25" s="56"/>
    </row>
    <row r="26" spans="1:37" x14ac:dyDescent="0.25">
      <c r="H26">
        <v>25</v>
      </c>
      <c r="I26">
        <f>bsc($B$4,$B$5,$B$6,$B$9,$B$8,$B$7,$B$2)</f>
        <v>13.145893900288087</v>
      </c>
      <c r="J26" s="54">
        <f>CRR($B$4,$B$5,$B$9,$B$6,$B$7,$H26,$B$2)</f>
        <v>13.293531530744222</v>
      </c>
      <c r="K26" s="54">
        <f>JR($B$4,$B$5,$B$9,$B$6,$B$7,$B$8,$H26,$B$2)</f>
        <v>12.968475001375358</v>
      </c>
      <c r="L26" s="54">
        <f>Binomial($B$4,$B$5,$B$9,$B$6,$B$7,$B$8,$H26,$B$2)</f>
        <v>13.178121910763466</v>
      </c>
      <c r="M26" s="54">
        <f>ABS(TablaModelos[[#This Row],[B-S]]-TablaModelos[[#This Row],[CRR]])</f>
        <v>0.14763763045613487</v>
      </c>
      <c r="N26" s="54">
        <f>ABS(TablaModelos[[#This Row],[B-S]]-TablaModelos[[#This Row],[JR]])</f>
        <v>0.17741889891272855</v>
      </c>
      <c r="O26" s="54">
        <f>ABS(TablaModelos[[#This Row],[B-S]]-TablaModelos[[#This Row],[Binomial]])</f>
        <v>3.222801047537871E-2</v>
      </c>
      <c r="AE26" s="49"/>
      <c r="AF26" s="49"/>
      <c r="AG26" s="49"/>
      <c r="AH26" s="49"/>
      <c r="AI26" s="49"/>
      <c r="AJ26" s="49"/>
      <c r="AK26" s="56"/>
    </row>
    <row r="27" spans="1:37" x14ac:dyDescent="0.25">
      <c r="H27">
        <v>26</v>
      </c>
      <c r="I27">
        <f>bsc($B$4,$B$5,$B$6,$B$9,$B$8,$B$7,$B$2)</f>
        <v>13.145893900288087</v>
      </c>
      <c r="J27" s="54">
        <f>CRR($B$4,$B$5,$B$9,$B$6,$B$7,$H27,$B$2)</f>
        <v>12.996886833628459</v>
      </c>
      <c r="K27" s="54">
        <f>JR($B$4,$B$5,$B$9,$B$6,$B$7,$B$8,$H27,$B$2)</f>
        <v>13.266230056071755</v>
      </c>
      <c r="L27" s="54">
        <f>Binomial($B$4,$B$5,$B$9,$B$6,$B$7,$B$8,$H27,$B$2)</f>
        <v>13.24936191591806</v>
      </c>
      <c r="M27" s="54">
        <f>ABS(TablaModelos[[#This Row],[B-S]]-TablaModelos[[#This Row],[CRR]])</f>
        <v>0.14900706665962815</v>
      </c>
      <c r="N27" s="54">
        <f>ABS(TablaModelos[[#This Row],[B-S]]-TablaModelos[[#This Row],[JR]])</f>
        <v>0.12033615578366863</v>
      </c>
      <c r="O27" s="54">
        <f>ABS(TablaModelos[[#This Row],[B-S]]-TablaModelos[[#This Row],[Binomial]])</f>
        <v>0.10346801562997321</v>
      </c>
      <c r="AE27" s="49"/>
      <c r="AF27" s="49"/>
      <c r="AG27" s="49"/>
      <c r="AH27" s="49"/>
      <c r="AI27" s="49"/>
      <c r="AJ27" s="49"/>
      <c r="AK27" s="49"/>
    </row>
    <row r="28" spans="1:37" x14ac:dyDescent="0.25">
      <c r="H28">
        <v>27</v>
      </c>
      <c r="I28">
        <f>bsc($B$4,$B$5,$B$6,$B$9,$B$8,$B$7,$B$2)</f>
        <v>13.145893900288087</v>
      </c>
      <c r="J28" s="54">
        <f>CRR($B$4,$B$5,$B$9,$B$6,$B$7,$H28,$B$2)</f>
        <v>13.282553153010255</v>
      </c>
      <c r="K28" s="54">
        <f>JR($B$4,$B$5,$B$9,$B$6,$B$7,$B$8,$H28,$B$2)</f>
        <v>13.00332712389749</v>
      </c>
      <c r="L28" s="54">
        <f>Binomial($B$4,$B$5,$B$9,$B$6,$B$7,$B$8,$H28,$B$2)</f>
        <v>13.166872090212138</v>
      </c>
      <c r="M28" s="54">
        <f>ABS(TablaModelos[[#This Row],[B-S]]-TablaModelos[[#This Row],[CRR]])</f>
        <v>0.13665925272216839</v>
      </c>
      <c r="N28" s="54">
        <f>ABS(TablaModelos[[#This Row],[B-S]]-TablaModelos[[#This Row],[JR]])</f>
        <v>0.14256677639059667</v>
      </c>
      <c r="O28" s="54">
        <f>ABS(TablaModelos[[#This Row],[B-S]]-TablaModelos[[#This Row],[Binomial]])</f>
        <v>2.0978189924051094E-2</v>
      </c>
      <c r="AE28" s="49"/>
      <c r="AF28" s="49"/>
      <c r="AG28" s="49"/>
      <c r="AH28" s="49"/>
      <c r="AI28" s="49"/>
      <c r="AJ28" s="49"/>
      <c r="AK28" s="49"/>
    </row>
    <row r="29" spans="1:37" x14ac:dyDescent="0.25">
      <c r="A29" t="s">
        <v>54</v>
      </c>
      <c r="H29">
        <v>28</v>
      </c>
      <c r="I29">
        <f>bsc($B$4,$B$5,$B$6,$B$9,$B$8,$B$7,$B$2)</f>
        <v>13.145893900288087</v>
      </c>
      <c r="J29" s="54">
        <f>CRR($B$4,$B$5,$B$9,$B$6,$B$7,$H29,$B$2)</f>
        <v>13.007478117746983</v>
      </c>
      <c r="K29" s="54">
        <f>JR($B$4,$B$5,$B$9,$B$6,$B$7,$B$8,$H29,$B$2)</f>
        <v>13.256607780699207</v>
      </c>
      <c r="L29" s="54">
        <f>Binomial($B$4,$B$5,$B$9,$B$6,$B$7,$B$8,$H29,$B$2)</f>
        <v>13.246647137626322</v>
      </c>
      <c r="M29" s="54">
        <f>ABS(TablaModelos[[#This Row],[B-S]]-TablaModelos[[#This Row],[CRR]])</f>
        <v>0.13841578254110409</v>
      </c>
      <c r="N29" s="54">
        <f>ABS(TablaModelos[[#This Row],[B-S]]-TablaModelos[[#This Row],[JR]])</f>
        <v>0.11071388041112051</v>
      </c>
      <c r="O29" s="54">
        <f>ABS(TablaModelos[[#This Row],[B-S]]-TablaModelos[[#This Row],[Binomial]])</f>
        <v>0.10075323733823538</v>
      </c>
      <c r="AE29" s="49"/>
      <c r="AF29" s="49"/>
      <c r="AG29" s="49"/>
      <c r="AH29" s="49"/>
      <c r="AI29" s="49"/>
      <c r="AJ29" s="49"/>
      <c r="AK29" s="49"/>
    </row>
    <row r="30" spans="1:37" x14ac:dyDescent="0.25">
      <c r="A30" s="45" t="s">
        <v>44</v>
      </c>
      <c r="H30">
        <v>29</v>
      </c>
      <c r="I30">
        <f>bsc($B$4,$B$5,$B$6,$B$9,$B$8,$B$7,$B$2)</f>
        <v>13.145893900288087</v>
      </c>
      <c r="J30" s="54">
        <f>CRR($B$4,$B$5,$B$9,$B$6,$B$7,$H30,$B$2)</f>
        <v>13.273094156708597</v>
      </c>
      <c r="K30" s="54">
        <f>JR($B$4,$B$5,$B$9,$B$6,$B$7,$B$8,$H30,$B$2)</f>
        <v>13.03186814658519</v>
      </c>
      <c r="L30" s="54">
        <f>Binomial($B$4,$B$5,$B$9,$B$6,$B$7,$B$8,$H30,$B$2)</f>
        <v>13.157179467681535</v>
      </c>
      <c r="M30" s="54">
        <f>ABS(TablaModelos[[#This Row],[B-S]]-TablaModelos[[#This Row],[CRR]])</f>
        <v>0.12720025642050992</v>
      </c>
      <c r="N30" s="54">
        <f>ABS(TablaModelos[[#This Row],[B-S]]-TablaModelos[[#This Row],[JR]])</f>
        <v>0.11402575370289725</v>
      </c>
      <c r="O30" s="54">
        <f>ABS(TablaModelos[[#This Row],[B-S]]-TablaModelos[[#This Row],[Binomial]])</f>
        <v>1.1285567393448659E-2</v>
      </c>
      <c r="AE30" s="49"/>
      <c r="AF30" s="49"/>
      <c r="AG30" s="49"/>
      <c r="AH30" s="49"/>
      <c r="AI30" s="49"/>
      <c r="AJ30" s="49"/>
      <c r="AK30" s="49"/>
    </row>
    <row r="31" spans="1:37" x14ac:dyDescent="0.25">
      <c r="H31">
        <v>30</v>
      </c>
      <c r="I31">
        <f>bsc($B$4,$B$5,$B$6,$B$9,$B$8,$B$7,$B$2)</f>
        <v>13.145893900288087</v>
      </c>
      <c r="J31" s="54">
        <f>CRR($B$4,$B$5,$B$9,$B$6,$B$7,$H31,$B$2)</f>
        <v>13.016663949930026</v>
      </c>
      <c r="K31" s="54">
        <f>JR($B$4,$B$5,$B$9,$B$6,$B$7,$B$8,$H31,$B$2)</f>
        <v>13.247605573203485</v>
      </c>
      <c r="L31" s="54">
        <f>Binomial($B$4,$B$5,$B$9,$B$6,$B$7,$B$8,$H31,$B$2)</f>
        <v>13.243860006662672</v>
      </c>
      <c r="M31" s="54">
        <f>ABS(TablaModelos[[#This Row],[B-S]]-TablaModelos[[#This Row],[CRR]])</f>
        <v>0.12922995035806117</v>
      </c>
      <c r="N31" s="54">
        <f>ABS(TablaModelos[[#This Row],[B-S]]-TablaModelos[[#This Row],[JR]])</f>
        <v>0.10171167291539795</v>
      </c>
      <c r="O31" s="54">
        <f>ABS(TablaModelos[[#This Row],[B-S]]-TablaModelos[[#This Row],[Binomial]])</f>
        <v>9.7966106374585138E-2</v>
      </c>
      <c r="AE31" s="49"/>
      <c r="AF31" s="49"/>
      <c r="AG31" s="49"/>
      <c r="AH31" s="49"/>
      <c r="AI31" s="49"/>
      <c r="AJ31" s="49"/>
      <c r="AK31" s="49"/>
    </row>
    <row r="32" spans="1:37" x14ac:dyDescent="0.25">
      <c r="H32">
        <v>31</v>
      </c>
      <c r="I32">
        <f>bsc($B$4,$B$5,$B$6,$B$9,$B$8,$B$7,$B$2)</f>
        <v>13.145893900288087</v>
      </c>
      <c r="J32" s="54">
        <f>CRR($B$4,$B$5,$B$9,$B$6,$B$7,$H32,$B$2)</f>
        <v>13.26485959216391</v>
      </c>
      <c r="K32" s="54">
        <f>JR($B$4,$B$5,$B$9,$B$6,$B$7,$B$8,$H32,$B$2)</f>
        <v>13.055459876903427</v>
      </c>
      <c r="L32" s="54">
        <f>Binomial($B$4,$B$5,$B$9,$B$6,$B$7,$B$8,$H32,$B$2)</f>
        <v>13.148741705405678</v>
      </c>
      <c r="M32" s="54">
        <f>ABS(TablaModelos[[#This Row],[B-S]]-TablaModelos[[#This Row],[CRR]])</f>
        <v>0.11896569187582351</v>
      </c>
      <c r="N32" s="54">
        <f>ABS(TablaModelos[[#This Row],[B-S]]-TablaModelos[[#This Row],[JR]])</f>
        <v>9.0434023384659667E-2</v>
      </c>
      <c r="O32" s="54">
        <f>ABS(TablaModelos[[#This Row],[B-S]]-TablaModelos[[#This Row],[Binomial]])</f>
        <v>2.8478051175913066E-3</v>
      </c>
      <c r="AE32" s="49"/>
      <c r="AF32" s="49"/>
      <c r="AG32" s="49"/>
      <c r="AH32" s="49"/>
      <c r="AI32" s="49"/>
      <c r="AJ32" s="49"/>
      <c r="AK32" s="49"/>
    </row>
    <row r="33" spans="1:37" x14ac:dyDescent="0.25">
      <c r="H33">
        <v>32</v>
      </c>
      <c r="I33">
        <f>bsc($B$4,$B$5,$B$6,$B$9,$B$8,$B$7,$B$2)</f>
        <v>13.145893900288087</v>
      </c>
      <c r="J33" s="54">
        <f>CRR($B$4,$B$5,$B$9,$B$6,$B$7,$H33,$B$2)</f>
        <v>13.024706632536294</v>
      </c>
      <c r="K33" s="54">
        <f>JR($B$4,$B$5,$B$9,$B$6,$B$7,$B$8,$H33,$B$2)</f>
        <v>13.23916874191686</v>
      </c>
      <c r="L33" s="54">
        <f>Binomial($B$4,$B$5,$B$9,$B$6,$B$7,$B$8,$H33,$B$2)</f>
        <v>13.241054220729954</v>
      </c>
      <c r="M33" s="54">
        <f>ABS(TablaModelos[[#This Row],[B-S]]-TablaModelos[[#This Row],[CRR]])</f>
        <v>0.12118726775179312</v>
      </c>
      <c r="N33" s="54">
        <f>ABS(TablaModelos[[#This Row],[B-S]]-TablaModelos[[#This Row],[JR]])</f>
        <v>9.3274841628772975E-2</v>
      </c>
      <c r="O33" s="54">
        <f>ABS(TablaModelos[[#This Row],[B-S]]-TablaModelos[[#This Row],[Binomial]])</f>
        <v>9.516032044186673E-2</v>
      </c>
      <c r="AE33" s="49"/>
      <c r="AF33" s="49"/>
      <c r="AG33" s="49"/>
      <c r="AH33" s="49"/>
      <c r="AI33" s="49"/>
      <c r="AJ33" s="49"/>
      <c r="AK33" s="49"/>
    </row>
    <row r="34" spans="1:37" x14ac:dyDescent="0.25">
      <c r="H34">
        <v>33</v>
      </c>
      <c r="I34">
        <f>bsc($B$4,$B$5,$B$6,$B$9,$B$8,$B$7,$B$2)</f>
        <v>13.145893900288087</v>
      </c>
      <c r="J34" s="54">
        <f>CRR($B$4,$B$5,$B$9,$B$6,$B$7,$H34,$B$2)</f>
        <v>13.257626201057256</v>
      </c>
      <c r="K34" s="54">
        <f>JR($B$4,$B$5,$B$9,$B$6,$B$7,$B$8,$H34,$B$2)</f>
        <v>13.075113978208002</v>
      </c>
      <c r="L34" s="54">
        <f>Binomial($B$4,$B$5,$B$9,$B$6,$B$7,$B$8,$H34,$B$2)</f>
        <v>13.141329963817537</v>
      </c>
      <c r="M34" s="54">
        <f>ABS(TablaModelos[[#This Row],[B-S]]-TablaModelos[[#This Row],[CRR]])</f>
        <v>0.11173230076916951</v>
      </c>
      <c r="N34" s="54">
        <f>ABS(TablaModelos[[#This Row],[B-S]]-TablaModelos[[#This Row],[JR]])</f>
        <v>7.07799220800851E-2</v>
      </c>
      <c r="O34" s="54">
        <f>ABS(TablaModelos[[#This Row],[B-S]]-TablaModelos[[#This Row],[Binomial]])</f>
        <v>4.5639364705500896E-3</v>
      </c>
      <c r="AE34" s="49"/>
      <c r="AF34" s="49"/>
      <c r="AG34" s="49"/>
      <c r="AH34" s="49"/>
      <c r="AI34" s="49"/>
      <c r="AJ34" s="49"/>
      <c r="AK34" s="49"/>
    </row>
    <row r="35" spans="1:37" x14ac:dyDescent="0.25">
      <c r="A35" t="s">
        <v>52</v>
      </c>
      <c r="H35">
        <v>34</v>
      </c>
      <c r="I35">
        <f>bsc($B$4,$B$5,$B$6,$B$9,$B$8,$B$7,$B$2)</f>
        <v>13.145893900288087</v>
      </c>
      <c r="J35" s="54">
        <f>CRR($B$4,$B$5,$B$9,$B$6,$B$7,$H35,$B$2)</f>
        <v>13.031807027831503</v>
      </c>
      <c r="K35" s="54">
        <f>JR($B$4,$B$5,$B$9,$B$6,$B$7,$B$8,$H35,$B$2)</f>
        <v>13.231246505831061</v>
      </c>
      <c r="L35" s="54">
        <f>Binomial($B$4,$B$5,$B$9,$B$6,$B$7,$B$8,$H35,$B$2)</f>
        <v>13.238265039149574</v>
      </c>
      <c r="M35" s="54">
        <f>ABS(TablaModelos[[#This Row],[B-S]]-TablaModelos[[#This Row],[CRR]])</f>
        <v>0.11408687245658378</v>
      </c>
      <c r="N35" s="54">
        <f>ABS(TablaModelos[[#This Row],[B-S]]-TablaModelos[[#This Row],[JR]])</f>
        <v>8.5352605542974302E-2</v>
      </c>
      <c r="O35" s="54">
        <f>ABS(TablaModelos[[#This Row],[B-S]]-TablaModelos[[#This Row],[Binomial]])</f>
        <v>9.2371138861487623E-2</v>
      </c>
      <c r="AE35" s="49"/>
      <c r="AF35" s="49"/>
      <c r="AG35" s="49"/>
      <c r="AH35" s="49"/>
      <c r="AI35" s="49"/>
      <c r="AJ35" s="49"/>
      <c r="AK35" s="49"/>
    </row>
    <row r="36" spans="1:37" x14ac:dyDescent="0.25">
      <c r="A36" t="s">
        <v>53</v>
      </c>
      <c r="H36">
        <v>35</v>
      </c>
      <c r="I36">
        <f>bsc($B$4,$B$5,$B$6,$B$9,$B$8,$B$7,$B$2)</f>
        <v>13.145893900288087</v>
      </c>
      <c r="J36" s="54">
        <f>CRR($B$4,$B$5,$B$9,$B$6,$B$7,$H36,$B$2)</f>
        <v>13.251221885234695</v>
      </c>
      <c r="K36" s="54">
        <f>JR($B$4,$B$5,$B$9,$B$6,$B$7,$B$8,$H36,$B$2)</f>
        <v>13.091595711739261</v>
      </c>
      <c r="L36" s="54">
        <f>Binomial($B$4,$B$5,$B$9,$B$6,$B$7,$B$8,$H36,$B$2)</f>
        <v>13.134767849830126</v>
      </c>
      <c r="M36" s="54">
        <f>ABS(TablaModelos[[#This Row],[B-S]]-TablaModelos[[#This Row],[CRR]])</f>
        <v>0.10532798494660867</v>
      </c>
      <c r="N36" s="54">
        <f>ABS(TablaModelos[[#This Row],[B-S]]-TablaModelos[[#This Row],[JR]])</f>
        <v>5.4298188548825621E-2</v>
      </c>
      <c r="O36" s="54">
        <f>ABS(TablaModelos[[#This Row],[B-S]]-TablaModelos[[#This Row],[Binomial]])</f>
        <v>1.1126050457960446E-2</v>
      </c>
      <c r="AE36" s="49"/>
      <c r="AF36" s="49"/>
      <c r="AG36" s="49"/>
      <c r="AH36" s="49"/>
      <c r="AI36" s="49"/>
      <c r="AJ36" s="49"/>
      <c r="AK36" s="49"/>
    </row>
    <row r="37" spans="1:37" x14ac:dyDescent="0.25">
      <c r="H37">
        <v>36</v>
      </c>
      <c r="I37">
        <f>bsc($B$4,$B$5,$B$6,$B$9,$B$8,$B$7,$B$2)</f>
        <v>13.145893900288087</v>
      </c>
      <c r="J37" s="54">
        <f>CRR($B$4,$B$5,$B$9,$B$6,$B$7,$H37,$B$2)</f>
        <v>13.038121549775196</v>
      </c>
      <c r="K37" s="54">
        <f>JR($B$4,$B$5,$B$9,$B$6,$B$7,$B$8,$H37,$B$2)</f>
        <v>13.223792629721096</v>
      </c>
      <c r="L37" s="54">
        <f>Binomial($B$4,$B$5,$B$9,$B$6,$B$7,$B$8,$H37,$B$2)</f>
        <v>13.235515512425632</v>
      </c>
      <c r="M37" s="54">
        <f>ABS(TablaModelos[[#This Row],[B-S]]-TablaModelos[[#This Row],[CRR]])</f>
        <v>0.10777235051289047</v>
      </c>
      <c r="N37" s="54">
        <f>ABS(TablaModelos[[#This Row],[B-S]]-TablaModelos[[#This Row],[JR]])</f>
        <v>7.789872943300935E-2</v>
      </c>
      <c r="O37" s="54">
        <f>ABS(TablaModelos[[#This Row],[B-S]]-TablaModelos[[#This Row],[Binomial]])</f>
        <v>8.962161213754527E-2</v>
      </c>
      <c r="AE37" s="49"/>
      <c r="AF37" s="49"/>
      <c r="AG37" s="49"/>
      <c r="AH37" s="49"/>
      <c r="AI37" s="49"/>
      <c r="AJ37" s="49"/>
      <c r="AK37" s="49"/>
    </row>
    <row r="38" spans="1:37" x14ac:dyDescent="0.25">
      <c r="H38">
        <v>37</v>
      </c>
      <c r="I38">
        <f>bsc($B$4,$B$5,$B$6,$B$9,$B$8,$B$7,$B$2)</f>
        <v>13.145893900288087</v>
      </c>
      <c r="J38" s="54">
        <f>CRR($B$4,$B$5,$B$9,$B$6,$B$7,$H38,$B$2)</f>
        <v>13.245511848176783</v>
      </c>
      <c r="K38" s="54">
        <f>JR($B$4,$B$5,$B$9,$B$6,$B$7,$B$8,$H38,$B$2)</f>
        <v>13.10549321222812</v>
      </c>
      <c r="L38" s="54">
        <f>Binomial($B$4,$B$5,$B$9,$B$6,$B$7,$B$8,$H38,$B$2)</f>
        <v>13.128917207922361</v>
      </c>
      <c r="M38" s="54">
        <f>ABS(TablaModelos[[#This Row],[B-S]]-TablaModelos[[#This Row],[CRR]])</f>
        <v>9.9617947888695824E-2</v>
      </c>
      <c r="N38" s="54">
        <f>ABS(TablaModelos[[#This Row],[B-S]]-TablaModelos[[#This Row],[JR]])</f>
        <v>4.0400688059966328E-2</v>
      </c>
      <c r="O38" s="54">
        <f>ABS(TablaModelos[[#This Row],[B-S]]-TablaModelos[[#This Row],[Binomial]])</f>
        <v>1.6976692365725299E-2</v>
      </c>
      <c r="AE38" s="49"/>
      <c r="AF38" s="49"/>
      <c r="AG38" s="49"/>
      <c r="AH38" s="49"/>
      <c r="AI38" s="49"/>
      <c r="AJ38" s="49"/>
      <c r="AK38" s="49"/>
    </row>
    <row r="39" spans="1:37" x14ac:dyDescent="0.25">
      <c r="H39">
        <v>38</v>
      </c>
      <c r="I39">
        <f>bsc($B$4,$B$5,$B$6,$B$9,$B$8,$B$7,$B$2)</f>
        <v>13.145893900288087</v>
      </c>
      <c r="J39" s="54">
        <f>CRR($B$4,$B$5,$B$9,$B$6,$B$7,$H39,$B$2)</f>
        <v>13.043773812933445</v>
      </c>
      <c r="K39" s="54">
        <f>JR($B$4,$B$5,$B$9,$B$6,$B$7,$B$8,$H39,$B$2)</f>
        <v>13.216765456111744</v>
      </c>
      <c r="L39" s="54">
        <f>Binomial($B$4,$B$5,$B$9,$B$6,$B$7,$B$8,$H39,$B$2)</f>
        <v>13.232820487385039</v>
      </c>
      <c r="M39" s="54">
        <f>ABS(TablaModelos[[#This Row],[B-S]]-TablaModelos[[#This Row],[CRR]])</f>
        <v>0.10212008735464195</v>
      </c>
      <c r="N39" s="54">
        <f>ABS(TablaModelos[[#This Row],[B-S]]-TablaModelos[[#This Row],[JR]])</f>
        <v>7.0871555823657673E-2</v>
      </c>
      <c r="O39" s="54">
        <f>ABS(TablaModelos[[#This Row],[B-S]]-TablaModelos[[#This Row],[Binomial]])</f>
        <v>8.6926587096952446E-2</v>
      </c>
      <c r="AE39" s="49"/>
      <c r="AF39" s="49"/>
      <c r="AG39" s="49"/>
      <c r="AH39" s="49"/>
      <c r="AI39" s="49"/>
      <c r="AJ39" s="49"/>
      <c r="AK39" s="49"/>
    </row>
    <row r="40" spans="1:37" x14ac:dyDescent="0.25">
      <c r="H40">
        <v>39</v>
      </c>
      <c r="I40">
        <f>bsc($B$4,$B$5,$B$6,$B$9,$B$8,$B$7,$B$2)</f>
        <v>13.145893900288087</v>
      </c>
      <c r="J40" s="54">
        <f>CRR($B$4,$B$5,$B$9,$B$6,$B$7,$H40,$B$2)</f>
        <v>13.240389009344046</v>
      </c>
      <c r="K40" s="54">
        <f>JR($B$4,$B$5,$B$9,$B$6,$B$7,$B$8,$H40,$B$2)</f>
        <v>13.117264877649193</v>
      </c>
      <c r="L40" s="54">
        <f>Binomial($B$4,$B$5,$B$9,$B$6,$B$7,$B$8,$H40,$B$2)</f>
        <v>13.123668292714283</v>
      </c>
      <c r="M40" s="54">
        <f>ABS(TablaModelos[[#This Row],[B-S]]-TablaModelos[[#This Row],[CRR]])</f>
        <v>9.4495109055959148E-2</v>
      </c>
      <c r="N40" s="54">
        <f>ABS(TablaModelos[[#This Row],[B-S]]-TablaModelos[[#This Row],[JR]])</f>
        <v>2.8629022638893886E-2</v>
      </c>
      <c r="O40" s="54">
        <f>ABS(TablaModelos[[#This Row],[B-S]]-TablaModelos[[#This Row],[Binomial]])</f>
        <v>2.222560757380343E-2</v>
      </c>
      <c r="AE40" s="49"/>
      <c r="AF40" s="49"/>
      <c r="AG40" s="49"/>
      <c r="AH40" s="49"/>
      <c r="AI40" s="49"/>
      <c r="AJ40" s="49"/>
      <c r="AK40" s="49"/>
    </row>
    <row r="41" spans="1:37" x14ac:dyDescent="0.25">
      <c r="H41">
        <v>40</v>
      </c>
      <c r="I41">
        <f>bsc($B$4,$B$5,$B$6,$B$9,$B$8,$B$7,$B$2)</f>
        <v>13.145893900288087</v>
      </c>
      <c r="J41" s="54">
        <f>CRR($B$4,$B$5,$B$9,$B$6,$B$7,$H41,$B$2)</f>
        <v>13.048862800722086</v>
      </c>
      <c r="K41" s="54">
        <f>JR($B$4,$B$5,$B$9,$B$6,$B$7,$B$8,$H41,$B$2)</f>
        <v>13.210127654441719</v>
      </c>
      <c r="L41" s="54">
        <f>Binomial($B$4,$B$5,$B$9,$B$6,$B$7,$B$8,$H41,$B$2)</f>
        <v>13.23018923568911</v>
      </c>
      <c r="M41" s="54">
        <f>ABS(TablaModelos[[#This Row],[B-S]]-TablaModelos[[#This Row],[CRR]])</f>
        <v>9.7031099566001089E-2</v>
      </c>
      <c r="N41" s="54">
        <f>ABS(TablaModelos[[#This Row],[B-S]]-TablaModelos[[#This Row],[JR]])</f>
        <v>6.423375415363175E-2</v>
      </c>
      <c r="O41" s="54">
        <f>ABS(TablaModelos[[#This Row],[B-S]]-TablaModelos[[#This Row],[Binomial]])</f>
        <v>8.4295335401023408E-2</v>
      </c>
      <c r="AE41" s="49"/>
      <c r="AF41" s="49"/>
      <c r="AG41" s="49"/>
      <c r="AH41" s="49"/>
      <c r="AI41" s="49"/>
      <c r="AJ41" s="49"/>
      <c r="AK41" s="49"/>
    </row>
    <row r="42" spans="1:37" x14ac:dyDescent="0.25">
      <c r="H42">
        <v>41</v>
      </c>
      <c r="I42">
        <f>bsc($B$4,$B$5,$B$6,$B$9,$B$8,$B$7,$B$2)</f>
        <v>13.145893900288087</v>
      </c>
      <c r="J42" s="54">
        <f>CRR($B$4,$B$5,$B$9,$B$6,$B$7,$H42,$B$2)</f>
        <v>13.235767229683612</v>
      </c>
      <c r="K42" s="54">
        <f>JR($B$4,$B$5,$B$9,$B$6,$B$7,$B$8,$H42,$B$2)</f>
        <v>13.127272485720436</v>
      </c>
      <c r="L42" s="54">
        <f>Binomial($B$4,$B$5,$B$9,$B$6,$B$7,$B$8,$H42,$B$2)</f>
        <v>13.118932823966702</v>
      </c>
      <c r="M42" s="54">
        <f>ABS(TablaModelos[[#This Row],[B-S]]-TablaModelos[[#This Row],[CRR]])</f>
        <v>8.9873329395524948E-2</v>
      </c>
      <c r="N42" s="54">
        <f>ABS(TablaModelos[[#This Row],[B-S]]-TablaModelos[[#This Row],[JR]])</f>
        <v>1.8621414567650874E-2</v>
      </c>
      <c r="O42" s="54">
        <f>ABS(TablaModelos[[#This Row],[B-S]]-TablaModelos[[#This Row],[Binomial]])</f>
        <v>2.696107632138478E-2</v>
      </c>
      <c r="AE42" s="49"/>
      <c r="AF42" s="49"/>
      <c r="AG42" s="49"/>
      <c r="AH42" s="49"/>
      <c r="AI42" s="49"/>
      <c r="AJ42" s="49"/>
      <c r="AK42" s="49"/>
    </row>
    <row r="43" spans="1:37" x14ac:dyDescent="0.25">
      <c r="H43">
        <v>42</v>
      </c>
      <c r="I43">
        <f>bsc($B$4,$B$5,$B$6,$B$9,$B$8,$B$7,$B$2)</f>
        <v>13.145893900288087</v>
      </c>
      <c r="J43" s="54">
        <f>CRR($B$4,$B$5,$B$9,$B$6,$B$7,$H43,$B$2)</f>
        <v>13.053468708660599</v>
      </c>
      <c r="K43" s="54">
        <f>JR($B$4,$B$5,$B$9,$B$6,$B$7,$B$8,$H43,$B$2)</f>
        <v>13.203845852391533</v>
      </c>
      <c r="L43" s="54">
        <f>Binomial($B$4,$B$5,$B$9,$B$6,$B$7,$B$8,$H43,$B$2)</f>
        <v>13.227627209581582</v>
      </c>
      <c r="M43" s="54">
        <f>ABS(TablaModelos[[#This Row],[B-S]]-TablaModelos[[#This Row],[CRR]])</f>
        <v>9.2425191627487635E-2</v>
      </c>
      <c r="N43" s="54">
        <f>ABS(TablaModelos[[#This Row],[B-S]]-TablaModelos[[#This Row],[JR]])</f>
        <v>5.7951952103445947E-2</v>
      </c>
      <c r="O43" s="54">
        <f>ABS(TablaModelos[[#This Row],[B-S]]-TablaModelos[[#This Row],[Binomial]])</f>
        <v>8.1733309293495537E-2</v>
      </c>
      <c r="AE43" s="49"/>
      <c r="AF43" s="49"/>
      <c r="AG43" s="49"/>
      <c r="AH43" s="49"/>
      <c r="AI43" s="49"/>
      <c r="AJ43" s="49"/>
      <c r="AK43" s="49"/>
    </row>
    <row r="44" spans="1:37" x14ac:dyDescent="0.25">
      <c r="H44">
        <v>43</v>
      </c>
      <c r="I44">
        <f>bsc($B$4,$B$5,$B$6,$B$9,$B$8,$B$7,$B$2)</f>
        <v>13.145893900288087</v>
      </c>
      <c r="J44" s="54">
        <f>CRR($B$4,$B$5,$B$9,$B$6,$B$7,$H44,$B$2)</f>
        <v>13.231576431377849</v>
      </c>
      <c r="K44" s="54">
        <f>JR($B$4,$B$5,$B$9,$B$6,$B$7,$B$8,$H44,$B$2)</f>
        <v>13.135804779214146</v>
      </c>
      <c r="L44" s="54">
        <f>Binomial($B$4,$B$5,$B$9,$B$6,$B$7,$B$8,$H44,$B$2)</f>
        <v>13.114638983726996</v>
      </c>
      <c r="M44" s="54">
        <f>ABS(TablaModelos[[#This Row],[B-S]]-TablaModelos[[#This Row],[CRR]])</f>
        <v>8.5682531089762648E-2</v>
      </c>
      <c r="N44" s="54">
        <f>ABS(TablaModelos[[#This Row],[B-S]]-TablaModelos[[#This Row],[JR]])</f>
        <v>1.0089121073940888E-2</v>
      </c>
      <c r="O44" s="54">
        <f>ABS(TablaModelos[[#This Row],[B-S]]-TablaModelos[[#This Row],[Binomial]])</f>
        <v>3.1254916561090695E-2</v>
      </c>
      <c r="AE44" s="49"/>
      <c r="AF44" s="49"/>
      <c r="AG44" s="49"/>
      <c r="AH44" s="49"/>
      <c r="AI44" s="49"/>
      <c r="AJ44" s="49"/>
      <c r="AK44" s="49"/>
    </row>
    <row r="45" spans="1:37" x14ac:dyDescent="0.25">
      <c r="H45">
        <v>44</v>
      </c>
      <c r="I45">
        <f>bsc($B$4,$B$5,$B$6,$B$9,$B$8,$B$7,$B$2)</f>
        <v>13.145893900288087</v>
      </c>
      <c r="J45" s="54">
        <f>CRR($B$4,$B$5,$B$9,$B$6,$B$7,$H45,$B$2)</f>
        <v>13.057657199680094</v>
      </c>
      <c r="K45" s="54">
        <f>JR($B$4,$B$5,$B$9,$B$6,$B$7,$B$8,$H45,$B$2)</f>
        <v>13.197890233726485</v>
      </c>
      <c r="L45" s="54">
        <f>Binomial($B$4,$B$5,$B$9,$B$6,$B$7,$B$8,$H45,$B$2)</f>
        <v>13.225137232485636</v>
      </c>
      <c r="M45" s="54">
        <f>ABS(TablaModelos[[#This Row],[B-S]]-TablaModelos[[#This Row],[CRR]])</f>
        <v>8.8236700607993157E-2</v>
      </c>
      <c r="N45" s="54">
        <f>ABS(TablaModelos[[#This Row],[B-S]]-TablaModelos[[#This Row],[JR]])</f>
        <v>5.1996333438397713E-2</v>
      </c>
      <c r="O45" s="54">
        <f>ABS(TablaModelos[[#This Row],[B-S]]-TablaModelos[[#This Row],[Binomial]])</f>
        <v>7.9243332197549421E-2</v>
      </c>
      <c r="AE45" s="49"/>
      <c r="AF45" s="49"/>
      <c r="AG45" s="49"/>
      <c r="AH45" s="49"/>
      <c r="AI45" s="49"/>
      <c r="AJ45" s="49"/>
      <c r="AK45" s="49"/>
    </row>
    <row r="46" spans="1:37" x14ac:dyDescent="0.25">
      <c r="H46">
        <v>45</v>
      </c>
      <c r="I46">
        <f>bsc($B$4,$B$5,$B$6,$B$9,$B$8,$B$7,$B$2)</f>
        <v>13.145893900288087</v>
      </c>
      <c r="J46" s="54">
        <f>CRR($B$4,$B$5,$B$9,$B$6,$B$7,$H46,$B$2)</f>
        <v>13.227759021468019</v>
      </c>
      <c r="K46" s="54">
        <f>JR($B$4,$B$5,$B$9,$B$6,$B$7,$B$8,$H46,$B$2)</f>
        <v>13.14309455106954</v>
      </c>
      <c r="L46" s="54">
        <f>Binomial($B$4,$B$5,$B$9,$B$6,$B$7,$B$8,$H46,$B$2)</f>
        <v>13.110727750255172</v>
      </c>
      <c r="M46" s="54">
        <f>ABS(TablaModelos[[#This Row],[B-S]]-TablaModelos[[#This Row],[CRR]])</f>
        <v>8.1865121179932387E-2</v>
      </c>
      <c r="N46" s="54">
        <f>ABS(TablaModelos[[#This Row],[B-S]]-TablaModelos[[#This Row],[JR]])</f>
        <v>2.7993492185469648E-3</v>
      </c>
      <c r="O46" s="54">
        <f>ABS(TablaModelos[[#This Row],[B-S]]-TablaModelos[[#This Row],[Binomial]])</f>
        <v>3.5166150032914345E-2</v>
      </c>
      <c r="AE46" s="49"/>
      <c r="AF46" s="49"/>
      <c r="AG46" s="49"/>
      <c r="AH46" s="49"/>
      <c r="AI46" s="49"/>
      <c r="AJ46" s="49"/>
      <c r="AK46" s="49"/>
    </row>
    <row r="47" spans="1:37" x14ac:dyDescent="0.25">
      <c r="H47">
        <v>46</v>
      </c>
      <c r="I47">
        <f>bsc($B$4,$B$5,$B$6,$B$9,$B$8,$B$7,$B$2)</f>
        <v>13.145893900288087</v>
      </c>
      <c r="J47" s="54">
        <f>CRR($B$4,$B$5,$B$9,$B$6,$B$7,$H47,$B$2)</f>
        <v>13.061482553089787</v>
      </c>
      <c r="K47" s="54">
        <f>JR($B$4,$B$5,$B$9,$B$6,$B$7,$B$8,$H47,$B$2)</f>
        <v>13.192234144575258</v>
      </c>
      <c r="L47" s="54">
        <f>Binomial($B$4,$B$5,$B$9,$B$6,$B$7,$B$8,$H47,$B$2)</f>
        <v>13.222720316766482</v>
      </c>
      <c r="M47" s="54">
        <f>ABS(TablaModelos[[#This Row],[B-S]]-TablaModelos[[#This Row],[CRR]])</f>
        <v>8.441134719829968E-2</v>
      </c>
      <c r="N47" s="54">
        <f>ABS(TablaModelos[[#This Row],[B-S]]-TablaModelos[[#This Row],[JR]])</f>
        <v>4.6340244287170762E-2</v>
      </c>
      <c r="O47" s="54">
        <f>ABS(TablaModelos[[#This Row],[B-S]]-TablaModelos[[#This Row],[Binomial]])</f>
        <v>7.6826416478395387E-2</v>
      </c>
      <c r="AE47" s="49"/>
      <c r="AF47" s="49"/>
      <c r="AG47" s="49"/>
      <c r="AH47" s="49"/>
      <c r="AI47" s="49"/>
      <c r="AJ47" s="49"/>
      <c r="AK47" s="49"/>
    </row>
    <row r="48" spans="1:37" x14ac:dyDescent="0.25">
      <c r="H48">
        <v>47</v>
      </c>
      <c r="I48">
        <f>bsc($B$4,$B$5,$B$6,$B$9,$B$8,$B$7,$B$2)</f>
        <v>13.145893900288087</v>
      </c>
      <c r="J48" s="54">
        <f>CRR($B$4,$B$5,$B$9,$B$6,$B$7,$H48,$B$2)</f>
        <v>13.22426723029078</v>
      </c>
      <c r="K48" s="54">
        <f>JR($B$4,$B$5,$B$9,$B$6,$B$7,$B$8,$H48,$B$2)</f>
        <v>13.149331211731456</v>
      </c>
      <c r="L48" s="54">
        <f>Binomial($B$4,$B$5,$B$9,$B$6,$B$7,$B$8,$H48,$B$2)</f>
        <v>13.107150169805877</v>
      </c>
      <c r="M48" s="54">
        <f>ABS(TablaModelos[[#This Row],[B-S]]-TablaModelos[[#This Row],[CRR]])</f>
        <v>7.8373330002692754E-2</v>
      </c>
      <c r="N48" s="54">
        <f>ABS(TablaModelos[[#This Row],[B-S]]-TablaModelos[[#This Row],[JR]])</f>
        <v>3.4373114433687846E-3</v>
      </c>
      <c r="O48" s="54">
        <f>ABS(TablaModelos[[#This Row],[B-S]]-TablaModelos[[#This Row],[Binomial]])</f>
        <v>3.8743730482210026E-2</v>
      </c>
      <c r="AE48" s="49"/>
      <c r="AF48" s="49"/>
      <c r="AG48" s="49"/>
      <c r="AH48" s="49"/>
      <c r="AI48" s="49"/>
      <c r="AJ48" s="49"/>
      <c r="AK48" s="49"/>
    </row>
    <row r="49" spans="8:37" x14ac:dyDescent="0.25">
      <c r="H49">
        <v>48</v>
      </c>
      <c r="I49">
        <f>bsc($B$4,$B$5,$B$6,$B$9,$B$8,$B$7,$B$2)</f>
        <v>13.145893900288087</v>
      </c>
      <c r="J49" s="54">
        <f>CRR($B$4,$B$5,$B$9,$B$6,$B$7,$H49,$B$2)</f>
        <v>13.064990028819095</v>
      </c>
      <c r="K49" s="54">
        <f>JR($B$4,$B$5,$B$9,$B$6,$B$7,$B$8,$H49,$B$2)</f>
        <v>13.186853727587984</v>
      </c>
      <c r="L49" s="54">
        <f>Binomial($B$4,$B$5,$B$9,$B$6,$B$7,$B$8,$H49,$B$2)</f>
        <v>13.22037623145911</v>
      </c>
      <c r="M49" s="54">
        <f>ABS(TablaModelos[[#This Row],[B-S]]-TablaModelos[[#This Row],[CRR]])</f>
        <v>8.090387146899225E-2</v>
      </c>
      <c r="N49" s="54">
        <f>ABS(TablaModelos[[#This Row],[B-S]]-TablaModelos[[#This Row],[JR]])</f>
        <v>4.0959827299897E-2</v>
      </c>
      <c r="O49" s="54">
        <f>ABS(TablaModelos[[#This Row],[B-S]]-TablaModelos[[#This Row],[Binomial]])</f>
        <v>7.4482331171022764E-2</v>
      </c>
      <c r="AE49" s="49"/>
      <c r="AF49" s="49"/>
      <c r="AG49" s="49"/>
      <c r="AH49" s="49"/>
      <c r="AI49" s="49"/>
      <c r="AJ49" s="49"/>
      <c r="AK49" s="49"/>
    </row>
    <row r="50" spans="8:37" x14ac:dyDescent="0.25">
      <c r="H50">
        <v>49</v>
      </c>
      <c r="I50">
        <f>bsc($B$4,$B$5,$B$6,$B$9,$B$8,$B$7,$B$2)</f>
        <v>13.145893900288087</v>
      </c>
      <c r="J50" s="54">
        <f>CRR($B$4,$B$5,$B$9,$B$6,$B$7,$H50,$B$2)</f>
        <v>13.221061102901146</v>
      </c>
      <c r="K50" s="54">
        <f>JR($B$4,$B$5,$B$9,$B$6,$B$7,$B$8,$H50,$B$2)</f>
        <v>13.154670162427411</v>
      </c>
      <c r="L50" s="54">
        <f>Binomial($B$4,$B$5,$B$9,$B$6,$B$7,$B$8,$H50,$B$2)</f>
        <v>13.103865297816654</v>
      </c>
      <c r="M50" s="54">
        <f>ABS(TablaModelos[[#This Row],[B-S]]-TablaModelos[[#This Row],[CRR]])</f>
        <v>7.5167202613059203E-2</v>
      </c>
      <c r="N50" s="54">
        <f>ABS(TablaModelos[[#This Row],[B-S]]-TablaModelos[[#This Row],[JR]])</f>
        <v>8.7762621393245865E-3</v>
      </c>
      <c r="O50" s="54">
        <f>ABS(TablaModelos[[#This Row],[B-S]]-TablaModelos[[#This Row],[Binomial]])</f>
        <v>4.2028602471432919E-2</v>
      </c>
      <c r="AE50" s="49"/>
      <c r="AF50" s="49"/>
      <c r="AG50" s="49"/>
      <c r="AH50" s="49"/>
      <c r="AI50" s="49"/>
      <c r="AJ50" s="49"/>
      <c r="AK50" s="49"/>
    </row>
    <row r="51" spans="8:37" x14ac:dyDescent="0.25">
      <c r="H51">
        <v>50</v>
      </c>
      <c r="I51">
        <f>bsc($B$4,$B$5,$B$6,$B$9,$B$8,$B$7,$B$2)</f>
        <v>13.145893900288087</v>
      </c>
      <c r="J51" s="54">
        <f>CRR($B$4,$B$5,$B$9,$B$6,$B$7,$H51,$B$2)</f>
        <v>13.068217665966255</v>
      </c>
      <c r="K51" s="54">
        <f>JR($B$4,$B$5,$B$9,$B$6,$B$7,$B$8,$H51,$B$2)</f>
        <v>13.181727591553512</v>
      </c>
      <c r="L51" s="54">
        <f>Binomial($B$4,$B$5,$B$9,$B$6,$B$7,$B$8,$H51,$B$2)</f>
        <v>13.218103899865838</v>
      </c>
      <c r="M51" s="54">
        <f>ABS(TablaModelos[[#This Row],[B-S]]-TablaModelos[[#This Row],[CRR]])</f>
        <v>7.7676234321831572E-2</v>
      </c>
      <c r="N51" s="54">
        <f>ABS(TablaModelos[[#This Row],[B-S]]-TablaModelos[[#This Row],[JR]])</f>
        <v>3.5833691265425571E-2</v>
      </c>
      <c r="O51" s="54">
        <f>ABS(TablaModelos[[#This Row],[B-S]]-TablaModelos[[#This Row],[Binomial]])</f>
        <v>7.2209999577751205E-2</v>
      </c>
      <c r="AE51" s="49"/>
      <c r="AF51" s="49"/>
      <c r="AG51" s="49"/>
      <c r="AH51" s="49"/>
      <c r="AI51" s="49"/>
      <c r="AJ51" s="49"/>
      <c r="AK51" s="49"/>
    </row>
    <row r="52" spans="8:37" x14ac:dyDescent="0.25">
      <c r="H52">
        <v>51</v>
      </c>
      <c r="I52">
        <f>bsc($B$4,$B$5,$B$6,$B$9,$B$8,$B$7,$B$2)</f>
        <v>13.145893900288087</v>
      </c>
      <c r="J52" s="54">
        <f>CRR($B$4,$B$5,$B$9,$B$6,$B$7,$H52,$B$2)</f>
        <v>13.218106963939958</v>
      </c>
      <c r="K52" s="54">
        <f>JR($B$4,$B$5,$B$9,$B$6,$B$7,$B$8,$H52,$B$2)</f>
        <v>13.159239874974677</v>
      </c>
      <c r="L52" s="54">
        <f>Binomial($B$4,$B$5,$B$9,$B$6,$B$7,$B$8,$H52,$B$2)</f>
        <v>13.100838625428468</v>
      </c>
      <c r="M52" s="54">
        <f>ABS(TablaModelos[[#This Row],[B-S]]-TablaModelos[[#This Row],[CRR]])</f>
        <v>7.2213063651870968E-2</v>
      </c>
      <c r="N52" s="54">
        <f>ABS(TablaModelos[[#This Row],[B-S]]-TablaModelos[[#This Row],[JR]])</f>
        <v>1.3345974686590267E-2</v>
      </c>
      <c r="O52" s="54">
        <f>ABS(TablaModelos[[#This Row],[B-S]]-TablaModelos[[#This Row],[Binomial]])</f>
        <v>4.5055274859619132E-2</v>
      </c>
      <c r="AE52" s="49"/>
      <c r="AF52" s="49"/>
      <c r="AG52" s="49"/>
      <c r="AH52" s="49"/>
      <c r="AI52" s="49"/>
      <c r="AJ52" s="49"/>
      <c r="AK52" s="49"/>
    </row>
    <row r="53" spans="8:37" x14ac:dyDescent="0.25">
      <c r="H53">
        <v>52</v>
      </c>
      <c r="I53">
        <f>bsc($B$4,$B$5,$B$6,$B$9,$B$8,$B$7,$B$2)</f>
        <v>13.145893900288087</v>
      </c>
      <c r="J53" s="54">
        <f>CRR($B$4,$B$5,$B$9,$B$6,$B$7,$H53,$B$2)</f>
        <v>13.071197667504526</v>
      </c>
      <c r="K53" s="54">
        <f>JR($B$4,$B$5,$B$9,$B$6,$B$7,$B$8,$H53,$B$2)</f>
        <v>13.176836517916824</v>
      </c>
      <c r="L53" s="54">
        <f>Binomial($B$4,$B$5,$B$9,$B$6,$B$7,$B$8,$H53,$B$2)</f>
        <v>13.215901679906434</v>
      </c>
      <c r="M53" s="54">
        <f>ABS(TablaModelos[[#This Row],[B-S]]-TablaModelos[[#This Row],[CRR]])</f>
        <v>7.4696232783560745E-2</v>
      </c>
      <c r="N53" s="54">
        <f>ABS(TablaModelos[[#This Row],[B-S]]-TablaModelos[[#This Row],[JR]])</f>
        <v>3.0942617628737068E-2</v>
      </c>
      <c r="O53" s="54">
        <f>ABS(TablaModelos[[#This Row],[B-S]]-TablaModelos[[#This Row],[Binomial]])</f>
        <v>7.0007779618347143E-2</v>
      </c>
      <c r="AE53" s="49"/>
      <c r="AF53" s="49"/>
      <c r="AG53" s="49"/>
      <c r="AH53" s="49"/>
      <c r="AI53" s="49"/>
      <c r="AJ53" s="49"/>
      <c r="AK53" s="49"/>
    </row>
    <row r="54" spans="8:37" x14ac:dyDescent="0.25">
      <c r="H54">
        <v>53</v>
      </c>
      <c r="I54">
        <f>bsc($B$4,$B$5,$B$6,$B$9,$B$8,$B$7,$B$2)</f>
        <v>13.145893900288087</v>
      </c>
      <c r="J54" s="54">
        <f>CRR($B$4,$B$5,$B$9,$B$6,$B$7,$H54,$B$2)</f>
        <v>13.215376230670151</v>
      </c>
      <c r="K54" s="54">
        <f>JR($B$4,$B$5,$B$9,$B$6,$B$7,$B$8,$H54,$B$2)</f>
        <v>13.163147301325854</v>
      </c>
      <c r="L54" s="54">
        <f>Binomial($B$4,$B$5,$B$9,$B$6,$B$7,$B$8,$H54,$B$2)</f>
        <v>13.098040862904092</v>
      </c>
      <c r="M54" s="54">
        <f>ABS(TablaModelos[[#This Row],[B-S]]-TablaModelos[[#This Row],[CRR]])</f>
        <v>6.9482330382063751E-2</v>
      </c>
      <c r="N54" s="54">
        <f>ABS(TablaModelos[[#This Row],[B-S]]-TablaModelos[[#This Row],[JR]])</f>
        <v>1.7253401037766736E-2</v>
      </c>
      <c r="O54" s="54">
        <f>ABS(TablaModelos[[#This Row],[B-S]]-TablaModelos[[#This Row],[Binomial]])</f>
        <v>4.785303738399449E-2</v>
      </c>
      <c r="AE54" s="49"/>
      <c r="AF54" s="49"/>
      <c r="AG54" s="49"/>
      <c r="AH54" s="49"/>
      <c r="AI54" s="49"/>
      <c r="AJ54" s="49"/>
      <c r="AK54" s="49"/>
    </row>
    <row r="55" spans="8:37" x14ac:dyDescent="0.25">
      <c r="H55">
        <v>54</v>
      </c>
      <c r="I55">
        <f>bsc($B$4,$B$5,$B$6,$B$9,$B$8,$B$7,$B$2)</f>
        <v>13.145893900288087</v>
      </c>
      <c r="J55" s="54">
        <f>CRR($B$4,$B$5,$B$9,$B$6,$B$7,$H55,$B$2)</f>
        <v>13.07395747812812</v>
      </c>
      <c r="K55" s="54">
        <f>JR($B$4,$B$5,$B$9,$B$6,$B$7,$B$8,$H55,$B$2)</f>
        <v>13.172163202580657</v>
      </c>
      <c r="L55" s="54">
        <f>Binomial($B$4,$B$5,$B$9,$B$6,$B$7,$B$8,$H55,$B$2)</f>
        <v>13.213767562748073</v>
      </c>
      <c r="M55" s="54">
        <f>ABS(TablaModelos[[#This Row],[B-S]]-TablaModelos[[#This Row],[CRR]])</f>
        <v>7.193642215996654E-2</v>
      </c>
      <c r="N55" s="54">
        <f>ABS(TablaModelos[[#This Row],[B-S]]-TablaModelos[[#This Row],[JR]])</f>
        <v>2.6269302292570629E-2</v>
      </c>
      <c r="O55" s="54">
        <f>ABS(TablaModelos[[#This Row],[B-S]]-TablaModelos[[#This Row],[Binomial]])</f>
        <v>6.7873662459986051E-2</v>
      </c>
      <c r="AE55" s="49"/>
      <c r="AF55" s="49"/>
      <c r="AG55" s="49"/>
      <c r="AH55" s="49"/>
      <c r="AI55" s="49"/>
      <c r="AJ55" s="49"/>
      <c r="AK55" s="49"/>
    </row>
    <row r="56" spans="8:37" x14ac:dyDescent="0.25">
      <c r="H56">
        <v>55</v>
      </c>
      <c r="I56">
        <f>bsc($B$4,$B$5,$B$6,$B$9,$B$8,$B$7,$B$2)</f>
        <v>13.145893900288087</v>
      </c>
      <c r="J56" s="54">
        <f>CRR($B$4,$B$5,$B$9,$B$6,$B$7,$H56,$B$2)</f>
        <v>13.212844485425409</v>
      </c>
      <c r="K56" s="54">
        <f>JR($B$4,$B$5,$B$9,$B$6,$B$7,$B$8,$H56,$B$2)</f>
        <v>13.166482050889948</v>
      </c>
      <c r="L56" s="54">
        <f>Binomial($B$4,$B$5,$B$9,$B$6,$B$7,$B$8,$H56,$B$2)</f>
        <v>13.095446988956144</v>
      </c>
      <c r="M56" s="54">
        <f>ABS(TablaModelos[[#This Row],[B-S]]-TablaModelos[[#This Row],[CRR]])</f>
        <v>6.6950585137321994E-2</v>
      </c>
      <c r="N56" s="54">
        <f>ABS(TablaModelos[[#This Row],[B-S]]-TablaModelos[[#This Row],[JR]])</f>
        <v>2.0588150601861699E-2</v>
      </c>
      <c r="O56" s="54">
        <f>ABS(TablaModelos[[#This Row],[B-S]]-TablaModelos[[#This Row],[Binomial]])</f>
        <v>5.0446911331942346E-2</v>
      </c>
      <c r="AE56" s="49"/>
      <c r="AF56" s="49"/>
      <c r="AG56" s="49"/>
      <c r="AH56" s="49"/>
      <c r="AI56" s="49"/>
      <c r="AJ56" s="49"/>
      <c r="AK56" s="49"/>
    </row>
    <row r="57" spans="8:37" x14ac:dyDescent="0.25">
      <c r="H57">
        <v>56</v>
      </c>
      <c r="I57">
        <f>bsc($B$4,$B$5,$B$6,$B$9,$B$8,$B$7,$B$2)</f>
        <v>13.145893900288087</v>
      </c>
      <c r="J57" s="54">
        <f>CRR($B$4,$B$5,$B$9,$B$6,$B$7,$H57,$B$2)</f>
        <v>13.076520631746835</v>
      </c>
      <c r="K57" s="54">
        <f>JR($B$4,$B$5,$B$9,$B$6,$B$7,$B$8,$H57,$B$2)</f>
        <v>13.167692030013583</v>
      </c>
      <c r="L57" s="54">
        <f>Binomial($B$4,$B$5,$B$9,$B$6,$B$7,$B$8,$H57,$B$2)</f>
        <v>13.211699313923324</v>
      </c>
      <c r="M57" s="54">
        <f>ABS(TablaModelos[[#This Row],[B-S]]-TablaModelos[[#This Row],[CRR]])</f>
        <v>6.9373268541252031E-2</v>
      </c>
      <c r="N57" s="54">
        <f>ABS(TablaModelos[[#This Row],[B-S]]-TablaModelos[[#This Row],[JR]])</f>
        <v>2.1798129725496551E-2</v>
      </c>
      <c r="O57" s="54">
        <f>ABS(TablaModelos[[#This Row],[B-S]]-TablaModelos[[#This Row],[Binomial]])</f>
        <v>6.5805413635237286E-2</v>
      </c>
      <c r="AE57" s="49"/>
      <c r="AF57" s="49"/>
      <c r="AG57" s="49"/>
      <c r="AH57" s="49"/>
      <c r="AI57" s="49"/>
      <c r="AJ57" s="49"/>
      <c r="AK57" s="49"/>
    </row>
    <row r="58" spans="8:37" x14ac:dyDescent="0.25">
      <c r="H58">
        <v>57</v>
      </c>
      <c r="I58">
        <f>bsc($B$4,$B$5,$B$6,$B$9,$B$8,$B$7,$B$2)</f>
        <v>13.145893900288087</v>
      </c>
      <c r="J58" s="54">
        <f>CRR($B$4,$B$5,$B$9,$B$6,$B$7,$H58,$B$2)</f>
        <v>13.210490743650624</v>
      </c>
      <c r="K58" s="54">
        <f>JR($B$4,$B$5,$B$9,$B$6,$B$7,$B$8,$H58,$B$2)</f>
        <v>13.169319647905427</v>
      </c>
      <c r="L58" s="54">
        <f>Binomial($B$4,$B$5,$B$9,$B$6,$B$7,$B$8,$H58,$B$2)</f>
        <v>13.093035500557884</v>
      </c>
      <c r="M58" s="54">
        <f>ABS(TablaModelos[[#This Row],[B-S]]-TablaModelos[[#This Row],[CRR]])</f>
        <v>6.4596843362537015E-2</v>
      </c>
      <c r="N58" s="54">
        <f>ABS(TablaModelos[[#This Row],[B-S]]-TablaModelos[[#This Row],[JR]])</f>
        <v>2.3425747617340065E-2</v>
      </c>
      <c r="O58" s="54">
        <f>ABS(TablaModelos[[#This Row],[B-S]]-TablaModelos[[#This Row],[Binomial]])</f>
        <v>5.2858399730203232E-2</v>
      </c>
      <c r="AE58" s="49"/>
      <c r="AF58" s="49"/>
      <c r="AG58" s="49"/>
      <c r="AH58" s="49"/>
      <c r="AI58" s="49"/>
      <c r="AJ58" s="49"/>
      <c r="AK58" s="49"/>
    </row>
    <row r="59" spans="8:37" x14ac:dyDescent="0.25">
      <c r="H59">
        <v>58</v>
      </c>
      <c r="I59">
        <f>bsc($B$4,$B$5,$B$6,$B$9,$B$8,$B$7,$B$2)</f>
        <v>13.145893900288087</v>
      </c>
      <c r="J59" s="54">
        <f>CRR($B$4,$B$5,$B$9,$B$6,$B$7,$H59,$B$2)</f>
        <v>13.078907424081665</v>
      </c>
      <c r="K59" s="54">
        <f>JR($B$4,$B$5,$B$9,$B$6,$B$7,$B$8,$H59,$B$2)</f>
        <v>13.16340887619884</v>
      </c>
      <c r="L59" s="54">
        <f>Binomial($B$4,$B$5,$B$9,$B$6,$B$7,$B$8,$H59,$B$2)</f>
        <v>13.209694573617387</v>
      </c>
      <c r="M59" s="54">
        <f>ABS(TablaModelos[[#This Row],[B-S]]-TablaModelos[[#This Row],[CRR]])</f>
        <v>6.6986476206421841E-2</v>
      </c>
      <c r="N59" s="54">
        <f>ABS(TablaModelos[[#This Row],[B-S]]-TablaModelos[[#This Row],[JR]])</f>
        <v>1.751497591075335E-2</v>
      </c>
      <c r="O59" s="54">
        <f>ABS(TablaModelos[[#This Row],[B-S]]-TablaModelos[[#This Row],[Binomial]])</f>
        <v>6.3800673329300395E-2</v>
      </c>
      <c r="AE59" s="49"/>
      <c r="AF59" s="49"/>
      <c r="AG59" s="49"/>
      <c r="AH59" s="49"/>
      <c r="AI59" s="49"/>
      <c r="AJ59" s="49"/>
      <c r="AK59" s="49"/>
    </row>
    <row r="60" spans="8:37" x14ac:dyDescent="0.25">
      <c r="H60">
        <v>59</v>
      </c>
      <c r="I60">
        <f>bsc($B$4,$B$5,$B$6,$B$9,$B$8,$B$7,$B$2)</f>
        <v>13.145893900288087</v>
      </c>
      <c r="J60" s="54">
        <f>CRR($B$4,$B$5,$B$9,$B$6,$B$7,$H60,$B$2)</f>
        <v>13.208296871052175</v>
      </c>
      <c r="K60" s="54">
        <f>JR($B$4,$B$5,$B$9,$B$6,$B$7,$B$8,$H60,$B$2)</f>
        <v>13.171724094434012</v>
      </c>
      <c r="L60" s="54">
        <f>Binomial($B$4,$B$5,$B$9,$B$6,$B$7,$B$8,$H60,$B$2)</f>
        <v>13.090787815591082</v>
      </c>
      <c r="M60" s="54">
        <f>ABS(TablaModelos[[#This Row],[B-S]]-TablaModelos[[#This Row],[CRR]])</f>
        <v>6.2402970764088295E-2</v>
      </c>
      <c r="N60" s="54">
        <f>ABS(TablaModelos[[#This Row],[B-S]]-TablaModelos[[#This Row],[JR]])</f>
        <v>2.5830194145925134E-2</v>
      </c>
      <c r="O60" s="54">
        <f>ABS(TablaModelos[[#This Row],[B-S]]-TablaModelos[[#This Row],[Binomial]])</f>
        <v>5.5106084697005286E-2</v>
      </c>
      <c r="AE60" s="49"/>
      <c r="AF60" s="49"/>
      <c r="AG60" s="49"/>
      <c r="AH60" s="49"/>
      <c r="AI60" s="49"/>
      <c r="AJ60" s="49"/>
      <c r="AK60" s="49"/>
    </row>
    <row r="61" spans="8:37" x14ac:dyDescent="0.25">
      <c r="H61">
        <v>60</v>
      </c>
      <c r="I61">
        <f>bsc($B$4,$B$5,$B$6,$B$9,$B$8,$B$7,$B$2)</f>
        <v>13.145893900288087</v>
      </c>
      <c r="J61" s="54">
        <f>CRR($B$4,$B$5,$B$9,$B$6,$B$7,$H61,$B$2)</f>
        <v>13.081135451073372</v>
      </c>
      <c r="K61" s="54">
        <f>JR($B$4,$B$5,$B$9,$B$6,$B$7,$B$8,$H61,$B$2)</f>
        <v>13.159300936959648</v>
      </c>
      <c r="L61" s="54">
        <f>Binomial($B$4,$B$5,$B$9,$B$6,$B$7,$B$8,$H61,$B$2)</f>
        <v>13.207750927770858</v>
      </c>
      <c r="M61" s="54">
        <f>ABS(TablaModelos[[#This Row],[B-S]]-TablaModelos[[#This Row],[CRR]])</f>
        <v>6.4758449214714631E-2</v>
      </c>
      <c r="N61" s="54">
        <f>ABS(TablaModelos[[#This Row],[B-S]]-TablaModelos[[#This Row],[JR]])</f>
        <v>1.3407036671560846E-2</v>
      </c>
      <c r="O61" s="54">
        <f>ABS(TablaModelos[[#This Row],[B-S]]-TablaModelos[[#This Row],[Binomial]])</f>
        <v>6.1857027482771443E-2</v>
      </c>
      <c r="AE61" s="49"/>
      <c r="AF61" s="49"/>
      <c r="AG61" s="49"/>
      <c r="AH61" s="49"/>
      <c r="AI61" s="49"/>
      <c r="AJ61" s="49"/>
      <c r="AK61" s="49"/>
    </row>
    <row r="62" spans="8:37" x14ac:dyDescent="0.25">
      <c r="H62">
        <v>61</v>
      </c>
      <c r="I62">
        <f>bsc($B$4,$B$5,$B$6,$B$9,$B$8,$B$7,$B$2)</f>
        <v>13.145893900288087</v>
      </c>
      <c r="J62" s="54">
        <f>CRR($B$4,$B$5,$B$9,$B$6,$B$7,$H62,$B$2)</f>
        <v>13.20624711558775</v>
      </c>
      <c r="K62" s="54">
        <f>JR($B$4,$B$5,$B$9,$B$6,$B$7,$B$8,$H62,$B$2)</f>
        <v>13.17374990389777</v>
      </c>
      <c r="L62" s="54">
        <f>Binomial($B$4,$B$5,$B$9,$B$6,$B$7,$B$8,$H62,$B$2)</f>
        <v>13.088687793198583</v>
      </c>
      <c r="M62" s="54">
        <f>ABS(TablaModelos[[#This Row],[B-S]]-TablaModelos[[#This Row],[CRR]])</f>
        <v>6.0353215299663532E-2</v>
      </c>
      <c r="N62" s="54">
        <f>ABS(TablaModelos[[#This Row],[B-S]]-TablaModelos[[#This Row],[JR]])</f>
        <v>2.78560036096831E-2</v>
      </c>
      <c r="O62" s="54">
        <f>ABS(TablaModelos[[#This Row],[B-S]]-TablaModelos[[#This Row],[Binomial]])</f>
        <v>5.7206107089504243E-2</v>
      </c>
      <c r="AE62" s="49"/>
      <c r="AF62" s="49"/>
      <c r="AG62" s="49"/>
      <c r="AH62" s="49"/>
      <c r="AI62" s="49"/>
      <c r="AJ62" s="49"/>
      <c r="AK62" s="49"/>
    </row>
    <row r="63" spans="8:37" x14ac:dyDescent="0.25">
      <c r="H63">
        <v>62</v>
      </c>
      <c r="I63">
        <f>bsc($B$4,$B$5,$B$6,$B$9,$B$8,$B$7,$B$2)</f>
        <v>13.145893900288087</v>
      </c>
      <c r="J63" s="54">
        <f>CRR($B$4,$B$5,$B$9,$B$6,$B$7,$H63,$B$2)</f>
        <v>13.083220043328044</v>
      </c>
      <c r="K63" s="54">
        <f>JR($B$4,$B$5,$B$9,$B$6,$B$7,$B$8,$H63,$B$2)</f>
        <v>13.155356578405362</v>
      </c>
      <c r="L63" s="54">
        <f>Binomial($B$4,$B$5,$B$9,$B$6,$B$7,$B$8,$H63,$B$2)</f>
        <v>13.205865958190138</v>
      </c>
      <c r="M63" s="54">
        <f>ABS(TablaModelos[[#This Row],[B-S]]-TablaModelos[[#This Row],[CRR]])</f>
        <v>6.2673856960042684E-2</v>
      </c>
      <c r="N63" s="54">
        <f>ABS(TablaModelos[[#This Row],[B-S]]-TablaModelos[[#This Row],[JR]])</f>
        <v>9.4626781172753027E-3</v>
      </c>
      <c r="O63" s="54">
        <f>ABS(TablaModelos[[#This Row],[B-S]]-TablaModelos[[#This Row],[Binomial]])</f>
        <v>5.997205790205129E-2</v>
      </c>
      <c r="AE63" s="49"/>
      <c r="AF63" s="49"/>
      <c r="AG63" s="49"/>
      <c r="AH63" s="49"/>
      <c r="AI63" s="49"/>
      <c r="AJ63" s="49"/>
      <c r="AK63" s="49"/>
    </row>
    <row r="64" spans="8:37" x14ac:dyDescent="0.25">
      <c r="H64">
        <v>63</v>
      </c>
      <c r="I64">
        <f>bsc($B$4,$B$5,$B$6,$B$9,$B$8,$B$7,$B$2)</f>
        <v>13.145893900288087</v>
      </c>
      <c r="J64" s="54">
        <f>CRR($B$4,$B$5,$B$9,$B$6,$B$7,$H64,$B$2)</f>
        <v>13.204327728733318</v>
      </c>
      <c r="K64" s="54">
        <f>JR($B$4,$B$5,$B$9,$B$6,$B$7,$B$8,$H64,$B$2)</f>
        <v>13.17544372708535</v>
      </c>
      <c r="L64" s="54">
        <f>Binomial($B$4,$B$5,$B$9,$B$6,$B$7,$B$8,$H64,$B$2)</f>
        <v>13.086721345642518</v>
      </c>
      <c r="M64" s="54">
        <f>ABS(TablaModelos[[#This Row],[B-S]]-TablaModelos[[#This Row],[CRR]])</f>
        <v>5.8433828445231484E-2</v>
      </c>
      <c r="N64" s="54">
        <f>ABS(TablaModelos[[#This Row],[B-S]]-TablaModelos[[#This Row],[JR]])</f>
        <v>2.9549826797262924E-2</v>
      </c>
      <c r="O64" s="54">
        <f>ABS(TablaModelos[[#This Row],[B-S]]-TablaModelos[[#This Row],[Binomial]])</f>
        <v>5.9172554645568809E-2</v>
      </c>
      <c r="AE64" s="49"/>
      <c r="AF64" s="49"/>
      <c r="AG64" s="49"/>
      <c r="AH64" s="49"/>
      <c r="AI64" s="49"/>
      <c r="AJ64" s="49"/>
      <c r="AK64" s="49"/>
    </row>
    <row r="65" spans="8:37" x14ac:dyDescent="0.25">
      <c r="H65">
        <v>64</v>
      </c>
      <c r="I65">
        <f>bsc($B$4,$B$5,$B$6,$B$9,$B$8,$B$7,$B$2)</f>
        <v>13.145893900288087</v>
      </c>
      <c r="J65" s="54">
        <f>CRR($B$4,$B$5,$B$9,$B$6,$B$7,$H65,$B$2)</f>
        <v>13.085174619287685</v>
      </c>
      <c r="K65" s="54">
        <f>JR($B$4,$B$5,$B$9,$B$6,$B$7,$B$8,$H65,$B$2)</f>
        <v>13.151565206553453</v>
      </c>
      <c r="L65" s="54">
        <f>Binomial($B$4,$B$5,$B$9,$B$6,$B$7,$B$8,$H65,$B$2)</f>
        <v>13.20403727748567</v>
      </c>
      <c r="M65" s="54">
        <f>ABS(TablaModelos[[#This Row],[B-S]]-TablaModelos[[#This Row],[CRR]])</f>
        <v>6.0719281000402248E-2</v>
      </c>
      <c r="N65" s="54">
        <f>ABS(TablaModelos[[#This Row],[B-S]]-TablaModelos[[#This Row],[JR]])</f>
        <v>5.6713062653663826E-3</v>
      </c>
      <c r="O65" s="54">
        <f>ABS(TablaModelos[[#This Row],[B-S]]-TablaModelos[[#This Row],[Binomial]])</f>
        <v>5.814337719758278E-2</v>
      </c>
      <c r="AE65" s="49"/>
      <c r="AF65" s="49"/>
      <c r="AG65" s="49"/>
      <c r="AH65" s="49"/>
      <c r="AI65" s="49"/>
      <c r="AJ65" s="49"/>
      <c r="AK65" s="49"/>
    </row>
    <row r="66" spans="8:37" x14ac:dyDescent="0.25">
      <c r="H66">
        <v>65</v>
      </c>
      <c r="I66">
        <f>bsc($B$4,$B$5,$B$6,$B$9,$B$8,$B$7,$B$2)</f>
        <v>13.145893900288087</v>
      </c>
      <c r="J66" s="54">
        <f>CRR($B$4,$B$5,$B$9,$B$6,$B$7,$H66,$B$2)</f>
        <v>13.202526656776939</v>
      </c>
      <c r="K66" s="54">
        <f>JR($B$4,$B$5,$B$9,$B$6,$B$7,$B$8,$H66,$B$2)</f>
        <v>13.176845661726896</v>
      </c>
      <c r="L66" s="54">
        <f>Binomial($B$4,$B$5,$B$9,$B$6,$B$7,$B$8,$H66,$B$2)</f>
        <v>13.088487620765429</v>
      </c>
      <c r="M66" s="54">
        <f>ABS(TablaModelos[[#This Row],[B-S]]-TablaModelos[[#This Row],[CRR]])</f>
        <v>5.6632756488852465E-2</v>
      </c>
      <c r="N66" s="54">
        <f>ABS(TablaModelos[[#This Row],[B-S]]-TablaModelos[[#This Row],[JR]])</f>
        <v>3.0951761438808845E-2</v>
      </c>
      <c r="O66" s="54">
        <f>ABS(TablaModelos[[#This Row],[B-S]]-TablaModelos[[#This Row],[Binomial]])</f>
        <v>5.7406279522657755E-2</v>
      </c>
      <c r="AE66" s="49"/>
      <c r="AF66" s="49"/>
      <c r="AG66" s="49"/>
      <c r="AH66" s="49"/>
      <c r="AI66" s="49"/>
      <c r="AJ66" s="49"/>
      <c r="AK66" s="49"/>
    </row>
    <row r="67" spans="8:37" x14ac:dyDescent="0.25">
      <c r="H67">
        <v>66</v>
      </c>
      <c r="I67">
        <f>bsc($B$4,$B$5,$B$6,$B$9,$B$8,$B$7,$B$2)</f>
        <v>13.145893900288087</v>
      </c>
      <c r="J67" s="54">
        <f>CRR($B$4,$B$5,$B$9,$B$6,$B$7,$H67,$B$2)</f>
        <v>13.087010974332225</v>
      </c>
      <c r="K67" s="54">
        <f>JR($B$4,$B$5,$B$9,$B$6,$B$7,$B$8,$H67,$B$2)</f>
        <v>13.147917153538875</v>
      </c>
      <c r="L67" s="54">
        <f>Binomial($B$4,$B$5,$B$9,$B$6,$B$7,$B$8,$H67,$B$2)</f>
        <v>13.202262553021683</v>
      </c>
      <c r="M67" s="54">
        <f>ABS(TablaModelos[[#This Row],[B-S]]-TablaModelos[[#This Row],[CRR]])</f>
        <v>5.8882925955861865E-2</v>
      </c>
      <c r="N67" s="54">
        <f>ABS(TablaModelos[[#This Row],[B-S]]-TablaModelos[[#This Row],[JR]])</f>
        <v>2.0232532507886702E-3</v>
      </c>
      <c r="O67" s="54">
        <f>ABS(TablaModelos[[#This Row],[B-S]]-TablaModelos[[#This Row],[Binomial]])</f>
        <v>5.6368652733596036E-2</v>
      </c>
      <c r="AE67" s="49"/>
      <c r="AF67" s="49"/>
      <c r="AG67" s="49"/>
      <c r="AH67" s="49"/>
      <c r="AI67" s="49"/>
      <c r="AJ67" s="49"/>
      <c r="AK67" s="49"/>
    </row>
    <row r="68" spans="8:37" x14ac:dyDescent="0.25">
      <c r="H68">
        <v>67</v>
      </c>
      <c r="I68">
        <f>bsc($B$4,$B$5,$B$6,$B$9,$B$8,$B$7,$B$2)</f>
        <v>13.145893900288087</v>
      </c>
      <c r="J68" s="54">
        <f>CRR($B$4,$B$5,$B$9,$B$6,$B$7,$H68,$B$2)</f>
        <v>13.200833287482631</v>
      </c>
      <c r="K68" s="54">
        <f>JR($B$4,$B$5,$B$9,$B$6,$B$7,$B$8,$H68,$B$2)</f>
        <v>13.177990314353313</v>
      </c>
      <c r="L68" s="54">
        <f>Binomial($B$4,$B$5,$B$9,$B$6,$B$7,$B$8,$H68,$B$2)</f>
        <v>13.093575908510902</v>
      </c>
      <c r="M68" s="54">
        <f>ABS(TablaModelos[[#This Row],[B-S]]-TablaModelos[[#This Row],[CRR]])</f>
        <v>5.4939387194544054E-2</v>
      </c>
      <c r="N68" s="54">
        <f>ABS(TablaModelos[[#This Row],[B-S]]-TablaModelos[[#This Row],[JR]])</f>
        <v>3.2096414065225787E-2</v>
      </c>
      <c r="O68" s="54">
        <f>ABS(TablaModelos[[#This Row],[B-S]]-TablaModelos[[#This Row],[Binomial]])</f>
        <v>5.2317991777185213E-2</v>
      </c>
      <c r="AE68" s="49"/>
      <c r="AF68" s="49"/>
      <c r="AG68" s="49"/>
      <c r="AH68" s="49"/>
      <c r="AI68" s="49"/>
      <c r="AJ68" s="49"/>
      <c r="AK68" s="49"/>
    </row>
    <row r="69" spans="8:37" x14ac:dyDescent="0.25">
      <c r="H69">
        <v>68</v>
      </c>
      <c r="I69">
        <f>bsc($B$4,$B$5,$B$6,$B$9,$B$8,$B$7,$B$2)</f>
        <v>13.145893900288087</v>
      </c>
      <c r="J69" s="54">
        <f>CRR($B$4,$B$5,$B$9,$B$6,$B$7,$H69,$B$2)</f>
        <v>13.088739518967877</v>
      </c>
      <c r="K69" s="54">
        <f>JR($B$4,$B$5,$B$9,$B$6,$B$7,$B$8,$H69,$B$2)</f>
        <v>13.144403578130612</v>
      </c>
      <c r="L69" s="54">
        <f>Binomial($B$4,$B$5,$B$9,$B$6,$B$7,$B$8,$H69,$B$2)</f>
        <v>13.200539522870693</v>
      </c>
      <c r="M69" s="54">
        <f>ABS(TablaModelos[[#This Row],[B-S]]-TablaModelos[[#This Row],[CRR]])</f>
        <v>5.7154381320209779E-2</v>
      </c>
      <c r="N69" s="54">
        <f>ABS(TablaModelos[[#This Row],[B-S]]-TablaModelos[[#This Row],[JR]])</f>
        <v>1.4903221574744663E-3</v>
      </c>
      <c r="O69" s="54">
        <f>ABS(TablaModelos[[#This Row],[B-S]]-TablaModelos[[#This Row],[Binomial]])</f>
        <v>5.4645622582606634E-2</v>
      </c>
      <c r="AE69" s="49"/>
      <c r="AF69" s="49"/>
      <c r="AG69" s="49"/>
      <c r="AH69" s="49"/>
      <c r="AI69" s="49"/>
      <c r="AJ69" s="49"/>
      <c r="AK69" s="49"/>
    </row>
    <row r="70" spans="8:37" x14ac:dyDescent="0.25">
      <c r="H70">
        <v>69</v>
      </c>
      <c r="I70">
        <f>bsc($B$4,$B$5,$B$6,$B$9,$B$8,$B$7,$B$2)</f>
        <v>13.145893900288087</v>
      </c>
      <c r="J70" s="54">
        <f>CRR($B$4,$B$5,$B$9,$B$6,$B$7,$H70,$B$2)</f>
        <v>13.199238240874955</v>
      </c>
      <c r="K70" s="54">
        <f>JR($B$4,$B$5,$B$9,$B$6,$B$7,$B$8,$H70,$B$2)</f>
        <v>13.178907666747049</v>
      </c>
      <c r="L70" s="54">
        <f>Binomial($B$4,$B$5,$B$9,$B$6,$B$7,$B$8,$H70,$B$2)</f>
        <v>13.098273871509292</v>
      </c>
      <c r="M70" s="54">
        <f>ABS(TablaModelos[[#This Row],[B-S]]-TablaModelos[[#This Row],[CRR]])</f>
        <v>5.33443405868681E-2</v>
      </c>
      <c r="N70" s="54">
        <f>ABS(TablaModelos[[#This Row],[B-S]]-TablaModelos[[#This Row],[JR]])</f>
        <v>3.3013766458962479E-2</v>
      </c>
      <c r="O70" s="54">
        <f>ABS(TablaModelos[[#This Row],[B-S]]-TablaModelos[[#This Row],[Binomial]])</f>
        <v>4.7620028778794676E-2</v>
      </c>
      <c r="AE70" s="49"/>
      <c r="AF70" s="49"/>
      <c r="AG70" s="49"/>
      <c r="AH70" s="49"/>
      <c r="AI70" s="49"/>
      <c r="AJ70" s="49"/>
      <c r="AK70" s="49"/>
    </row>
    <row r="71" spans="8:37" x14ac:dyDescent="0.25">
      <c r="H71">
        <v>70</v>
      </c>
      <c r="I71">
        <f>bsc($B$4,$B$5,$B$6,$B$9,$B$8,$B$7,$B$2)</f>
        <v>13.145893900288087</v>
      </c>
      <c r="J71" s="54">
        <f>CRR($B$4,$B$5,$B$9,$B$6,$B$7,$H71,$B$2)</f>
        <v>13.090369476270517</v>
      </c>
      <c r="K71" s="54">
        <f>JR($B$4,$B$5,$B$9,$B$6,$B$7,$B$8,$H71,$B$2)</f>
        <v>13.141016378605885</v>
      </c>
      <c r="L71" s="54">
        <f>Binomial($B$4,$B$5,$B$9,$B$6,$B$7,$B$8,$H71,$B$2)</f>
        <v>13.198866005971134</v>
      </c>
      <c r="M71" s="54">
        <f>ABS(TablaModelos[[#This Row],[B-S]]-TablaModelos[[#This Row],[CRR]])</f>
        <v>5.5524424017569629E-2</v>
      </c>
      <c r="N71" s="54">
        <f>ABS(TablaModelos[[#This Row],[B-S]]-TablaModelos[[#This Row],[JR]])</f>
        <v>4.8775216822019019E-3</v>
      </c>
      <c r="O71" s="54">
        <f>ABS(TablaModelos[[#This Row],[B-S]]-TablaModelos[[#This Row],[Binomial]])</f>
        <v>5.2972105683046777E-2</v>
      </c>
      <c r="AE71" s="49"/>
      <c r="AF71" s="49"/>
      <c r="AG71" s="49"/>
      <c r="AH71" s="49"/>
      <c r="AI71" s="49"/>
      <c r="AJ71" s="49"/>
      <c r="AK71" s="49"/>
    </row>
    <row r="72" spans="8:37" x14ac:dyDescent="0.25">
      <c r="H72">
        <v>71</v>
      </c>
      <c r="I72">
        <f>bsc($B$4,$B$5,$B$6,$B$9,$B$8,$B$7,$B$2)</f>
        <v>13.145893900288087</v>
      </c>
      <c r="J72" s="54">
        <f>CRR($B$4,$B$5,$B$9,$B$6,$B$7,$H72,$B$2)</f>
        <v>13.197733195430786</v>
      </c>
      <c r="K72" s="54">
        <f>JR($B$4,$B$5,$B$9,$B$6,$B$7,$B$8,$H72,$B$2)</f>
        <v>13.179623787140947</v>
      </c>
      <c r="L72" s="54">
        <f>Binomial($B$4,$B$5,$B$9,$B$6,$B$7,$B$8,$H72,$B$2)</f>
        <v>13.102618239796067</v>
      </c>
      <c r="M72" s="54">
        <f>ABS(TablaModelos[[#This Row],[B-S]]-TablaModelos[[#This Row],[CRR]])</f>
        <v>5.1839295142698916E-2</v>
      </c>
      <c r="N72" s="54">
        <f>ABS(TablaModelos[[#This Row],[B-S]]-TablaModelos[[#This Row],[JR]])</f>
        <v>3.3729886852860602E-2</v>
      </c>
      <c r="O72" s="54">
        <f>ABS(TablaModelos[[#This Row],[B-S]]-TablaModelos[[#This Row],[Binomial]])</f>
        <v>4.3275660492019696E-2</v>
      </c>
      <c r="AE72" s="49"/>
      <c r="AF72" s="49"/>
      <c r="AG72" s="49"/>
      <c r="AH72" s="49"/>
      <c r="AI72" s="49"/>
      <c r="AJ72" s="49"/>
      <c r="AK72" s="49"/>
    </row>
    <row r="73" spans="8:37" x14ac:dyDescent="0.25">
      <c r="H73">
        <v>72</v>
      </c>
      <c r="I73">
        <f>bsc($B$4,$B$5,$B$6,$B$9,$B$8,$B$7,$B$2)</f>
        <v>13.145893900288087</v>
      </c>
      <c r="J73" s="54">
        <f>CRR($B$4,$B$5,$B$9,$B$6,$B$7,$H73,$B$2)</f>
        <v>13.091909046484396</v>
      </c>
      <c r="K73" s="54">
        <f>JR($B$4,$B$5,$B$9,$B$6,$B$7,$B$8,$H73,$B$2)</f>
        <v>13.13774811628905</v>
      </c>
      <c r="L73" s="54">
        <f>Binomial($B$4,$B$5,$B$9,$B$6,$B$7,$B$8,$H73,$B$2)</f>
        <v>13.197239908073776</v>
      </c>
      <c r="M73" s="54">
        <f>ABS(TablaModelos[[#This Row],[B-S]]-TablaModelos[[#This Row],[CRR]])</f>
        <v>5.3984853803690669E-2</v>
      </c>
      <c r="N73" s="54">
        <f>ABS(TablaModelos[[#This Row],[B-S]]-TablaModelos[[#This Row],[JR]])</f>
        <v>8.1457839990370928E-3</v>
      </c>
      <c r="O73" s="54">
        <f>ABS(TablaModelos[[#This Row],[B-S]]-TablaModelos[[#This Row],[Binomial]])</f>
        <v>5.1346007785689096E-2</v>
      </c>
      <c r="AE73" s="49"/>
      <c r="AF73" s="49"/>
      <c r="AG73" s="49"/>
      <c r="AH73" s="49"/>
      <c r="AI73" s="49"/>
      <c r="AJ73" s="49"/>
      <c r="AK73" s="49"/>
    </row>
    <row r="74" spans="8:37" x14ac:dyDescent="0.25">
      <c r="H74">
        <v>73</v>
      </c>
      <c r="I74">
        <f>bsc($B$4,$B$5,$B$6,$B$9,$B$8,$B$7,$B$2)</f>
        <v>13.145893900288087</v>
      </c>
      <c r="J74" s="54">
        <f>CRR($B$4,$B$5,$B$9,$B$6,$B$7,$H74,$B$2)</f>
        <v>13.196310742886503</v>
      </c>
      <c r="K74" s="54">
        <f>JR($B$4,$B$5,$B$9,$B$6,$B$7,$B$8,$H74,$B$2)</f>
        <v>13.180161417245477</v>
      </c>
      <c r="L74" s="54">
        <f>Binomial($B$4,$B$5,$B$9,$B$6,$B$7,$B$8,$H74,$B$2)</f>
        <v>13.106641484235823</v>
      </c>
      <c r="M74" s="54">
        <f>ABS(TablaModelos[[#This Row],[B-S]]-TablaModelos[[#This Row],[CRR]])</f>
        <v>5.0416842598416167E-2</v>
      </c>
      <c r="N74" s="54">
        <f>ABS(TablaModelos[[#This Row],[B-S]]-TablaModelos[[#This Row],[JR]])</f>
        <v>3.4267516957390498E-2</v>
      </c>
      <c r="O74" s="54">
        <f>ABS(TablaModelos[[#This Row],[B-S]]-TablaModelos[[#This Row],[Binomial]])</f>
        <v>3.9252416052264039E-2</v>
      </c>
      <c r="AE74" s="49"/>
      <c r="AF74" s="49"/>
      <c r="AG74" s="49"/>
      <c r="AH74" s="49"/>
      <c r="AI74" s="49"/>
      <c r="AJ74" s="49"/>
      <c r="AK74" s="49"/>
    </row>
    <row r="75" spans="8:37" x14ac:dyDescent="0.25">
      <c r="H75">
        <v>74</v>
      </c>
      <c r="I75">
        <f>bsc($B$4,$B$5,$B$6,$B$9,$B$8,$B$7,$B$2)</f>
        <v>13.145893900288087</v>
      </c>
      <c r="J75" s="54">
        <f>CRR($B$4,$B$5,$B$9,$B$6,$B$7,$H75,$B$2)</f>
        <v>13.093365544982884</v>
      </c>
      <c r="K75" s="54">
        <f>JR($B$4,$B$5,$B$9,$B$6,$B$7,$B$8,$H75,$B$2)</f>
        <v>13.134591948309348</v>
      </c>
      <c r="L75" s="54">
        <f>Binomial($B$4,$B$5,$B$9,$B$6,$B$7,$B$8,$H75,$B$2)</f>
        <v>13.195659224646894</v>
      </c>
      <c r="M75" s="54">
        <f>ABS(TablaModelos[[#This Row],[B-S]]-TablaModelos[[#This Row],[CRR]])</f>
        <v>5.2528355305202723E-2</v>
      </c>
      <c r="N75" s="54">
        <f>ABS(TablaModelos[[#This Row],[B-S]]-TablaModelos[[#This Row],[JR]])</f>
        <v>1.1301951978738956E-2</v>
      </c>
      <c r="O75" s="54">
        <f>ABS(TablaModelos[[#This Row],[B-S]]-TablaModelos[[#This Row],[Binomial]])</f>
        <v>4.9765324358807206E-2</v>
      </c>
      <c r="AE75" s="49"/>
      <c r="AF75" s="49"/>
      <c r="AG75" s="49"/>
      <c r="AH75" s="49"/>
      <c r="AI75" s="49"/>
      <c r="AJ75" s="49"/>
      <c r="AK75" s="49"/>
    </row>
    <row r="76" spans="8:37" x14ac:dyDescent="0.25">
      <c r="H76">
        <v>75</v>
      </c>
      <c r="I76">
        <f>bsc($B$4,$B$5,$B$6,$B$9,$B$8,$B$7,$B$2)</f>
        <v>13.145893900288087</v>
      </c>
      <c r="J76" s="54">
        <f>CRR($B$4,$B$5,$B$9,$B$6,$B$7,$H76,$B$2)</f>
        <v>13.194964266301222</v>
      </c>
      <c r="K76" s="54">
        <f>JR($B$4,$B$5,$B$9,$B$6,$B$7,$B$8,$H76,$B$2)</f>
        <v>13.180540459318115</v>
      </c>
      <c r="L76" s="54">
        <f>Binomial($B$4,$B$5,$B$9,$B$6,$B$7,$B$8,$H76,$B$2)</f>
        <v>13.110372403951462</v>
      </c>
      <c r="M76" s="54">
        <f>ABS(TablaModelos[[#This Row],[B-S]]-TablaModelos[[#This Row],[CRR]])</f>
        <v>4.9070366013134858E-2</v>
      </c>
      <c r="N76" s="54">
        <f>ABS(TablaModelos[[#This Row],[B-S]]-TablaModelos[[#This Row],[JR]])</f>
        <v>3.4646559030028001E-2</v>
      </c>
      <c r="O76" s="54">
        <f>ABS(TablaModelos[[#This Row],[B-S]]-TablaModelos[[#This Row],[Binomial]])</f>
        <v>3.5521496336624381E-2</v>
      </c>
      <c r="AE76" s="49"/>
      <c r="AF76" s="49"/>
      <c r="AG76" s="49"/>
      <c r="AH76" s="49"/>
      <c r="AI76" s="49"/>
      <c r="AJ76" s="49"/>
      <c r="AK76" s="49"/>
    </row>
    <row r="77" spans="8:37" x14ac:dyDescent="0.25">
      <c r="H77">
        <v>76</v>
      </c>
      <c r="I77">
        <f>bsc($B$4,$B$5,$B$6,$B$9,$B$8,$B$7,$B$2)</f>
        <v>13.145893900288087</v>
      </c>
      <c r="J77" s="54">
        <f>CRR($B$4,$B$5,$B$9,$B$6,$B$7,$H77,$B$2)</f>
        <v>13.094745518484473</v>
      </c>
      <c r="K77" s="54">
        <f>JR($B$4,$B$5,$B$9,$B$6,$B$7,$B$8,$H77,$B$2)</f>
        <v>13.131541568336631</v>
      </c>
      <c r="L77" s="54">
        <f>Binomial($B$4,$B$5,$B$9,$B$6,$B$7,$B$8,$H77,$B$2)</f>
        <v>13.194122041598353</v>
      </c>
      <c r="M77" s="54">
        <f>ABS(TablaModelos[[#This Row],[B-S]]-TablaModelos[[#This Row],[CRR]])</f>
        <v>5.1148381803614029E-2</v>
      </c>
      <c r="N77" s="54">
        <f>ABS(TablaModelos[[#This Row],[B-S]]-TablaModelos[[#This Row],[JR]])</f>
        <v>1.4352331951455355E-2</v>
      </c>
      <c r="O77" s="54">
        <f>ABS(TablaModelos[[#This Row],[B-S]]-TablaModelos[[#This Row],[Binomial]])</f>
        <v>4.8228141310266537E-2</v>
      </c>
      <c r="AE77" s="49"/>
      <c r="AF77" s="49"/>
      <c r="AG77" s="49"/>
      <c r="AH77" s="49"/>
      <c r="AI77" s="49"/>
      <c r="AJ77" s="49"/>
      <c r="AK77" s="49"/>
    </row>
    <row r="78" spans="8:37" x14ac:dyDescent="0.25">
      <c r="H78">
        <v>77</v>
      </c>
      <c r="I78">
        <f>bsc($B$4,$B$5,$B$6,$B$9,$B$8,$B$7,$B$2)</f>
        <v>13.145893900288087</v>
      </c>
      <c r="J78" s="54">
        <f>CRR($B$4,$B$5,$B$9,$B$6,$B$7,$H78,$B$2)</f>
        <v>13.193687837152117</v>
      </c>
      <c r="K78" s="54">
        <f>JR($B$4,$B$5,$B$9,$B$6,$B$7,$B$8,$H78,$B$2)</f>
        <v>13.180778382304005</v>
      </c>
      <c r="L78" s="54">
        <f>Binomial($B$4,$B$5,$B$9,$B$6,$B$7,$B$8,$H78,$B$2)</f>
        <v>13.113836620209419</v>
      </c>
      <c r="M78" s="54">
        <f>ABS(TablaModelos[[#This Row],[B-S]]-TablaModelos[[#This Row],[CRR]])</f>
        <v>4.7793936864030329E-2</v>
      </c>
      <c r="N78" s="54">
        <f>ABS(TablaModelos[[#This Row],[B-S]]-TablaModelos[[#This Row],[JR]])</f>
        <v>3.488448201591865E-2</v>
      </c>
      <c r="O78" s="54">
        <f>ABS(TablaModelos[[#This Row],[B-S]]-TablaModelos[[#This Row],[Binomial]])</f>
        <v>3.2057280078667816E-2</v>
      </c>
      <c r="AE78" s="49"/>
      <c r="AF78" s="49"/>
      <c r="AG78" s="49"/>
      <c r="AH78" s="49"/>
      <c r="AI78" s="49"/>
      <c r="AJ78" s="49"/>
      <c r="AK78" s="49"/>
    </row>
    <row r="79" spans="8:37" x14ac:dyDescent="0.25">
      <c r="H79">
        <v>78</v>
      </c>
      <c r="I79">
        <f>bsc($B$4,$B$5,$B$6,$B$9,$B$8,$B$7,$B$2)</f>
        <v>13.145893900288087</v>
      </c>
      <c r="J79" s="54">
        <f>CRR($B$4,$B$5,$B$9,$B$6,$B$7,$H79,$B$2)</f>
        <v>13.096054843421966</v>
      </c>
      <c r="K79" s="54">
        <f>JR($B$4,$B$5,$B$9,$B$6,$B$7,$B$8,$H79,$B$2)</f>
        <v>13.128591154235123</v>
      </c>
      <c r="L79" s="54">
        <f>Binomial($B$4,$B$5,$B$9,$B$6,$B$7,$B$8,$H79,$B$2)</f>
        <v>13.19262653444974</v>
      </c>
      <c r="M79" s="54">
        <f>ABS(TablaModelos[[#This Row],[B-S]]-TablaModelos[[#This Row],[CRR]])</f>
        <v>4.9839056866121112E-2</v>
      </c>
      <c r="N79" s="54">
        <f>ABS(TablaModelos[[#This Row],[B-S]]-TablaModelos[[#This Row],[JR]])</f>
        <v>1.7302746052964224E-2</v>
      </c>
      <c r="O79" s="54">
        <f>ABS(TablaModelos[[#This Row],[B-S]]-TablaModelos[[#This Row],[Binomial]])</f>
        <v>4.6732634161653408E-2</v>
      </c>
      <c r="AE79" s="49"/>
      <c r="AF79" s="49"/>
      <c r="AG79" s="49"/>
      <c r="AH79" s="49"/>
      <c r="AI79" s="49"/>
      <c r="AJ79" s="49"/>
      <c r="AK79" s="49"/>
    </row>
    <row r="80" spans="8:37" x14ac:dyDescent="0.25">
      <c r="H80">
        <v>79</v>
      </c>
      <c r="I80">
        <f>bsc($B$4,$B$5,$B$6,$B$9,$B$8,$B$7,$B$2)</f>
        <v>13.145893900288087</v>
      </c>
      <c r="J80" s="54">
        <f>CRR($B$4,$B$5,$B$9,$B$6,$B$7,$H80,$B$2)</f>
        <v>13.192476128076516</v>
      </c>
      <c r="K80" s="54">
        <f>JR($B$4,$B$5,$B$9,$B$6,$B$7,$B$8,$H80,$B$2)</f>
        <v>13.180890562069621</v>
      </c>
      <c r="L80" s="54">
        <f>Binomial($B$4,$B$5,$B$9,$B$6,$B$7,$B$8,$H80,$B$2)</f>
        <v>13.117056993567175</v>
      </c>
      <c r="M80" s="54">
        <f>ABS(TablaModelos[[#This Row],[B-S]]-TablaModelos[[#This Row],[CRR]])</f>
        <v>4.6582227788428909E-2</v>
      </c>
      <c r="N80" s="54">
        <f>ABS(TablaModelos[[#This Row],[B-S]]-TablaModelos[[#This Row],[JR]])</f>
        <v>3.4996661781534044E-2</v>
      </c>
      <c r="O80" s="54">
        <f>ABS(TablaModelos[[#This Row],[B-S]]-TablaModelos[[#This Row],[Binomial]])</f>
        <v>2.883690672091177E-2</v>
      </c>
      <c r="AE80" s="49"/>
      <c r="AF80" s="49"/>
      <c r="AG80" s="49"/>
      <c r="AH80" s="49"/>
      <c r="AI80" s="49"/>
      <c r="AJ80" s="49"/>
      <c r="AK80" s="49"/>
    </row>
    <row r="81" spans="8:37" x14ac:dyDescent="0.25">
      <c r="H81">
        <v>80</v>
      </c>
      <c r="I81">
        <f>bsc($B$4,$B$5,$B$6,$B$9,$B$8,$B$7,$B$2)</f>
        <v>13.145893900288087</v>
      </c>
      <c r="J81" s="54">
        <f>CRR($B$4,$B$5,$B$9,$B$6,$B$7,$H81,$B$2)</f>
        <v>13.097298809586304</v>
      </c>
      <c r="K81" s="54">
        <f>JR($B$4,$B$5,$B$9,$B$6,$B$7,$B$8,$H81,$B$2)</f>
        <v>13.125735321728893</v>
      </c>
      <c r="L81" s="54">
        <f>Binomial($B$4,$B$5,$B$9,$B$6,$B$7,$B$8,$H81,$B$2)</f>
        <v>13.1911709664311</v>
      </c>
      <c r="M81" s="54">
        <f>ABS(TablaModelos[[#This Row],[B-S]]-TablaModelos[[#This Row],[CRR]])</f>
        <v>4.8595090701782695E-2</v>
      </c>
      <c r="N81" s="54">
        <f>ABS(TablaModelos[[#This Row],[B-S]]-TablaModelos[[#This Row],[JR]])</f>
        <v>2.0158578559193785E-2</v>
      </c>
      <c r="O81" s="54">
        <f>ABS(TablaModelos[[#This Row],[B-S]]-TablaModelos[[#This Row],[Binomial]])</f>
        <v>4.52770661430133E-2</v>
      </c>
      <c r="AE81" s="49"/>
      <c r="AF81" s="49"/>
      <c r="AG81" s="49"/>
      <c r="AH81" s="49"/>
      <c r="AI81" s="49"/>
      <c r="AJ81" s="49"/>
      <c r="AK81" s="49"/>
    </row>
    <row r="82" spans="8:37" x14ac:dyDescent="0.25">
      <c r="H82">
        <v>81</v>
      </c>
      <c r="I82">
        <f>bsc($B$4,$B$5,$B$6,$B$9,$B$8,$B$7,$B$2)</f>
        <v>13.145893900288087</v>
      </c>
      <c r="J82" s="54">
        <f>CRR($B$4,$B$5,$B$9,$B$6,$B$7,$H82,$B$2)</f>
        <v>13.191324338561994</v>
      </c>
      <c r="K82" s="54">
        <f>JR($B$4,$B$5,$B$9,$B$6,$B$7,$B$8,$H82,$B$2)</f>
        <v>13.180890567691938</v>
      </c>
      <c r="L82" s="54">
        <f>Binomial($B$4,$B$5,$B$9,$B$6,$B$7,$B$8,$H82,$B$2)</f>
        <v>13.120053977756184</v>
      </c>
      <c r="M82" s="54">
        <f>ABS(TablaModelos[[#This Row],[B-S]]-TablaModelos[[#This Row],[CRR]])</f>
        <v>4.543043827390747E-2</v>
      </c>
      <c r="N82" s="54">
        <f>ABS(TablaModelos[[#This Row],[B-S]]-TablaModelos[[#This Row],[JR]])</f>
        <v>3.4996667403850878E-2</v>
      </c>
      <c r="O82" s="54">
        <f>ABS(TablaModelos[[#This Row],[B-S]]-TablaModelos[[#This Row],[Binomial]])</f>
        <v>2.5839922531902815E-2</v>
      </c>
      <c r="AE82" s="49"/>
      <c r="AF82" s="49"/>
      <c r="AG82" s="49"/>
      <c r="AH82" s="49"/>
      <c r="AI82" s="49"/>
      <c r="AJ82" s="49"/>
      <c r="AK82" s="49"/>
    </row>
    <row r="83" spans="8:37" x14ac:dyDescent="0.25">
      <c r="H83">
        <v>82</v>
      </c>
      <c r="I83">
        <f>bsc($B$4,$B$5,$B$6,$B$9,$B$8,$B$7,$B$2)</f>
        <v>13.145893900288087</v>
      </c>
      <c r="J83" s="54">
        <f>CRR($B$4,$B$5,$B$9,$B$6,$B$7,$H83,$B$2)</f>
        <v>13.098482191543351</v>
      </c>
      <c r="K83" s="54">
        <f>JR($B$4,$B$5,$B$9,$B$6,$B$7,$B$8,$H83,$B$2)</f>
        <v>13.122969083289215</v>
      </c>
      <c r="L83" s="54">
        <f>Binomial($B$4,$B$5,$B$9,$B$6,$B$7,$B$8,$H83,$B$2)</f>
        <v>13.189753685833837</v>
      </c>
      <c r="M83" s="54">
        <f>ABS(TablaModelos[[#This Row],[B-S]]-TablaModelos[[#This Row],[CRR]])</f>
        <v>4.7411708744736103E-2</v>
      </c>
      <c r="N83" s="54">
        <f>ABS(TablaModelos[[#This Row],[B-S]]-TablaModelos[[#This Row],[JR]])</f>
        <v>2.2924816998871833E-2</v>
      </c>
      <c r="O83" s="54">
        <f>ABS(TablaModelos[[#This Row],[B-S]]-TablaModelos[[#This Row],[Binomial]])</f>
        <v>4.385978554575054E-2</v>
      </c>
      <c r="AE83" s="49"/>
      <c r="AF83" s="49"/>
      <c r="AG83" s="49"/>
      <c r="AH83" s="49"/>
      <c r="AI83" s="49"/>
      <c r="AJ83" s="49"/>
      <c r="AK83" s="49"/>
    </row>
    <row r="84" spans="8:37" x14ac:dyDescent="0.25">
      <c r="H84">
        <v>83</v>
      </c>
      <c r="I84">
        <f>bsc($B$4,$B$5,$B$6,$B$9,$B$8,$B$7,$B$2)</f>
        <v>13.145893900288087</v>
      </c>
      <c r="J84" s="54">
        <f>CRR($B$4,$B$5,$B$9,$B$6,$B$7,$H84,$B$2)</f>
        <v>13.190228131389977</v>
      </c>
      <c r="K84" s="54">
        <f>JR($B$4,$B$5,$B$9,$B$6,$B$7,$B$8,$H84,$B$2)</f>
        <v>13.180790403359598</v>
      </c>
      <c r="L84" s="54">
        <f>Binomial($B$4,$B$5,$B$9,$B$6,$B$7,$B$8,$H84,$B$2)</f>
        <v>13.1228459211342</v>
      </c>
      <c r="M84" s="54">
        <f>ABS(TablaModelos[[#This Row],[B-S]]-TablaModelos[[#This Row],[CRR]])</f>
        <v>4.4334231101890609E-2</v>
      </c>
      <c r="N84" s="54">
        <f>ABS(TablaModelos[[#This Row],[B-S]]-TablaModelos[[#This Row],[JR]])</f>
        <v>3.4896503071511376E-2</v>
      </c>
      <c r="O84" s="54">
        <f>ABS(TablaModelos[[#This Row],[B-S]]-TablaModelos[[#This Row],[Binomial]])</f>
        <v>2.3047979153886899E-2</v>
      </c>
      <c r="AE84" s="49"/>
      <c r="AF84" s="49"/>
      <c r="AG84" s="49"/>
      <c r="AH84" s="49"/>
      <c r="AI84" s="49"/>
      <c r="AJ84" s="49"/>
      <c r="AK84" s="49"/>
    </row>
    <row r="85" spans="8:37" x14ac:dyDescent="0.25">
      <c r="H85">
        <v>84</v>
      </c>
      <c r="I85">
        <f>bsc($B$4,$B$5,$B$6,$B$9,$B$8,$B$7,$B$2)</f>
        <v>13.145893900288087</v>
      </c>
      <c r="J85" s="54">
        <f>CRR($B$4,$B$5,$B$9,$B$6,$B$7,$H85,$B$2)</f>
        <v>13.099609309874268</v>
      </c>
      <c r="K85" s="54">
        <f>JR($B$4,$B$5,$B$9,$B$6,$B$7,$B$8,$H85,$B$2)</f>
        <v>13.120287811589977</v>
      </c>
      <c r="L85" s="54">
        <f>Binomial($B$4,$B$5,$B$9,$B$6,$B$7,$B$8,$H85,$B$2)</f>
        <v>13.188373122890832</v>
      </c>
      <c r="M85" s="54">
        <f>ABS(TablaModelos[[#This Row],[B-S]]-TablaModelos[[#This Row],[CRR]])</f>
        <v>4.628459041381916E-2</v>
      </c>
      <c r="N85" s="54">
        <f>ABS(TablaModelos[[#This Row],[B-S]]-TablaModelos[[#This Row],[JR]])</f>
        <v>2.5606088698109986E-2</v>
      </c>
      <c r="O85" s="54">
        <f>ABS(TablaModelos[[#This Row],[B-S]]-TablaModelos[[#This Row],[Binomial]])</f>
        <v>4.2479222602745281E-2</v>
      </c>
      <c r="AE85" s="49"/>
      <c r="AF85" s="49"/>
      <c r="AG85" s="49"/>
      <c r="AH85" s="49"/>
      <c r="AI85" s="49"/>
      <c r="AJ85" s="49"/>
      <c r="AK85" s="49"/>
    </row>
    <row r="86" spans="8:37" x14ac:dyDescent="0.25">
      <c r="H86">
        <v>85</v>
      </c>
      <c r="I86">
        <f>bsc($B$4,$B$5,$B$6,$B$9,$B$8,$B$7,$B$2)</f>
        <v>13.145893900288087</v>
      </c>
      <c r="J86" s="54">
        <f>CRR($B$4,$B$5,$B$9,$B$6,$B$7,$H86,$B$2)</f>
        <v>13.189183578063281</v>
      </c>
      <c r="K86" s="54">
        <f>JR($B$4,$B$5,$B$9,$B$6,$B$7,$B$8,$H86,$B$2)</f>
        <v>13.180600713579256</v>
      </c>
      <c r="L86" s="54">
        <f>Binomial($B$4,$B$5,$B$9,$B$6,$B$7,$B$8,$H86,$B$2)</f>
        <v>13.125449324485556</v>
      </c>
      <c r="M86" s="54">
        <f>ABS(TablaModelos[[#This Row],[B-S]]-TablaModelos[[#This Row],[CRR]])</f>
        <v>4.328967777519388E-2</v>
      </c>
      <c r="N86" s="54">
        <f>ABS(TablaModelos[[#This Row],[B-S]]-TablaModelos[[#This Row],[JR]])</f>
        <v>3.4706813291169425E-2</v>
      </c>
      <c r="O86" s="54">
        <f>ABS(TablaModelos[[#This Row],[B-S]]-TablaModelos[[#This Row],[Binomial]])</f>
        <v>2.0444575802530451E-2</v>
      </c>
      <c r="AE86" s="49"/>
      <c r="AF86" s="49"/>
      <c r="AG86" s="49"/>
      <c r="AH86" s="49"/>
      <c r="AI86" s="49"/>
      <c r="AJ86" s="49"/>
      <c r="AK86" s="49"/>
    </row>
    <row r="87" spans="8:37" x14ac:dyDescent="0.25">
      <c r="H87">
        <v>86</v>
      </c>
      <c r="I87">
        <f>bsc($B$4,$B$5,$B$6,$B$9,$B$8,$B$7,$B$2)</f>
        <v>13.145893900288087</v>
      </c>
      <c r="J87" s="54">
        <f>CRR($B$4,$B$5,$B$9,$B$6,$B$7,$H87,$B$2)</f>
        <v>13.100684083876192</v>
      </c>
      <c r="K87" s="54">
        <f>JR($B$4,$B$5,$B$9,$B$6,$B$7,$B$8,$H87,$B$2)</f>
        <v>13.117687206941383</v>
      </c>
      <c r="L87" s="54">
        <f>Binomial($B$4,$B$5,$B$9,$B$6,$B$7,$B$8,$H87,$B$2)</f>
        <v>13.187027786354411</v>
      </c>
      <c r="M87" s="54">
        <f>ABS(TablaModelos[[#This Row],[B-S]]-TablaModelos[[#This Row],[CRR]])</f>
        <v>4.5209816411894366E-2</v>
      </c>
      <c r="N87" s="54">
        <f>ABS(TablaModelos[[#This Row],[B-S]]-TablaModelos[[#This Row],[JR]])</f>
        <v>2.820669334670356E-2</v>
      </c>
      <c r="O87" s="54">
        <f>ABS(TablaModelos[[#This Row],[B-S]]-TablaModelos[[#This Row],[Binomial]])</f>
        <v>4.1133886066324621E-2</v>
      </c>
      <c r="AE87" s="49"/>
      <c r="AF87" s="49"/>
      <c r="AG87" s="49"/>
      <c r="AH87" s="49"/>
      <c r="AI87" s="49"/>
      <c r="AJ87" s="49"/>
      <c r="AK87" s="49"/>
    </row>
    <row r="88" spans="8:37" x14ac:dyDescent="0.25">
      <c r="H88">
        <v>87</v>
      </c>
      <c r="I88">
        <f>bsc($B$4,$B$5,$B$6,$B$9,$B$8,$B$7,$B$2)</f>
        <v>13.145893900288087</v>
      </c>
      <c r="J88" s="54">
        <f>CRR($B$4,$B$5,$B$9,$B$6,$B$7,$H88,$B$2)</f>
        <v>13.188187111769993</v>
      </c>
      <c r="K88" s="54">
        <f>JR($B$4,$B$5,$B$9,$B$6,$B$7,$B$8,$H88,$B$2)</f>
        <v>13.180330957913306</v>
      </c>
      <c r="L88" s="54">
        <f>Binomial($B$4,$B$5,$B$9,$B$6,$B$7,$B$8,$H88,$B$2)</f>
        <v>13.127879062321165</v>
      </c>
      <c r="M88" s="54">
        <f>ABS(TablaModelos[[#This Row],[B-S]]-TablaModelos[[#This Row],[CRR]])</f>
        <v>4.2293211481906567E-2</v>
      </c>
      <c r="N88" s="54">
        <f>ABS(TablaModelos[[#This Row],[B-S]]-TablaModelos[[#This Row],[JR]])</f>
        <v>3.443705762521887E-2</v>
      </c>
      <c r="O88" s="54">
        <f>ABS(TablaModelos[[#This Row],[B-S]]-TablaModelos[[#This Row],[Binomial]])</f>
        <v>1.8014837966921604E-2</v>
      </c>
      <c r="AE88" s="49"/>
      <c r="AF88" s="49"/>
      <c r="AG88" s="49"/>
      <c r="AH88" s="49"/>
      <c r="AI88" s="49"/>
      <c r="AJ88" s="49"/>
      <c r="AK88" s="49"/>
    </row>
    <row r="89" spans="8:37" x14ac:dyDescent="0.25">
      <c r="H89">
        <v>88</v>
      </c>
      <c r="I89">
        <f>bsc($B$4,$B$5,$B$6,$B$9,$B$8,$B$7,$B$2)</f>
        <v>13.145893900288087</v>
      </c>
      <c r="J89" s="54">
        <f>CRR($B$4,$B$5,$B$9,$B$6,$B$7,$H89,$B$2)</f>
        <v>13.101710077093053</v>
      </c>
      <c r="K89" s="54">
        <f>JR($B$4,$B$5,$B$9,$B$6,$B$7,$B$8,$H89,$B$2)</f>
        <v>13.115163268216982</v>
      </c>
      <c r="L89" s="54">
        <f>Binomial($B$4,$B$5,$B$9,$B$6,$B$7,$B$8,$H89,$B$2)</f>
        <v>13.185716259924448</v>
      </c>
      <c r="M89" s="54">
        <f>ABS(TablaModelos[[#This Row],[B-S]]-TablaModelos[[#This Row],[CRR]])</f>
        <v>4.4183823195034222E-2</v>
      </c>
      <c r="N89" s="54">
        <f>ABS(TablaModelos[[#This Row],[B-S]]-TablaModelos[[#This Row],[JR]])</f>
        <v>3.0730632071104935E-2</v>
      </c>
      <c r="O89" s="54">
        <f>ABS(TablaModelos[[#This Row],[B-S]]-TablaModelos[[#This Row],[Binomial]])</f>
        <v>3.9822359636360716E-2</v>
      </c>
      <c r="AE89" s="49"/>
      <c r="AF89" s="49"/>
      <c r="AG89" s="49"/>
      <c r="AH89" s="49"/>
      <c r="AI89" s="49"/>
      <c r="AJ89" s="49"/>
      <c r="AK89" s="49"/>
    </row>
    <row r="90" spans="8:37" x14ac:dyDescent="0.25">
      <c r="H90">
        <v>89</v>
      </c>
      <c r="I90">
        <f>bsc($B$4,$B$5,$B$6,$B$9,$B$8,$B$7,$B$2)</f>
        <v>13.145893900288087</v>
      </c>
      <c r="J90" s="54">
        <f>CRR($B$4,$B$5,$B$9,$B$6,$B$7,$H90,$B$2)</f>
        <v>13.187235486698018</v>
      </c>
      <c r="K90" s="54">
        <f>JR($B$4,$B$5,$B$9,$B$6,$B$7,$B$8,$H90,$B$2)</f>
        <v>13.179989560304064</v>
      </c>
      <c r="L90" s="54">
        <f>Binomial($B$4,$B$5,$B$9,$B$6,$B$7,$B$8,$H90,$B$2)</f>
        <v>13.130148573519641</v>
      </c>
      <c r="M90" s="54">
        <f>ABS(TablaModelos[[#This Row],[B-S]]-TablaModelos[[#This Row],[CRR]])</f>
        <v>4.1341586409931352E-2</v>
      </c>
      <c r="N90" s="54">
        <f>ABS(TablaModelos[[#This Row],[B-S]]-TablaModelos[[#This Row],[JR]])</f>
        <v>3.4095660015976748E-2</v>
      </c>
      <c r="O90" s="54">
        <f>ABS(TablaModelos[[#This Row],[B-S]]-TablaModelos[[#This Row],[Binomial]])</f>
        <v>1.5745326768445977E-2</v>
      </c>
      <c r="AE90" s="49"/>
      <c r="AF90" s="49"/>
      <c r="AG90" s="49"/>
      <c r="AH90" s="49"/>
      <c r="AI90" s="49"/>
      <c r="AJ90" s="49"/>
      <c r="AK90" s="49"/>
    </row>
    <row r="91" spans="8:37" x14ac:dyDescent="0.25">
      <c r="H91">
        <v>90</v>
      </c>
      <c r="I91">
        <f>bsc($B$4,$B$5,$B$6,$B$9,$B$8,$B$7,$B$2)</f>
        <v>13.145893900288087</v>
      </c>
      <c r="J91" s="54">
        <f>CRR($B$4,$B$5,$B$9,$B$6,$B$7,$H91,$B$2)</f>
        <v>13.102690536783523</v>
      </c>
      <c r="K91" s="54">
        <f>JR($B$4,$B$5,$B$9,$B$6,$B$7,$B$8,$H91,$B$2)</f>
        <v>13.112712266843687</v>
      </c>
      <c r="L91" s="54">
        <f>Binomial($B$4,$B$5,$B$9,$B$6,$B$7,$B$8,$H91,$B$2)</f>
        <v>13.184437198618221</v>
      </c>
      <c r="M91" s="54">
        <f>ABS(TablaModelos[[#This Row],[B-S]]-TablaModelos[[#This Row],[CRR]])</f>
        <v>4.3203363504563441E-2</v>
      </c>
      <c r="N91" s="54">
        <f>ABS(TablaModelos[[#This Row],[B-S]]-TablaModelos[[#This Row],[JR]])</f>
        <v>3.3181633444399949E-2</v>
      </c>
      <c r="O91" s="54">
        <f>ABS(TablaModelos[[#This Row],[B-S]]-TablaModelos[[#This Row],[Binomial]])</f>
        <v>3.854329833013459E-2</v>
      </c>
      <c r="AE91" s="49"/>
      <c r="AF91" s="49"/>
      <c r="AG91" s="49"/>
      <c r="AH91" s="49"/>
      <c r="AI91" s="49"/>
      <c r="AJ91" s="49"/>
      <c r="AK91" s="49"/>
    </row>
    <row r="92" spans="8:37" x14ac:dyDescent="0.25">
      <c r="H92">
        <v>91</v>
      </c>
      <c r="I92">
        <f>bsc($B$4,$B$5,$B$6,$B$9,$B$8,$B$7,$B$2)</f>
        <v>13.145893900288087</v>
      </c>
      <c r="J92" s="54">
        <f>CRR($B$4,$B$5,$B$9,$B$6,$B$7,$H92,$B$2)</f>
        <v>13.186325742717816</v>
      </c>
      <c r="K92" s="54">
        <f>JR($B$4,$B$5,$B$9,$B$6,$B$7,$B$8,$H92,$B$2)</f>
        <v>13.179584037114886</v>
      </c>
      <c r="L92" s="54">
        <f>Binomial($B$4,$B$5,$B$9,$B$6,$B$7,$B$8,$H92,$B$2)</f>
        <v>13.132270026114282</v>
      </c>
      <c r="M92" s="54">
        <f>ABS(TablaModelos[[#This Row],[B-S]]-TablaModelos[[#This Row],[CRR]])</f>
        <v>4.0431842429729414E-2</v>
      </c>
      <c r="N92" s="54">
        <f>ABS(TablaModelos[[#This Row],[B-S]]-TablaModelos[[#This Row],[JR]])</f>
        <v>3.3690136826798778E-2</v>
      </c>
      <c r="O92" s="54">
        <f>ABS(TablaModelos[[#This Row],[B-S]]-TablaModelos[[#This Row],[Binomial]])</f>
        <v>1.3623874173804396E-2</v>
      </c>
      <c r="AE92" s="49"/>
      <c r="AF92" s="49"/>
      <c r="AG92" s="49"/>
      <c r="AH92" s="49"/>
      <c r="AI92" s="49"/>
      <c r="AJ92" s="49"/>
      <c r="AK92" s="49"/>
    </row>
    <row r="93" spans="8:37" x14ac:dyDescent="0.25">
      <c r="H93">
        <v>92</v>
      </c>
      <c r="I93">
        <f>bsc($B$4,$B$5,$B$6,$B$9,$B$8,$B$7,$B$2)</f>
        <v>13.145893900288087</v>
      </c>
      <c r="J93" s="54">
        <f>CRR($B$4,$B$5,$B$9,$B$6,$B$7,$H93,$B$2)</f>
        <v>13.103628428250776</v>
      </c>
      <c r="K93" s="54">
        <f>JR($B$4,$B$5,$B$9,$B$6,$B$7,$B$8,$H93,$B$2)</f>
        <v>13.110330723486234</v>
      </c>
      <c r="L93" s="54">
        <f>Binomial($B$4,$B$5,$B$9,$B$6,$B$7,$B$8,$H93,$B$2)</f>
        <v>13.183189325157461</v>
      </c>
      <c r="M93" s="54">
        <f>ABS(TablaModelos[[#This Row],[B-S]]-TablaModelos[[#This Row],[CRR]])</f>
        <v>4.2265472037311014E-2</v>
      </c>
      <c r="N93" s="54">
        <f>ABS(TablaModelos[[#This Row],[B-S]]-TablaModelos[[#This Row],[JR]])</f>
        <v>3.5563176801852947E-2</v>
      </c>
      <c r="O93" s="54">
        <f>ABS(TablaModelos[[#This Row],[B-S]]-TablaModelos[[#This Row],[Binomial]])</f>
        <v>3.7295424869373761E-2</v>
      </c>
      <c r="AE93" s="49"/>
      <c r="AF93" s="49"/>
      <c r="AG93" s="49"/>
      <c r="AH93" s="49"/>
      <c r="AI93" s="49"/>
      <c r="AJ93" s="49"/>
      <c r="AK93" s="49"/>
    </row>
    <row r="94" spans="8:37" x14ac:dyDescent="0.25">
      <c r="H94">
        <v>93</v>
      </c>
      <c r="I94">
        <f>bsc($B$4,$B$5,$B$6,$B$9,$B$8,$B$7,$B$2)</f>
        <v>13.145893900288087</v>
      </c>
      <c r="J94" s="54">
        <f>CRR($B$4,$B$5,$B$9,$B$6,$B$7,$H94,$B$2)</f>
        <v>13.185455174630642</v>
      </c>
      <c r="K94" s="54">
        <f>JR($B$4,$B$5,$B$9,$B$6,$B$7,$B$8,$H94,$B$2)</f>
        <v>13.179121107281846</v>
      </c>
      <c r="L94" s="54">
        <f>Binomial($B$4,$B$5,$B$9,$B$6,$B$7,$B$8,$H94,$B$2)</f>
        <v>13.134254460197489</v>
      </c>
      <c r="M94" s="54">
        <f>ABS(TablaModelos[[#This Row],[B-S]]-TablaModelos[[#This Row],[CRR]])</f>
        <v>3.9561274342554853E-2</v>
      </c>
      <c r="N94" s="54">
        <f>ABS(TablaModelos[[#This Row],[B-S]]-TablaModelos[[#This Row],[JR]])</f>
        <v>3.322720699375914E-2</v>
      </c>
      <c r="O94" s="54">
        <f>ABS(TablaModelos[[#This Row],[B-S]]-TablaModelos[[#This Row],[Binomial]])</f>
        <v>1.1639440090597475E-2</v>
      </c>
      <c r="AE94" s="49"/>
      <c r="AF94" s="49"/>
      <c r="AG94" s="49"/>
      <c r="AH94" s="49"/>
      <c r="AI94" s="49"/>
      <c r="AJ94" s="49"/>
      <c r="AK94" s="49"/>
    </row>
    <row r="95" spans="8:37" x14ac:dyDescent="0.25">
      <c r="H95">
        <v>94</v>
      </c>
      <c r="I95">
        <f>bsc($B$4,$B$5,$B$6,$B$9,$B$8,$B$7,$B$2)</f>
        <v>13.145893900288087</v>
      </c>
      <c r="J95" s="54">
        <f>CRR($B$4,$B$5,$B$9,$B$6,$B$7,$H95,$B$2)</f>
        <v>13.104526464789664</v>
      </c>
      <c r="K95" s="54">
        <f>JR($B$4,$B$5,$B$9,$B$6,$B$7,$B$8,$H95,$B$2)</f>
        <v>13.108015387099991</v>
      </c>
      <c r="L95" s="54">
        <f>Binomial($B$4,$B$5,$B$9,$B$6,$B$7,$B$8,$H95,$B$2)</f>
        <v>13.181971426417112</v>
      </c>
      <c r="M95" s="54">
        <f>ABS(TablaModelos[[#This Row],[B-S]]-TablaModelos[[#This Row],[CRR]])</f>
        <v>4.1367435498422367E-2</v>
      </c>
      <c r="N95" s="54">
        <f>ABS(TablaModelos[[#This Row],[B-S]]-TablaModelos[[#This Row],[JR]])</f>
        <v>3.7878513188095653E-2</v>
      </c>
      <c r="O95" s="54">
        <f>ABS(TablaModelos[[#This Row],[B-S]]-TablaModelos[[#This Row],[Binomial]])</f>
        <v>3.6077526129025372E-2</v>
      </c>
      <c r="AE95" s="49"/>
      <c r="AF95" s="49"/>
      <c r="AG95" s="49"/>
      <c r="AH95" s="49"/>
      <c r="AI95" s="49"/>
      <c r="AJ95" s="49"/>
      <c r="AK95" s="49"/>
    </row>
    <row r="96" spans="8:37" x14ac:dyDescent="0.25">
      <c r="H96">
        <v>95</v>
      </c>
      <c r="I96">
        <f>bsc($B$4,$B$5,$B$6,$B$9,$B$8,$B$7,$B$2)</f>
        <v>13.145893900288087</v>
      </c>
      <c r="J96" s="54">
        <f>CRR($B$4,$B$5,$B$9,$B$6,$B$7,$H96,$B$2)</f>
        <v>13.184621305301013</v>
      </c>
      <c r="K96" s="54">
        <f>JR($B$4,$B$5,$B$9,$B$6,$B$7,$B$8,$H96,$B$2)</f>
        <v>13.178606787363117</v>
      </c>
      <c r="L96" s="54">
        <f>Binomial($B$4,$B$5,$B$9,$B$6,$B$7,$B$8,$H96,$B$2)</f>
        <v>13.136111912226088</v>
      </c>
      <c r="M96" s="54">
        <f>ABS(TablaModelos[[#This Row],[B-S]]-TablaModelos[[#This Row],[CRR]])</f>
        <v>3.8727405012926042E-2</v>
      </c>
      <c r="N96" s="54">
        <f>ABS(TablaModelos[[#This Row],[B-S]]-TablaModelos[[#This Row],[JR]])</f>
        <v>3.2712887075030395E-2</v>
      </c>
      <c r="O96" s="54">
        <f>ABS(TablaModelos[[#This Row],[B-S]]-TablaModelos[[#This Row],[Binomial]])</f>
        <v>9.7819880619987032E-3</v>
      </c>
      <c r="AE96" s="49"/>
      <c r="AF96" s="49"/>
      <c r="AG96" s="49"/>
      <c r="AH96" s="49"/>
      <c r="AI96" s="49"/>
      <c r="AJ96" s="49"/>
      <c r="AK96" s="49"/>
    </row>
    <row r="97" spans="8:37" x14ac:dyDescent="0.25">
      <c r="H97">
        <v>96</v>
      </c>
      <c r="I97">
        <f>bsc($B$4,$B$5,$B$6,$B$9,$B$8,$B$7,$B$2)</f>
        <v>13.145893900288087</v>
      </c>
      <c r="J97" s="54">
        <f>CRR($B$4,$B$5,$B$9,$B$6,$B$7,$H97,$B$2)</f>
        <v>13.10538713390388</v>
      </c>
      <c r="K97" s="54">
        <f>JR($B$4,$B$5,$B$9,$B$6,$B$7,$B$8,$H97,$B$2)</f>
        <v>13.105763216089194</v>
      </c>
      <c r="L97" s="54">
        <f>Binomial($B$4,$B$5,$B$9,$B$6,$B$7,$B$8,$H97,$B$2)</f>
        <v>13.18078234998312</v>
      </c>
      <c r="M97" s="54">
        <f>ABS(TablaModelos[[#This Row],[B-S]]-TablaModelos[[#This Row],[CRR]])</f>
        <v>4.0506766384206472E-2</v>
      </c>
      <c r="N97" s="54">
        <f>ABS(TablaModelos[[#This Row],[B-S]]-TablaModelos[[#This Row],[JR]])</f>
        <v>4.0130684198892652E-2</v>
      </c>
      <c r="O97" s="54">
        <f>ABS(TablaModelos[[#This Row],[B-S]]-TablaModelos[[#This Row],[Binomial]])</f>
        <v>3.4888449695033685E-2</v>
      </c>
      <c r="AE97" s="49"/>
      <c r="AF97" s="49"/>
      <c r="AG97" s="49"/>
      <c r="AH97" s="49"/>
      <c r="AI97" s="49"/>
      <c r="AJ97" s="49"/>
      <c r="AK97" s="49"/>
    </row>
    <row r="98" spans="8:37" x14ac:dyDescent="0.25">
      <c r="H98">
        <v>97</v>
      </c>
      <c r="I98">
        <f>bsc($B$4,$B$5,$B$6,$B$9,$B$8,$B$7,$B$2)</f>
        <v>13.145893900288087</v>
      </c>
      <c r="J98" s="54">
        <f>CRR($B$4,$B$5,$B$9,$B$6,$B$7,$H98,$B$2)</f>
        <v>13.183821862124239</v>
      </c>
      <c r="K98" s="54">
        <f>JR($B$4,$B$5,$B$9,$B$6,$B$7,$B$8,$H98,$B$2)</f>
        <v>13.178046473811108</v>
      </c>
      <c r="L98" s="54">
        <f>Binomial($B$4,$B$5,$B$9,$B$6,$B$7,$B$8,$H98,$B$2)</f>
        <v>13.137851523478178</v>
      </c>
      <c r="M98" s="54">
        <f>ABS(TablaModelos[[#This Row],[B-S]]-TablaModelos[[#This Row],[CRR]])</f>
        <v>3.792796183615188E-2</v>
      </c>
      <c r="N98" s="54">
        <f>ABS(TablaModelos[[#This Row],[B-S]]-TablaModelos[[#This Row],[JR]])</f>
        <v>3.2152573523021033E-2</v>
      </c>
      <c r="O98" s="54">
        <f>ABS(TablaModelos[[#This Row],[B-S]]-TablaModelos[[#This Row],[Binomial]])</f>
        <v>8.0423768099091575E-3</v>
      </c>
      <c r="AE98" s="49"/>
      <c r="AF98" s="49"/>
      <c r="AG98" s="49"/>
      <c r="AH98" s="49"/>
      <c r="AI98" s="49"/>
      <c r="AJ98" s="49"/>
      <c r="AK98" s="49"/>
    </row>
    <row r="99" spans="8:37" x14ac:dyDescent="0.25">
      <c r="H99">
        <v>98</v>
      </c>
      <c r="I99">
        <f>bsc($B$4,$B$5,$B$6,$B$9,$B$8,$B$7,$B$2)</f>
        <v>13.145893900288087</v>
      </c>
      <c r="J99" s="54">
        <f>CRR($B$4,$B$5,$B$9,$B$6,$B$7,$H99,$B$2)</f>
        <v>13.106212720314753</v>
      </c>
      <c r="K99" s="54">
        <f>JR($B$4,$B$5,$B$9,$B$6,$B$7,$B$8,$H99,$B$2)</f>
        <v>13.103571361316346</v>
      </c>
      <c r="L99" s="54">
        <f>Binomial($B$4,$B$5,$B$9,$B$6,$B$7,$B$8,$H99,$B$2)</f>
        <v>13.179621000833212</v>
      </c>
      <c r="M99" s="54">
        <f>ABS(TablaModelos[[#This Row],[B-S]]-TablaModelos[[#This Row],[CRR]])</f>
        <v>3.9681179973333869E-2</v>
      </c>
      <c r="N99" s="54">
        <f>ABS(TablaModelos[[#This Row],[B-S]]-TablaModelos[[#This Row],[JR]])</f>
        <v>4.2322538971740542E-2</v>
      </c>
      <c r="O99" s="54">
        <f>ABS(TablaModelos[[#This Row],[B-S]]-TablaModelos[[#This Row],[Binomial]])</f>
        <v>3.3727100545124955E-2</v>
      </c>
      <c r="AE99" s="49"/>
      <c r="AF99" s="49"/>
      <c r="AG99" s="49"/>
      <c r="AH99" s="49"/>
      <c r="AI99" s="49"/>
      <c r="AJ99" s="49"/>
      <c r="AK99" s="49"/>
    </row>
    <row r="100" spans="8:37" x14ac:dyDescent="0.25">
      <c r="H100">
        <v>99</v>
      </c>
      <c r="I100">
        <f>bsc($B$4,$B$5,$B$6,$B$9,$B$8,$B$7,$B$2)</f>
        <v>13.145893900288087</v>
      </c>
      <c r="J100" s="54">
        <f>CRR($B$4,$B$5,$B$9,$B$6,$B$7,$H100,$B$2)</f>
        <v>13.183054756339166</v>
      </c>
      <c r="K100" s="54">
        <f>JR($B$4,$B$5,$B$9,$B$6,$B$7,$B$8,$H100,$B$2)</f>
        <v>13.177445014368834</v>
      </c>
      <c r="L100" s="54">
        <f>Binomial($B$4,$B$5,$B$9,$B$6,$B$7,$B$8,$H100,$B$2)</f>
        <v>13.139481634937384</v>
      </c>
      <c r="M100" s="54">
        <f>ABS(TablaModelos[[#This Row],[B-S]]-TablaModelos[[#This Row],[CRR]])</f>
        <v>3.7160856051078994E-2</v>
      </c>
      <c r="N100" s="54">
        <f>ABS(TablaModelos[[#This Row],[B-S]]-TablaModelos[[#This Row],[JR]])</f>
        <v>3.1551114080746956E-2</v>
      </c>
      <c r="O100" s="54">
        <f>ABS(TablaModelos[[#This Row],[B-S]]-TablaModelos[[#This Row],[Binomial]])</f>
        <v>6.4122653507023841E-3</v>
      </c>
      <c r="AE100" s="49"/>
      <c r="AF100" s="49"/>
      <c r="AG100" s="49"/>
      <c r="AH100" s="49"/>
      <c r="AI100" s="49"/>
      <c r="AJ100" s="49"/>
      <c r="AK100" s="49"/>
    </row>
    <row r="101" spans="8:37" x14ac:dyDescent="0.25">
      <c r="H101">
        <v>100</v>
      </c>
      <c r="I101">
        <f>bsc($B$4,$B$5,$B$6,$B$9,$B$8,$B$7,$B$2)</f>
        <v>13.145893900288087</v>
      </c>
      <c r="J101" s="54">
        <f>CRR($B$4,$B$5,$B$9,$B$6,$B$7,$H101,$B$2)</f>
        <v>13.107005326208016</v>
      </c>
      <c r="K101" s="54">
        <f>JR($B$4,$B$5,$B$9,$B$6,$B$7,$B$8,$H101,$B$2)</f>
        <v>13.101437150754172</v>
      </c>
      <c r="L101" s="54">
        <f>Binomial($B$4,$B$5,$B$9,$B$6,$B$7,$B$8,$H101,$B$2)</f>
        <v>13.178486338154698</v>
      </c>
      <c r="M101" s="54">
        <f>ABS(TablaModelos[[#This Row],[B-S]]-TablaModelos[[#This Row],[CRR]])</f>
        <v>3.8888574080070626E-2</v>
      </c>
      <c r="N101" s="54">
        <f>ABS(TablaModelos[[#This Row],[B-S]]-TablaModelos[[#This Row],[JR]])</f>
        <v>4.4456749533914319E-2</v>
      </c>
      <c r="O101" s="54">
        <f>ABS(TablaModelos[[#This Row],[B-S]]-TablaModelos[[#This Row],[Binomial]])</f>
        <v>3.259243786661159E-2</v>
      </c>
      <c r="AE101" s="49"/>
      <c r="AF101" s="49"/>
      <c r="AG101" s="49"/>
      <c r="AH101" s="49"/>
      <c r="AI101" s="49"/>
      <c r="AJ101" s="49"/>
      <c r="AK101" s="49"/>
    </row>
  </sheetData>
  <dataValidations count="1">
    <dataValidation type="list" allowBlank="1" showInputMessage="1" showErrorMessage="1" sqref="B1">
      <formula1>$P$1:$P$2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5"/>
  <sheetViews>
    <sheetView workbookViewId="0">
      <selection activeCell="K36" sqref="K36"/>
    </sheetView>
  </sheetViews>
  <sheetFormatPr baseColWidth="10" defaultRowHeight="15" x14ac:dyDescent="0.25"/>
  <sheetData>
    <row r="15" spans="1:1" x14ac:dyDescent="0.25">
      <c r="A15" t="s">
        <v>39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I9"/>
  <sheetViews>
    <sheetView workbookViewId="0">
      <selection activeCell="G13" sqref="G13"/>
    </sheetView>
  </sheetViews>
  <sheetFormatPr baseColWidth="10" defaultRowHeight="15" x14ac:dyDescent="0.25"/>
  <sheetData>
    <row r="2" spans="2:9" x14ac:dyDescent="0.25">
      <c r="B2" s="6"/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</row>
    <row r="3" spans="2:9" x14ac:dyDescent="0.25">
      <c r="B3" s="6">
        <v>0</v>
      </c>
      <c r="C3" s="25"/>
      <c r="D3" s="25"/>
      <c r="E3" s="25"/>
      <c r="F3" s="23"/>
      <c r="G3" s="23"/>
      <c r="H3" s="23"/>
      <c r="I3" s="21">
        <v>52.612024695021731</v>
      </c>
    </row>
    <row r="4" spans="2:9" x14ac:dyDescent="0.25">
      <c r="B4" s="6">
        <v>1</v>
      </c>
      <c r="C4" s="7"/>
      <c r="D4" s="25"/>
      <c r="E4" s="25"/>
      <c r="F4" s="23"/>
      <c r="G4" s="23"/>
      <c r="H4" s="23"/>
      <c r="I4" s="21">
        <v>32.491550863891391</v>
      </c>
    </row>
    <row r="5" spans="2:9" x14ac:dyDescent="0.25">
      <c r="B5" s="6">
        <v>2</v>
      </c>
      <c r="C5" s="7"/>
      <c r="D5" s="7"/>
      <c r="E5" s="25"/>
      <c r="F5" s="23"/>
      <c r="G5" s="23"/>
      <c r="H5" s="23"/>
      <c r="I5" s="21">
        <v>16.742361091417017</v>
      </c>
    </row>
    <row r="6" spans="2:9" x14ac:dyDescent="0.25">
      <c r="B6" s="6">
        <v>3</v>
      </c>
      <c r="C6" s="8"/>
      <c r="D6" s="8"/>
      <c r="E6" s="8"/>
      <c r="F6" s="23"/>
      <c r="G6" s="23"/>
      <c r="H6" s="23"/>
      <c r="I6" s="21">
        <v>4.4147697746732959</v>
      </c>
    </row>
    <row r="7" spans="2:9" x14ac:dyDescent="0.25">
      <c r="B7" s="6">
        <v>4</v>
      </c>
      <c r="C7" s="8"/>
      <c r="D7" s="8"/>
      <c r="E7" s="8"/>
      <c r="F7" s="8"/>
      <c r="G7" s="23"/>
      <c r="H7" s="23"/>
      <c r="I7" s="21">
        <v>0</v>
      </c>
    </row>
    <row r="8" spans="2:9" x14ac:dyDescent="0.25">
      <c r="B8" s="6">
        <v>5</v>
      </c>
      <c r="C8" s="8"/>
      <c r="D8" s="8"/>
      <c r="E8" s="8"/>
      <c r="F8" s="8"/>
      <c r="G8" s="8"/>
      <c r="H8" s="23"/>
      <c r="I8" s="21">
        <v>0</v>
      </c>
    </row>
    <row r="9" spans="2:9" x14ac:dyDescent="0.25">
      <c r="B9" s="6">
        <v>6</v>
      </c>
      <c r="C9" s="9"/>
      <c r="D9" s="9"/>
      <c r="E9" s="9"/>
      <c r="F9" s="9"/>
      <c r="G9" s="9"/>
      <c r="H9" s="9"/>
      <c r="I9" s="2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Datos</vt:lpstr>
      <vt:lpstr>Stock</vt:lpstr>
      <vt:lpstr>Value option</vt:lpstr>
      <vt:lpstr>Delta</vt:lpstr>
      <vt:lpstr>Bonds</vt:lpstr>
      <vt:lpstr>Payoff</vt:lpstr>
      <vt:lpstr>Binomial</vt:lpstr>
      <vt:lpstr>JR</vt:lpstr>
      <vt:lpstr>CRR</vt:lpstr>
      <vt:lpstr>Gráfica</vt:lpstr>
      <vt:lpstr>Recortes</vt:lpstr>
      <vt:lpstr>Binomial RNP</vt:lpstr>
    </vt:vector>
  </TitlesOfParts>
  <Company>ITAM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labfin</dc:creator>
  <cp:lastModifiedBy>Alexis</cp:lastModifiedBy>
  <cp:lastPrinted>2015-10-07T07:24:44Z</cp:lastPrinted>
  <dcterms:created xsi:type="dcterms:W3CDTF">2015-09-11T00:35:14Z</dcterms:created>
  <dcterms:modified xsi:type="dcterms:W3CDTF">2015-10-07T08:24:37Z</dcterms:modified>
</cp:coreProperties>
</file>