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20" yWindow="60" windowWidth="20730" windowHeight="11760" tabRatio="754"/>
  </bookViews>
  <sheets>
    <sheet name="Gráfica" sheetId="12" r:id="rId1"/>
    <sheet name="Datos" sheetId="1" r:id="rId2"/>
    <sheet name="Stock" sheetId="2" r:id="rId3"/>
    <sheet name="Value option" sheetId="3" r:id="rId4"/>
    <sheet name="Delta" sheetId="4" r:id="rId5"/>
    <sheet name="Bonds" sheetId="5" r:id="rId6"/>
    <sheet name="Payoff" sheetId="6" r:id="rId7"/>
    <sheet name="Binomial" sheetId="7" r:id="rId8"/>
    <sheet name="JR" sheetId="11" r:id="rId9"/>
    <sheet name="CRR" sheetId="9" r:id="rId10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BA53" i="3" l="1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AX53" i="3"/>
  <c r="AX52" i="3"/>
  <c r="AX51" i="3"/>
  <c r="AX50" i="3"/>
  <c r="AX49" i="3"/>
  <c r="AX48" i="3"/>
  <c r="AX47" i="3"/>
  <c r="AX46" i="3"/>
  <c r="AX45" i="3"/>
  <c r="AX44" i="3"/>
  <c r="AX43" i="3"/>
  <c r="AX42" i="3"/>
  <c r="AX41" i="3"/>
  <c r="AX40" i="3"/>
  <c r="AX39" i="3"/>
  <c r="AX38" i="3"/>
  <c r="AX37" i="3"/>
  <c r="AX36" i="3"/>
  <c r="AX35" i="3"/>
  <c r="AX34" i="3"/>
  <c r="AX33" i="3"/>
  <c r="AX32" i="3"/>
  <c r="AX31" i="3"/>
  <c r="AX30" i="3"/>
  <c r="AX29" i="3"/>
  <c r="AX28" i="3"/>
  <c r="AX27" i="3"/>
  <c r="AX26" i="3"/>
  <c r="AX25" i="3"/>
  <c r="AX24" i="3"/>
  <c r="AX23" i="3"/>
  <c r="AX22" i="3"/>
  <c r="AX21" i="3"/>
  <c r="AX20" i="3"/>
  <c r="AX19" i="3"/>
  <c r="AX18" i="3"/>
  <c r="AX17" i="3"/>
  <c r="AX16" i="3"/>
  <c r="AX15" i="3"/>
  <c r="AX14" i="3"/>
  <c r="AX13" i="3"/>
  <c r="AX12" i="3"/>
  <c r="AX11" i="3"/>
  <c r="AX10" i="3"/>
  <c r="AX9" i="3"/>
  <c r="AX8" i="3"/>
  <c r="AX7" i="3"/>
  <c r="AX6" i="3"/>
  <c r="AX5" i="3"/>
  <c r="AX4" i="3"/>
  <c r="AX3" i="3"/>
  <c r="AW53" i="3"/>
  <c r="AW52" i="3"/>
  <c r="AW51" i="3"/>
  <c r="AW50" i="3"/>
  <c r="AW49" i="3"/>
  <c r="AW48" i="3"/>
  <c r="AW47" i="3"/>
  <c r="AW46" i="3"/>
  <c r="AW45" i="3"/>
  <c r="AW44" i="3"/>
  <c r="AW43" i="3"/>
  <c r="AW42" i="3"/>
  <c r="AW41" i="3"/>
  <c r="AW40" i="3"/>
  <c r="AW39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W21" i="3"/>
  <c r="AW20" i="3"/>
  <c r="AW19" i="3"/>
  <c r="AW18" i="3"/>
  <c r="AW17" i="3"/>
  <c r="AW16" i="3"/>
  <c r="AW15" i="3"/>
  <c r="AW14" i="3"/>
  <c r="AW13" i="3"/>
  <c r="AW12" i="3"/>
  <c r="AW11" i="3"/>
  <c r="AW10" i="3"/>
  <c r="AW9" i="3"/>
  <c r="AW8" i="3"/>
  <c r="AW7" i="3"/>
  <c r="AW6" i="3"/>
  <c r="AW5" i="3"/>
  <c r="AW4" i="3"/>
  <c r="AW3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7" i="3"/>
  <c r="AU16" i="3"/>
  <c r="AU15" i="3"/>
  <c r="AU14" i="3"/>
  <c r="AU13" i="3"/>
  <c r="AU12" i="3"/>
  <c r="AU11" i="3"/>
  <c r="AU10" i="3"/>
  <c r="AU9" i="3"/>
  <c r="AU8" i="3"/>
  <c r="AU7" i="3"/>
  <c r="AU6" i="3"/>
  <c r="AU5" i="3"/>
  <c r="AU4" i="3"/>
  <c r="AU3" i="3"/>
  <c r="AT53" i="3"/>
  <c r="AT52" i="3"/>
  <c r="AT51" i="3"/>
  <c r="AT50" i="3"/>
  <c r="AT49" i="3"/>
  <c r="AT48" i="3"/>
  <c r="AT47" i="3"/>
  <c r="AT46" i="3"/>
  <c r="AT45" i="3"/>
  <c r="AT44" i="3"/>
  <c r="AT43" i="3"/>
  <c r="AT42" i="3"/>
  <c r="AT41" i="3"/>
  <c r="AT40" i="3"/>
  <c r="AT39" i="3"/>
  <c r="AT38" i="3"/>
  <c r="AT37" i="3"/>
  <c r="AT36" i="3"/>
  <c r="AT35" i="3"/>
  <c r="AT34" i="3"/>
  <c r="AT33" i="3"/>
  <c r="AT32" i="3"/>
  <c r="AT31" i="3"/>
  <c r="AT30" i="3"/>
  <c r="AT29" i="3"/>
  <c r="AT28" i="3"/>
  <c r="AT27" i="3"/>
  <c r="AT26" i="3"/>
  <c r="AT25" i="3"/>
  <c r="AT24" i="3"/>
  <c r="AT23" i="3"/>
  <c r="AT22" i="3"/>
  <c r="AT21" i="3"/>
  <c r="AT20" i="3"/>
  <c r="AT19" i="3"/>
  <c r="AT18" i="3"/>
  <c r="AT17" i="3"/>
  <c r="AT16" i="3"/>
  <c r="AT15" i="3"/>
  <c r="AT14" i="3"/>
  <c r="AT13" i="3"/>
  <c r="AT12" i="3"/>
  <c r="AT11" i="3"/>
  <c r="AT10" i="3"/>
  <c r="AT9" i="3"/>
  <c r="AT8" i="3"/>
  <c r="AT7" i="3"/>
  <c r="AT6" i="3"/>
  <c r="AT5" i="3"/>
  <c r="AT4" i="3"/>
  <c r="AT3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R53" i="3"/>
  <c r="AR52" i="3"/>
  <c r="AR51" i="3"/>
  <c r="AR50" i="3"/>
  <c r="AR49" i="3"/>
  <c r="AR48" i="3"/>
  <c r="AR47" i="3"/>
  <c r="AR46" i="3"/>
  <c r="AR45" i="3"/>
  <c r="AR44" i="3"/>
  <c r="AR43" i="3"/>
  <c r="AR42" i="3"/>
  <c r="AR41" i="3"/>
  <c r="AR40" i="3"/>
  <c r="AR39" i="3"/>
  <c r="AR38" i="3"/>
  <c r="AR37" i="3"/>
  <c r="AR36" i="3"/>
  <c r="AR35" i="3"/>
  <c r="AR34" i="3"/>
  <c r="AR33" i="3"/>
  <c r="AR32" i="3"/>
  <c r="AR31" i="3"/>
  <c r="AR30" i="3"/>
  <c r="AR29" i="3"/>
  <c r="AR28" i="3"/>
  <c r="AR27" i="3"/>
  <c r="AR26" i="3"/>
  <c r="AR25" i="3"/>
  <c r="AR24" i="3"/>
  <c r="AR23" i="3"/>
  <c r="AR22" i="3"/>
  <c r="AR21" i="3"/>
  <c r="AR20" i="3"/>
  <c r="AR19" i="3"/>
  <c r="AR18" i="3"/>
  <c r="AR17" i="3"/>
  <c r="AR16" i="3"/>
  <c r="AR15" i="3"/>
  <c r="AR14" i="3"/>
  <c r="AR13" i="3"/>
  <c r="AR12" i="3"/>
  <c r="AR11" i="3"/>
  <c r="AR10" i="3"/>
  <c r="AR9" i="3"/>
  <c r="AR8" i="3"/>
  <c r="AR7" i="3"/>
  <c r="AR6" i="3"/>
  <c r="AR5" i="3"/>
  <c r="AR4" i="3"/>
  <c r="AR3" i="3"/>
  <c r="AQ53" i="3"/>
  <c r="AQ52" i="3"/>
  <c r="AQ51" i="3"/>
  <c r="AQ50" i="3"/>
  <c r="AQ49" i="3"/>
  <c r="AQ48" i="3"/>
  <c r="AQ47" i="3"/>
  <c r="AQ46" i="3"/>
  <c r="AQ45" i="3"/>
  <c r="AQ44" i="3"/>
  <c r="AQ43" i="3"/>
  <c r="AQ42" i="3"/>
  <c r="AQ41" i="3"/>
  <c r="AQ40" i="3"/>
  <c r="AQ39" i="3"/>
  <c r="AQ38" i="3"/>
  <c r="AQ37" i="3"/>
  <c r="AQ36" i="3"/>
  <c r="AQ35" i="3"/>
  <c r="AQ34" i="3"/>
  <c r="AQ33" i="3"/>
  <c r="AQ32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Q3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O53" i="3"/>
  <c r="AO52" i="3"/>
  <c r="AO51" i="3"/>
  <c r="AO50" i="3"/>
  <c r="AO49" i="3"/>
  <c r="AO48" i="3"/>
  <c r="AO47" i="3"/>
  <c r="AO46" i="3"/>
  <c r="AO45" i="3"/>
  <c r="AO44" i="3"/>
  <c r="AO43" i="3"/>
  <c r="AO42" i="3"/>
  <c r="AO41" i="3"/>
  <c r="AO40" i="3"/>
  <c r="AO39" i="3"/>
  <c r="AO38" i="3"/>
  <c r="AO37" i="3"/>
  <c r="AO36" i="3"/>
  <c r="AO35" i="3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O16" i="3"/>
  <c r="AO15" i="3"/>
  <c r="AO14" i="3"/>
  <c r="AO13" i="3"/>
  <c r="AO12" i="3"/>
  <c r="AO11" i="3"/>
  <c r="AO10" i="3"/>
  <c r="AO9" i="3"/>
  <c r="AO8" i="3"/>
  <c r="AO7" i="3"/>
  <c r="AO6" i="3"/>
  <c r="AO5" i="3"/>
  <c r="AO4" i="3"/>
  <c r="AO3" i="3"/>
  <c r="AN53" i="3"/>
  <c r="AN52" i="3"/>
  <c r="AN51" i="3"/>
  <c r="AN50" i="3"/>
  <c r="AN49" i="3"/>
  <c r="AN48" i="3"/>
  <c r="AN47" i="3"/>
  <c r="AN46" i="3"/>
  <c r="AN45" i="3"/>
  <c r="AN44" i="3"/>
  <c r="AN43" i="3"/>
  <c r="AN42" i="3"/>
  <c r="AN41" i="3"/>
  <c r="AN40" i="3"/>
  <c r="AN39" i="3"/>
  <c r="AN38" i="3"/>
  <c r="AN37" i="3"/>
  <c r="AN36" i="3"/>
  <c r="AN35" i="3"/>
  <c r="AN34" i="3"/>
  <c r="AN33" i="3"/>
  <c r="AN32" i="3"/>
  <c r="AN31" i="3"/>
  <c r="AN30" i="3"/>
  <c r="AN29" i="3"/>
  <c r="AN28" i="3"/>
  <c r="AN27" i="3"/>
  <c r="AN26" i="3"/>
  <c r="AN25" i="3"/>
  <c r="AN24" i="3"/>
  <c r="AN23" i="3"/>
  <c r="AN22" i="3"/>
  <c r="AN21" i="3"/>
  <c r="AN20" i="3"/>
  <c r="AN19" i="3"/>
  <c r="AN18" i="3"/>
  <c r="AN17" i="3"/>
  <c r="AN16" i="3"/>
  <c r="AN15" i="3"/>
  <c r="AN14" i="3"/>
  <c r="AN13" i="3"/>
  <c r="AN12" i="3"/>
  <c r="AN11" i="3"/>
  <c r="AN10" i="3"/>
  <c r="AN9" i="3"/>
  <c r="AN8" i="3"/>
  <c r="AN7" i="3"/>
  <c r="AN6" i="3"/>
  <c r="AN5" i="3"/>
  <c r="AN4" i="3"/>
  <c r="AN3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L53" i="3"/>
  <c r="AL52" i="3"/>
  <c r="AL51" i="3"/>
  <c r="AL50" i="3"/>
  <c r="AL49" i="3"/>
  <c r="AL48" i="3"/>
  <c r="AL47" i="3"/>
  <c r="AL46" i="3"/>
  <c r="AL45" i="3"/>
  <c r="AL44" i="3"/>
  <c r="AL43" i="3"/>
  <c r="AL42" i="3"/>
  <c r="AL41" i="3"/>
  <c r="AL40" i="3"/>
  <c r="AL39" i="3"/>
  <c r="AL38" i="3"/>
  <c r="AL37" i="3"/>
  <c r="AL36" i="3"/>
  <c r="AL35" i="3"/>
  <c r="AL34" i="3"/>
  <c r="AL33" i="3"/>
  <c r="AL32" i="3"/>
  <c r="AL31" i="3"/>
  <c r="AL30" i="3"/>
  <c r="AL29" i="3"/>
  <c r="AL28" i="3"/>
  <c r="AL27" i="3"/>
  <c r="AL26" i="3"/>
  <c r="AL25" i="3"/>
  <c r="AL24" i="3"/>
  <c r="AL23" i="3"/>
  <c r="AL22" i="3"/>
  <c r="AL21" i="3"/>
  <c r="AL20" i="3"/>
  <c r="AL19" i="3"/>
  <c r="AL18" i="3"/>
  <c r="AL17" i="3"/>
  <c r="AL16" i="3"/>
  <c r="AL15" i="3"/>
  <c r="AL14" i="3"/>
  <c r="AL13" i="3"/>
  <c r="AL12" i="3"/>
  <c r="AL11" i="3"/>
  <c r="AL10" i="3"/>
  <c r="AL9" i="3"/>
  <c r="AL8" i="3"/>
  <c r="AL7" i="3"/>
  <c r="AL6" i="3"/>
  <c r="AL5" i="3"/>
  <c r="AL4" i="3"/>
  <c r="AL3" i="3"/>
  <c r="AK53" i="3"/>
  <c r="AK52" i="3"/>
  <c r="AK51" i="3"/>
  <c r="AK50" i="3"/>
  <c r="AK49" i="3"/>
  <c r="AK48" i="3"/>
  <c r="AK47" i="3"/>
  <c r="AK46" i="3"/>
  <c r="AK45" i="3"/>
  <c r="AK44" i="3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K13" i="3"/>
  <c r="AK12" i="3"/>
  <c r="AK11" i="3"/>
  <c r="AK10" i="3"/>
  <c r="AK9" i="3"/>
  <c r="AK8" i="3"/>
  <c r="AK7" i="3"/>
  <c r="AK6" i="3"/>
  <c r="AK5" i="3"/>
  <c r="AK4" i="3"/>
  <c r="AK3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I53" i="3"/>
  <c r="AI52" i="3"/>
  <c r="AI51" i="3"/>
  <c r="AI50" i="3"/>
  <c r="AI49" i="3"/>
  <c r="AI48" i="3"/>
  <c r="AI47" i="3"/>
  <c r="AI46" i="3"/>
  <c r="AI45" i="3"/>
  <c r="AI4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6" i="3"/>
  <c r="AI5" i="3"/>
  <c r="AI4" i="3"/>
  <c r="AI3" i="3"/>
  <c r="AH53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10" i="3"/>
  <c r="AH9" i="3"/>
  <c r="AH8" i="3"/>
  <c r="AH7" i="3"/>
  <c r="AH6" i="3"/>
  <c r="AH5" i="3"/>
  <c r="AH4" i="3"/>
  <c r="AH3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F5" i="3"/>
  <c r="AF4" i="3"/>
  <c r="AF3" i="3"/>
  <c r="AE53" i="3"/>
  <c r="AE52" i="3"/>
  <c r="AE51" i="3"/>
  <c r="AE50" i="3"/>
  <c r="AE49" i="3"/>
  <c r="AE48" i="3"/>
  <c r="AE47" i="3"/>
  <c r="AE46" i="3"/>
  <c r="AE45" i="3"/>
  <c r="AE44" i="3"/>
  <c r="AE43" i="3"/>
  <c r="AE42" i="3"/>
  <c r="AE41" i="3"/>
  <c r="AE40" i="3"/>
  <c r="AE39" i="3"/>
  <c r="AE38" i="3"/>
  <c r="AE37" i="3"/>
  <c r="AE36" i="3"/>
  <c r="AE35" i="3"/>
  <c r="AE34" i="3"/>
  <c r="AE33" i="3"/>
  <c r="AE32" i="3"/>
  <c r="AE31" i="3"/>
  <c r="AE30" i="3"/>
  <c r="AE29" i="3"/>
  <c r="AE28" i="3"/>
  <c r="AE27" i="3"/>
  <c r="AE26" i="3"/>
  <c r="AE25" i="3"/>
  <c r="AE24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AB6" i="3"/>
  <c r="AB5" i="3"/>
  <c r="AB4" i="3"/>
  <c r="AB3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Z53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35" i="3"/>
  <c r="Z34" i="3"/>
  <c r="Z33" i="3"/>
  <c r="Z32" i="3"/>
  <c r="Z31" i="3"/>
  <c r="Z30" i="3"/>
  <c r="Z29" i="3"/>
  <c r="Z28" i="3"/>
  <c r="Z27" i="3"/>
  <c r="Z26" i="3"/>
  <c r="Z25" i="3"/>
  <c r="Z24" i="3"/>
  <c r="Z23" i="3"/>
  <c r="Z22" i="3"/>
  <c r="Z21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Z6" i="3"/>
  <c r="Z5" i="3"/>
  <c r="Z4" i="3"/>
  <c r="Z3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W53" i="3"/>
  <c r="W52" i="3"/>
  <c r="W51" i="3"/>
  <c r="W50" i="3"/>
  <c r="W49" i="3"/>
  <c r="W48" i="3"/>
  <c r="W47" i="3"/>
  <c r="W46" i="3"/>
  <c r="W45" i="3"/>
  <c r="W44" i="3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V53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S53" i="3"/>
  <c r="S52" i="3"/>
  <c r="S51" i="3"/>
  <c r="S50" i="3"/>
  <c r="S49" i="3"/>
  <c r="S48" i="3"/>
  <c r="S47" i="3"/>
  <c r="S46" i="3"/>
  <c r="S45" i="3"/>
  <c r="S44" i="3"/>
  <c r="S43" i="3"/>
  <c r="S42" i="3"/>
  <c r="S41" i="3"/>
  <c r="S40" i="3"/>
  <c r="S39" i="3"/>
  <c r="S38" i="3"/>
  <c r="S37" i="3"/>
  <c r="S36" i="3"/>
  <c r="S35" i="3"/>
  <c r="S34" i="3"/>
  <c r="S33" i="3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Q3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P3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37" i="3"/>
  <c r="M36" i="3"/>
  <c r="M35" i="3"/>
  <c r="M34" i="3"/>
  <c r="M33" i="3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A53" i="2"/>
  <c r="BA52" i="2"/>
  <c r="BA51" i="2"/>
  <c r="BA50" i="2"/>
  <c r="BA49" i="2"/>
  <c r="BA48" i="2"/>
  <c r="BA47" i="2"/>
  <c r="BA46" i="2"/>
  <c r="BA45" i="2"/>
  <c r="BA44" i="2"/>
  <c r="BA43" i="2"/>
  <c r="BA42" i="2"/>
  <c r="BA41" i="2"/>
  <c r="BA40" i="2"/>
  <c r="BA39" i="2"/>
  <c r="BA38" i="2"/>
  <c r="BA37" i="2"/>
  <c r="BA36" i="2"/>
  <c r="BA35" i="2"/>
  <c r="BA34" i="2"/>
  <c r="BA33" i="2"/>
  <c r="BA32" i="2"/>
  <c r="BA31" i="2"/>
  <c r="BA30" i="2"/>
  <c r="BA29" i="2"/>
  <c r="BA28" i="2"/>
  <c r="BA27" i="2"/>
  <c r="BA26" i="2"/>
  <c r="BA25" i="2"/>
  <c r="BA24" i="2"/>
  <c r="BA23" i="2"/>
  <c r="BA22" i="2"/>
  <c r="BA21" i="2"/>
  <c r="BA20" i="2"/>
  <c r="BA19" i="2"/>
  <c r="BA18" i="2"/>
  <c r="BA17" i="2"/>
  <c r="BA16" i="2"/>
  <c r="BA15" i="2"/>
  <c r="BA14" i="2"/>
  <c r="BA13" i="2"/>
  <c r="BA12" i="2"/>
  <c r="BA11" i="2"/>
  <c r="BA10" i="2"/>
  <c r="BA9" i="2"/>
  <c r="BA8" i="2"/>
  <c r="BA7" i="2"/>
  <c r="BA6" i="2"/>
  <c r="BA5" i="2"/>
  <c r="BA4" i="2"/>
  <c r="BA3" i="2"/>
  <c r="AZ53" i="2"/>
  <c r="AZ52" i="2"/>
  <c r="AZ51" i="2"/>
  <c r="AZ50" i="2"/>
  <c r="AZ49" i="2"/>
  <c r="AZ48" i="2"/>
  <c r="AZ47" i="2"/>
  <c r="AZ46" i="2"/>
  <c r="AZ45" i="2"/>
  <c r="AZ44" i="2"/>
  <c r="AZ43" i="2"/>
  <c r="AZ42" i="2"/>
  <c r="AZ41" i="2"/>
  <c r="AZ40" i="2"/>
  <c r="AZ39" i="2"/>
  <c r="AZ38" i="2"/>
  <c r="AZ37" i="2"/>
  <c r="AZ36" i="2"/>
  <c r="AZ35" i="2"/>
  <c r="AZ34" i="2"/>
  <c r="AZ33" i="2"/>
  <c r="AZ32" i="2"/>
  <c r="AZ31" i="2"/>
  <c r="AZ30" i="2"/>
  <c r="AZ29" i="2"/>
  <c r="AZ28" i="2"/>
  <c r="AZ27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5" i="2"/>
  <c r="AZ4" i="2"/>
  <c r="AZ3" i="2"/>
  <c r="AY53" i="2"/>
  <c r="AY52" i="2"/>
  <c r="AY51" i="2"/>
  <c r="AY50" i="2"/>
  <c r="AY49" i="2"/>
  <c r="AY48" i="2"/>
  <c r="AY47" i="2"/>
  <c r="AY46" i="2"/>
  <c r="AY45" i="2"/>
  <c r="AY44" i="2"/>
  <c r="AY43" i="2"/>
  <c r="AY42" i="2"/>
  <c r="AY41" i="2"/>
  <c r="AY40" i="2"/>
  <c r="AY39" i="2"/>
  <c r="AY38" i="2"/>
  <c r="AY37" i="2"/>
  <c r="AY36" i="2"/>
  <c r="AY35" i="2"/>
  <c r="AY34" i="2"/>
  <c r="AY33" i="2"/>
  <c r="AY32" i="2"/>
  <c r="AY31" i="2"/>
  <c r="AY30" i="2"/>
  <c r="AY29" i="2"/>
  <c r="AY28" i="2"/>
  <c r="AY27" i="2"/>
  <c r="AY26" i="2"/>
  <c r="AY25" i="2"/>
  <c r="AY24" i="2"/>
  <c r="AY23" i="2"/>
  <c r="AY22" i="2"/>
  <c r="AY21" i="2"/>
  <c r="AY20" i="2"/>
  <c r="AY19" i="2"/>
  <c r="AY18" i="2"/>
  <c r="AY17" i="2"/>
  <c r="AY16" i="2"/>
  <c r="AY15" i="2"/>
  <c r="AY14" i="2"/>
  <c r="AY13" i="2"/>
  <c r="AY12" i="2"/>
  <c r="AY11" i="2"/>
  <c r="AY10" i="2"/>
  <c r="AY9" i="2"/>
  <c r="AY8" i="2"/>
  <c r="AY7" i="2"/>
  <c r="AY6" i="2"/>
  <c r="AY5" i="2"/>
  <c r="AY4" i="2"/>
  <c r="AY3" i="2"/>
  <c r="AX53" i="2"/>
  <c r="AX52" i="2"/>
  <c r="AX51" i="2"/>
  <c r="AX50" i="2"/>
  <c r="AX49" i="2"/>
  <c r="AX48" i="2"/>
  <c r="AX47" i="2"/>
  <c r="AX46" i="2"/>
  <c r="AX45" i="2"/>
  <c r="AX44" i="2"/>
  <c r="AX43" i="2"/>
  <c r="AX42" i="2"/>
  <c r="AX41" i="2"/>
  <c r="AX40" i="2"/>
  <c r="AX39" i="2"/>
  <c r="AX38" i="2"/>
  <c r="AX37" i="2"/>
  <c r="AX36" i="2"/>
  <c r="AX35" i="2"/>
  <c r="AX34" i="2"/>
  <c r="AX33" i="2"/>
  <c r="AX32" i="2"/>
  <c r="AX31" i="2"/>
  <c r="AX30" i="2"/>
  <c r="AX29" i="2"/>
  <c r="AX28" i="2"/>
  <c r="AX27" i="2"/>
  <c r="AX26" i="2"/>
  <c r="AX25" i="2"/>
  <c r="AX24" i="2"/>
  <c r="AX23" i="2"/>
  <c r="AX22" i="2"/>
  <c r="AX21" i="2"/>
  <c r="AX20" i="2"/>
  <c r="AX19" i="2"/>
  <c r="AX18" i="2"/>
  <c r="AX17" i="2"/>
  <c r="AX16" i="2"/>
  <c r="AX15" i="2"/>
  <c r="AX14" i="2"/>
  <c r="AX13" i="2"/>
  <c r="AX12" i="2"/>
  <c r="AX11" i="2"/>
  <c r="AX10" i="2"/>
  <c r="AX9" i="2"/>
  <c r="AX8" i="2"/>
  <c r="AX7" i="2"/>
  <c r="AX6" i="2"/>
  <c r="AX5" i="2"/>
  <c r="AX4" i="2"/>
  <c r="AX3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"/>
  <c r="AW12" i="2"/>
  <c r="AW11" i="2"/>
  <c r="AW10" i="2"/>
  <c r="AW9" i="2"/>
  <c r="AW8" i="2"/>
  <c r="AW7" i="2"/>
  <c r="AW6" i="2"/>
  <c r="AW5" i="2"/>
  <c r="AW4" i="2"/>
  <c r="AW3" i="2"/>
  <c r="AV53" i="2"/>
  <c r="AV52" i="2"/>
  <c r="AV51" i="2"/>
  <c r="AV50" i="2"/>
  <c r="AV49" i="2"/>
  <c r="AV48" i="2"/>
  <c r="AV47" i="2"/>
  <c r="AV46" i="2"/>
  <c r="AV45" i="2"/>
  <c r="AV44" i="2"/>
  <c r="AV43" i="2"/>
  <c r="AV42" i="2"/>
  <c r="AV41" i="2"/>
  <c r="AV40" i="2"/>
  <c r="AV39" i="2"/>
  <c r="AV38" i="2"/>
  <c r="AV37" i="2"/>
  <c r="AV36" i="2"/>
  <c r="AV35" i="2"/>
  <c r="AV34" i="2"/>
  <c r="AV33" i="2"/>
  <c r="AV32" i="2"/>
  <c r="AV31" i="2"/>
  <c r="AV30" i="2"/>
  <c r="AV29" i="2"/>
  <c r="AV28" i="2"/>
  <c r="AV27" i="2"/>
  <c r="AV26" i="2"/>
  <c r="AV25" i="2"/>
  <c r="AV24" i="2"/>
  <c r="AV23" i="2"/>
  <c r="AV22" i="2"/>
  <c r="AV21" i="2"/>
  <c r="AV20" i="2"/>
  <c r="AV19" i="2"/>
  <c r="AV18" i="2"/>
  <c r="AV17" i="2"/>
  <c r="AV16" i="2"/>
  <c r="AV15" i="2"/>
  <c r="AV14" i="2"/>
  <c r="AV13" i="2"/>
  <c r="AV12" i="2"/>
  <c r="AV11" i="2"/>
  <c r="AV10" i="2"/>
  <c r="AV9" i="2"/>
  <c r="AV8" i="2"/>
  <c r="AV7" i="2"/>
  <c r="AV6" i="2"/>
  <c r="AV5" i="2"/>
  <c r="AV4" i="2"/>
  <c r="AV3" i="2"/>
  <c r="AU53" i="2"/>
  <c r="AU52" i="2"/>
  <c r="AU51" i="2"/>
  <c r="AU50" i="2"/>
  <c r="AU49" i="2"/>
  <c r="AU48" i="2"/>
  <c r="AU47" i="2"/>
  <c r="AU46" i="2"/>
  <c r="AU45" i="2"/>
  <c r="AU44" i="2"/>
  <c r="AU43" i="2"/>
  <c r="AU42" i="2"/>
  <c r="AU41" i="2"/>
  <c r="AU40" i="2"/>
  <c r="AU39" i="2"/>
  <c r="AU38" i="2"/>
  <c r="AU37" i="2"/>
  <c r="AU36" i="2"/>
  <c r="AU35" i="2"/>
  <c r="AU34" i="2"/>
  <c r="AU33" i="2"/>
  <c r="AU32" i="2"/>
  <c r="AU31" i="2"/>
  <c r="AU30" i="2"/>
  <c r="AU29" i="2"/>
  <c r="AU28" i="2"/>
  <c r="AU27" i="2"/>
  <c r="AU26" i="2"/>
  <c r="AU25" i="2"/>
  <c r="AU24" i="2"/>
  <c r="AU23" i="2"/>
  <c r="AU22" i="2"/>
  <c r="AU21" i="2"/>
  <c r="AU20" i="2"/>
  <c r="AU19" i="2"/>
  <c r="AU18" i="2"/>
  <c r="AU17" i="2"/>
  <c r="AU16" i="2"/>
  <c r="AU15" i="2"/>
  <c r="AU14" i="2"/>
  <c r="AU13" i="2"/>
  <c r="AU12" i="2"/>
  <c r="AU11" i="2"/>
  <c r="AU10" i="2"/>
  <c r="AU9" i="2"/>
  <c r="AU8" i="2"/>
  <c r="AU7" i="2"/>
  <c r="AU6" i="2"/>
  <c r="AU5" i="2"/>
  <c r="AU4" i="2"/>
  <c r="AU3" i="2"/>
  <c r="AT53" i="2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AT12" i="2"/>
  <c r="AT11" i="2"/>
  <c r="AT10" i="2"/>
  <c r="AT9" i="2"/>
  <c r="AT8" i="2"/>
  <c r="AT7" i="2"/>
  <c r="AT6" i="2"/>
  <c r="AT5" i="2"/>
  <c r="AT4" i="2"/>
  <c r="AT3" i="2"/>
  <c r="AS53" i="2"/>
  <c r="AS52" i="2"/>
  <c r="AS51" i="2"/>
  <c r="AS50" i="2"/>
  <c r="AS49" i="2"/>
  <c r="AS48" i="2"/>
  <c r="AS47" i="2"/>
  <c r="AS46" i="2"/>
  <c r="AS45" i="2"/>
  <c r="AS44" i="2"/>
  <c r="AS43" i="2"/>
  <c r="AS42" i="2"/>
  <c r="AS41" i="2"/>
  <c r="AS40" i="2"/>
  <c r="AS39" i="2"/>
  <c r="AS38" i="2"/>
  <c r="AS37" i="2"/>
  <c r="AS36" i="2"/>
  <c r="AS35" i="2"/>
  <c r="AS34" i="2"/>
  <c r="AS33" i="2"/>
  <c r="AS32" i="2"/>
  <c r="AS31" i="2"/>
  <c r="AS30" i="2"/>
  <c r="AS29" i="2"/>
  <c r="AS28" i="2"/>
  <c r="AS27" i="2"/>
  <c r="AS26" i="2"/>
  <c r="AS25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AS5" i="2"/>
  <c r="AS4" i="2"/>
  <c r="AS3" i="2"/>
  <c r="AR53" i="2"/>
  <c r="AR52" i="2"/>
  <c r="AR51" i="2"/>
  <c r="AR50" i="2"/>
  <c r="AR49" i="2"/>
  <c r="AR48" i="2"/>
  <c r="AR47" i="2"/>
  <c r="AR46" i="2"/>
  <c r="AR45" i="2"/>
  <c r="AR44" i="2"/>
  <c r="AR43" i="2"/>
  <c r="AR42" i="2"/>
  <c r="AR41" i="2"/>
  <c r="AR40" i="2"/>
  <c r="AR39" i="2"/>
  <c r="AR38" i="2"/>
  <c r="AR37" i="2"/>
  <c r="AR36" i="2"/>
  <c r="AR35" i="2"/>
  <c r="AR34" i="2"/>
  <c r="AR33" i="2"/>
  <c r="AR32" i="2"/>
  <c r="AR31" i="2"/>
  <c r="AR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R12" i="2"/>
  <c r="AR11" i="2"/>
  <c r="AR10" i="2"/>
  <c r="AR9" i="2"/>
  <c r="AR8" i="2"/>
  <c r="AR7" i="2"/>
  <c r="AR6" i="2"/>
  <c r="AR5" i="2"/>
  <c r="AR4" i="2"/>
  <c r="AR3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11" i="2"/>
  <c r="AQ10" i="2"/>
  <c r="AQ9" i="2"/>
  <c r="AQ8" i="2"/>
  <c r="AQ7" i="2"/>
  <c r="AQ6" i="2"/>
  <c r="AQ5" i="2"/>
  <c r="AQ4" i="2"/>
  <c r="AQ3" i="2"/>
  <c r="AP53" i="2"/>
  <c r="AP52" i="2"/>
  <c r="AP51" i="2"/>
  <c r="AP50" i="2"/>
  <c r="AP49" i="2"/>
  <c r="AP48" i="2"/>
  <c r="AP47" i="2"/>
  <c r="AP46" i="2"/>
  <c r="AP45" i="2"/>
  <c r="AP44" i="2"/>
  <c r="AP43" i="2"/>
  <c r="AP42" i="2"/>
  <c r="AP41" i="2"/>
  <c r="AP40" i="2"/>
  <c r="AP39" i="2"/>
  <c r="AP38" i="2"/>
  <c r="AP37" i="2"/>
  <c r="AP36" i="2"/>
  <c r="AP35" i="2"/>
  <c r="AP34" i="2"/>
  <c r="AP33" i="2"/>
  <c r="AP32" i="2"/>
  <c r="AP31" i="2"/>
  <c r="AP30" i="2"/>
  <c r="AP29" i="2"/>
  <c r="AP28" i="2"/>
  <c r="AP27" i="2"/>
  <c r="AP26" i="2"/>
  <c r="AP25" i="2"/>
  <c r="AP24" i="2"/>
  <c r="AP23" i="2"/>
  <c r="AP22" i="2"/>
  <c r="AP21" i="2"/>
  <c r="AP20" i="2"/>
  <c r="AP19" i="2"/>
  <c r="AP18" i="2"/>
  <c r="AP17" i="2"/>
  <c r="AP16" i="2"/>
  <c r="AP15" i="2"/>
  <c r="AP14" i="2"/>
  <c r="AP13" i="2"/>
  <c r="AP12" i="2"/>
  <c r="AP11" i="2"/>
  <c r="AP10" i="2"/>
  <c r="AP9" i="2"/>
  <c r="AP8" i="2"/>
  <c r="AP7" i="2"/>
  <c r="AP6" i="2"/>
  <c r="AP5" i="2"/>
  <c r="AP4" i="2"/>
  <c r="AP3" i="2"/>
  <c r="AO53" i="2"/>
  <c r="AO52" i="2"/>
  <c r="AO51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O15" i="2"/>
  <c r="AO14" i="2"/>
  <c r="AO13" i="2"/>
  <c r="AO12" i="2"/>
  <c r="AO11" i="2"/>
  <c r="AO10" i="2"/>
  <c r="AO9" i="2"/>
  <c r="AO8" i="2"/>
  <c r="AO7" i="2"/>
  <c r="AO6" i="2"/>
  <c r="AO5" i="2"/>
  <c r="AO4" i="2"/>
  <c r="AO3" i="2"/>
  <c r="AN53" i="2"/>
  <c r="AN52" i="2"/>
  <c r="AN51" i="2"/>
  <c r="AN50" i="2"/>
  <c r="AN49" i="2"/>
  <c r="AN48" i="2"/>
  <c r="AN47" i="2"/>
  <c r="AN46" i="2"/>
  <c r="AN45" i="2"/>
  <c r="AN44" i="2"/>
  <c r="AN43" i="2"/>
  <c r="AN42" i="2"/>
  <c r="AN41" i="2"/>
  <c r="AN40" i="2"/>
  <c r="AN39" i="2"/>
  <c r="AN38" i="2"/>
  <c r="AN37" i="2"/>
  <c r="AN36" i="2"/>
  <c r="AN35" i="2"/>
  <c r="AN34" i="2"/>
  <c r="AN33" i="2"/>
  <c r="AN32" i="2"/>
  <c r="AN31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N15" i="2"/>
  <c r="AN14" i="2"/>
  <c r="AN13" i="2"/>
  <c r="AN12" i="2"/>
  <c r="AN11" i="2"/>
  <c r="AN10" i="2"/>
  <c r="AN9" i="2"/>
  <c r="AN8" i="2"/>
  <c r="AN7" i="2"/>
  <c r="AN6" i="2"/>
  <c r="AN5" i="2"/>
  <c r="AN4" i="2"/>
  <c r="AN3" i="2"/>
  <c r="AM53" i="2"/>
  <c r="AM52" i="2"/>
  <c r="AM51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M6" i="2"/>
  <c r="AM5" i="2"/>
  <c r="AM4" i="2"/>
  <c r="AM3" i="2"/>
  <c r="AL53" i="2"/>
  <c r="AL52" i="2"/>
  <c r="AL51" i="2"/>
  <c r="AL50" i="2"/>
  <c r="AL49" i="2"/>
  <c r="AL48" i="2"/>
  <c r="AL47" i="2"/>
  <c r="AL46" i="2"/>
  <c r="AL45" i="2"/>
  <c r="AL44" i="2"/>
  <c r="AL43" i="2"/>
  <c r="AL42" i="2"/>
  <c r="AL41" i="2"/>
  <c r="AL40" i="2"/>
  <c r="AL39" i="2"/>
  <c r="AL38" i="2"/>
  <c r="AL37" i="2"/>
  <c r="AL36" i="2"/>
  <c r="AL35" i="2"/>
  <c r="AL34" i="2"/>
  <c r="AL33" i="2"/>
  <c r="AL32" i="2"/>
  <c r="AL31" i="2"/>
  <c r="AL30" i="2"/>
  <c r="AL29" i="2"/>
  <c r="AL28" i="2"/>
  <c r="AL27" i="2"/>
  <c r="AL26" i="2"/>
  <c r="AL25" i="2"/>
  <c r="AL24" i="2"/>
  <c r="AL23" i="2"/>
  <c r="AL22" i="2"/>
  <c r="AL21" i="2"/>
  <c r="AL20" i="2"/>
  <c r="AL19" i="2"/>
  <c r="AL18" i="2"/>
  <c r="AL17" i="2"/>
  <c r="AL16" i="2"/>
  <c r="AL15" i="2"/>
  <c r="AL14" i="2"/>
  <c r="AL13" i="2"/>
  <c r="AL12" i="2"/>
  <c r="AL11" i="2"/>
  <c r="AL10" i="2"/>
  <c r="AL9" i="2"/>
  <c r="AL8" i="2"/>
  <c r="AL7" i="2"/>
  <c r="AL6" i="2"/>
  <c r="AL5" i="2"/>
  <c r="AL4" i="2"/>
  <c r="AL3" i="2"/>
  <c r="AK53" i="2"/>
  <c r="AK52" i="2"/>
  <c r="AK51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6" i="2"/>
  <c r="AK25" i="2"/>
  <c r="AK24" i="2"/>
  <c r="AK23" i="2"/>
  <c r="AK22" i="2"/>
  <c r="AK21" i="2"/>
  <c r="AK20" i="2"/>
  <c r="AK19" i="2"/>
  <c r="AK18" i="2"/>
  <c r="AK17" i="2"/>
  <c r="AK16" i="2"/>
  <c r="AK15" i="2"/>
  <c r="AK14" i="2"/>
  <c r="AK13" i="2"/>
  <c r="AK12" i="2"/>
  <c r="AK11" i="2"/>
  <c r="AK10" i="2"/>
  <c r="AK9" i="2"/>
  <c r="AK8" i="2"/>
  <c r="AK7" i="2"/>
  <c r="AK6" i="2"/>
  <c r="AK5" i="2"/>
  <c r="AK4" i="2"/>
  <c r="AK3" i="2"/>
  <c r="AJ53" i="2"/>
  <c r="AJ52" i="2"/>
  <c r="AJ51" i="2"/>
  <c r="AJ50" i="2"/>
  <c r="AJ49" i="2"/>
  <c r="AJ48" i="2"/>
  <c r="AJ47" i="2"/>
  <c r="AJ46" i="2"/>
  <c r="AJ45" i="2"/>
  <c r="AJ44" i="2"/>
  <c r="AJ43" i="2"/>
  <c r="AJ42" i="2"/>
  <c r="AJ41" i="2"/>
  <c r="AJ40" i="2"/>
  <c r="AJ39" i="2"/>
  <c r="AJ38" i="2"/>
  <c r="AJ37" i="2"/>
  <c r="AJ36" i="2"/>
  <c r="AJ35" i="2"/>
  <c r="AJ34" i="2"/>
  <c r="AJ33" i="2"/>
  <c r="AJ32" i="2"/>
  <c r="AJ31" i="2"/>
  <c r="AJ30" i="2"/>
  <c r="AJ29" i="2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AJ3" i="2"/>
  <c r="AI53" i="2"/>
  <c r="AI52" i="2"/>
  <c r="AI51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I12" i="2"/>
  <c r="AI11" i="2"/>
  <c r="AI10" i="2"/>
  <c r="AI9" i="2"/>
  <c r="AI8" i="2"/>
  <c r="AI7" i="2"/>
  <c r="AI6" i="2"/>
  <c r="AI5" i="2"/>
  <c r="AI4" i="2"/>
  <c r="AI3" i="2"/>
  <c r="AH53" i="2"/>
  <c r="AH52" i="2"/>
  <c r="AH51" i="2"/>
  <c r="AH50" i="2"/>
  <c r="AH49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3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G24" i="2"/>
  <c r="AG23" i="2"/>
  <c r="AG22" i="2"/>
  <c r="AG21" i="2"/>
  <c r="AG20" i="2"/>
  <c r="AG19" i="2"/>
  <c r="AG18" i="2"/>
  <c r="AG17" i="2"/>
  <c r="AG16" i="2"/>
  <c r="AG15" i="2"/>
  <c r="AG14" i="2"/>
  <c r="AG13" i="2"/>
  <c r="AG12" i="2"/>
  <c r="AG11" i="2"/>
  <c r="AG10" i="2"/>
  <c r="AG9" i="2"/>
  <c r="AG8" i="2"/>
  <c r="AG7" i="2"/>
  <c r="AG6" i="2"/>
  <c r="AG5" i="2"/>
  <c r="AG4" i="2"/>
  <c r="AG3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AF7" i="2"/>
  <c r="AF6" i="2"/>
  <c r="AF5" i="2"/>
  <c r="AF4" i="2"/>
  <c r="AF3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AC5" i="2"/>
  <c r="AC4" i="2"/>
  <c r="AC3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AB8" i="2"/>
  <c r="AB7" i="2"/>
  <c r="AB6" i="2"/>
  <c r="AB5" i="2"/>
  <c r="AB4" i="2"/>
  <c r="AB3" i="2"/>
  <c r="AA53" i="2"/>
  <c r="AA52" i="2"/>
  <c r="AA51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Z3" i="2"/>
  <c r="Y53" i="2"/>
  <c r="Y52" i="2"/>
  <c r="Y51" i="2"/>
  <c r="Y50" i="2"/>
  <c r="Y49" i="2"/>
  <c r="Y48" i="2"/>
  <c r="Y47" i="2"/>
  <c r="Y46" i="2"/>
  <c r="Y45" i="2"/>
  <c r="Y44" i="2"/>
  <c r="Y43" i="2"/>
  <c r="Y42" i="2"/>
  <c r="Y41" i="2"/>
  <c r="Y40" i="2"/>
  <c r="Y39" i="2"/>
  <c r="Y38" i="2"/>
  <c r="Y37" i="2"/>
  <c r="Y36" i="2"/>
  <c r="Y35" i="2"/>
  <c r="Y34" i="2"/>
  <c r="Y33" i="2"/>
  <c r="Y32" i="2"/>
  <c r="Y31" i="2"/>
  <c r="Y30" i="2"/>
  <c r="Y29" i="2"/>
  <c r="Y28" i="2"/>
  <c r="Y27" i="2"/>
  <c r="Y26" i="2"/>
  <c r="Y25" i="2"/>
  <c r="Y24" i="2"/>
  <c r="Y23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X5" i="2"/>
  <c r="X4" i="2"/>
  <c r="X3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W3" i="2"/>
  <c r="V53" i="2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8" i="2"/>
  <c r="V7" i="2"/>
  <c r="V6" i="2"/>
  <c r="V5" i="2"/>
  <c r="V4" i="2"/>
  <c r="V3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B12" i="12"/>
  <c r="D6" i="12"/>
  <c r="D12" i="12"/>
  <c r="I2" i="12"/>
  <c r="J2" i="12"/>
  <c r="K2" i="12"/>
  <c r="L2" i="12"/>
  <c r="M2" i="12"/>
  <c r="N2" i="12"/>
  <c r="I3" i="12"/>
  <c r="J3" i="12"/>
  <c r="K3" i="12"/>
  <c r="M3" i="12"/>
  <c r="N3" i="12"/>
  <c r="I6" i="12"/>
  <c r="I10" i="12"/>
  <c r="I14" i="12"/>
  <c r="I18" i="12"/>
  <c r="I22" i="12"/>
  <c r="I26" i="12"/>
  <c r="I30" i="12"/>
  <c r="I34" i="12"/>
  <c r="I38" i="12"/>
  <c r="I46" i="12"/>
  <c r="I50" i="12"/>
  <c r="I58" i="12"/>
  <c r="I66" i="12"/>
  <c r="I74" i="12"/>
  <c r="I82" i="12"/>
  <c r="I90" i="12"/>
  <c r="I98" i="12"/>
  <c r="I88" i="12"/>
  <c r="I7" i="12"/>
  <c r="I11" i="12"/>
  <c r="I15" i="12"/>
  <c r="I19" i="12"/>
  <c r="I23" i="12"/>
  <c r="I27" i="12"/>
  <c r="I31" i="12"/>
  <c r="I35" i="12"/>
  <c r="I39" i="12"/>
  <c r="I43" i="12"/>
  <c r="I47" i="12"/>
  <c r="I51" i="12"/>
  <c r="I55" i="12"/>
  <c r="I59" i="12"/>
  <c r="I63" i="12"/>
  <c r="I67" i="12"/>
  <c r="I71" i="12"/>
  <c r="I75" i="12"/>
  <c r="I79" i="12"/>
  <c r="I83" i="12"/>
  <c r="I87" i="12"/>
  <c r="I91" i="12"/>
  <c r="I95" i="12"/>
  <c r="I99" i="12"/>
  <c r="I20" i="12"/>
  <c r="I28" i="12"/>
  <c r="I40" i="12"/>
  <c r="I48" i="12"/>
  <c r="I52" i="12"/>
  <c r="I60" i="12"/>
  <c r="I68" i="12"/>
  <c r="I76" i="12"/>
  <c r="I92" i="12"/>
  <c r="I4" i="12"/>
  <c r="I8" i="12"/>
  <c r="I12" i="12"/>
  <c r="I16" i="12"/>
  <c r="I24" i="12"/>
  <c r="I32" i="12"/>
  <c r="I36" i="12"/>
  <c r="I44" i="12"/>
  <c r="I56" i="12"/>
  <c r="I64" i="12"/>
  <c r="I72" i="12"/>
  <c r="I84" i="12"/>
  <c r="I100" i="12"/>
  <c r="I5" i="12"/>
  <c r="I9" i="12"/>
  <c r="I13" i="12"/>
  <c r="I17" i="12"/>
  <c r="I21" i="12"/>
  <c r="I25" i="12"/>
  <c r="I29" i="12"/>
  <c r="I33" i="12"/>
  <c r="I37" i="12"/>
  <c r="I41" i="12"/>
  <c r="I45" i="12"/>
  <c r="I49" i="12"/>
  <c r="I53" i="12"/>
  <c r="I57" i="12"/>
  <c r="I61" i="12"/>
  <c r="I65" i="12"/>
  <c r="I69" i="12"/>
  <c r="I73" i="12"/>
  <c r="I77" i="12"/>
  <c r="I81" i="12"/>
  <c r="I85" i="12"/>
  <c r="I89" i="12"/>
  <c r="I93" i="12"/>
  <c r="I97" i="12"/>
  <c r="I101" i="12"/>
  <c r="I42" i="12"/>
  <c r="I54" i="12"/>
  <c r="I62" i="12"/>
  <c r="I70" i="12"/>
  <c r="I78" i="12"/>
  <c r="I86" i="12"/>
  <c r="I94" i="12"/>
  <c r="I80" i="12"/>
  <c r="I96" i="12"/>
  <c r="L3" i="12"/>
  <c r="J4" i="12"/>
  <c r="L5" i="12"/>
  <c r="J6" i="12"/>
  <c r="L7" i="12"/>
  <c r="J8" i="12"/>
  <c r="L9" i="12"/>
  <c r="J10" i="12"/>
  <c r="L11" i="12"/>
  <c r="J12" i="12"/>
  <c r="L13" i="12"/>
  <c r="J14" i="12"/>
  <c r="L15" i="12"/>
  <c r="J16" i="12"/>
  <c r="L17" i="12"/>
  <c r="J18" i="12"/>
  <c r="L19" i="12"/>
  <c r="J20" i="12"/>
  <c r="L21" i="12"/>
  <c r="J22" i="12"/>
  <c r="L23" i="12"/>
  <c r="J24" i="12"/>
  <c r="L25" i="12"/>
  <c r="J26" i="12"/>
  <c r="L27" i="12"/>
  <c r="J28" i="12"/>
  <c r="L29" i="12"/>
  <c r="J30" i="12"/>
  <c r="L31" i="12"/>
  <c r="J32" i="12"/>
  <c r="L33" i="12"/>
  <c r="J34" i="12"/>
  <c r="L35" i="12"/>
  <c r="J36" i="12"/>
  <c r="L37" i="12"/>
  <c r="J38" i="12"/>
  <c r="L39" i="12"/>
  <c r="J40" i="12"/>
  <c r="L41" i="12"/>
  <c r="J42" i="12"/>
  <c r="L43" i="12"/>
  <c r="J44" i="12"/>
  <c r="L45" i="12"/>
  <c r="J46" i="12"/>
  <c r="L47" i="12"/>
  <c r="J48" i="12"/>
  <c r="L49" i="12"/>
  <c r="J50" i="12"/>
  <c r="L51" i="12"/>
  <c r="J52" i="12"/>
  <c r="L53" i="12"/>
  <c r="J54" i="12"/>
  <c r="L55" i="12"/>
  <c r="J56" i="12"/>
  <c r="L57" i="12"/>
  <c r="J58" i="12"/>
  <c r="L59" i="12"/>
  <c r="J60" i="12"/>
  <c r="L61" i="12"/>
  <c r="J62" i="12"/>
  <c r="L63" i="12"/>
  <c r="J64" i="12"/>
  <c r="L65" i="12"/>
  <c r="J66" i="12"/>
  <c r="L67" i="12"/>
  <c r="J68" i="12"/>
  <c r="L69" i="12"/>
  <c r="J70" i="12"/>
  <c r="L71" i="12"/>
  <c r="J72" i="12"/>
  <c r="L73" i="12"/>
  <c r="J74" i="12"/>
  <c r="L75" i="12"/>
  <c r="K4" i="12"/>
  <c r="K6" i="12"/>
  <c r="K8" i="12"/>
  <c r="K10" i="12"/>
  <c r="K12" i="12"/>
  <c r="K14" i="12"/>
  <c r="K16" i="12"/>
  <c r="K18" i="12"/>
  <c r="K20" i="12"/>
  <c r="K22" i="12"/>
  <c r="K24" i="12"/>
  <c r="K26" i="12"/>
  <c r="K28" i="12"/>
  <c r="K30" i="12"/>
  <c r="K32" i="12"/>
  <c r="K34" i="12"/>
  <c r="K36" i="12"/>
  <c r="K38" i="12"/>
  <c r="K40" i="12"/>
  <c r="K42" i="12"/>
  <c r="K44" i="12"/>
  <c r="K46" i="12"/>
  <c r="K48" i="12"/>
  <c r="K50" i="12"/>
  <c r="K52" i="12"/>
  <c r="K54" i="12"/>
  <c r="K56" i="12"/>
  <c r="K58" i="12"/>
  <c r="K60" i="12"/>
  <c r="K62" i="12"/>
  <c r="K64" i="12"/>
  <c r="K66" i="12"/>
  <c r="K68" i="12"/>
  <c r="K70" i="12"/>
  <c r="K72" i="12"/>
  <c r="K74" i="12"/>
  <c r="K76" i="12"/>
  <c r="K78" i="12"/>
  <c r="K80" i="12"/>
  <c r="K82" i="12"/>
  <c r="K84" i="12"/>
  <c r="K86" i="12"/>
  <c r="K88" i="12"/>
  <c r="K90" i="12"/>
  <c r="K92" i="12"/>
  <c r="L4" i="12"/>
  <c r="J5" i="12"/>
  <c r="L6" i="12"/>
  <c r="J7" i="12"/>
  <c r="L8" i="12"/>
  <c r="J9" i="12"/>
  <c r="L10" i="12"/>
  <c r="J11" i="12"/>
  <c r="L12" i="12"/>
  <c r="J13" i="12"/>
  <c r="L14" i="12"/>
  <c r="J15" i="12"/>
  <c r="L16" i="12"/>
  <c r="J17" i="12"/>
  <c r="L18" i="12"/>
  <c r="J19" i="12"/>
  <c r="L20" i="12"/>
  <c r="J21" i="12"/>
  <c r="L22" i="12"/>
  <c r="J23" i="12"/>
  <c r="L24" i="12"/>
  <c r="J25" i="12"/>
  <c r="L26" i="12"/>
  <c r="J27" i="12"/>
  <c r="L28" i="12"/>
  <c r="J29" i="12"/>
  <c r="L30" i="12"/>
  <c r="J31" i="12"/>
  <c r="L32" i="12"/>
  <c r="J33" i="12"/>
  <c r="L34" i="12"/>
  <c r="J35" i="12"/>
  <c r="L36" i="12"/>
  <c r="J37" i="12"/>
  <c r="L38" i="12"/>
  <c r="J39" i="12"/>
  <c r="L40" i="12"/>
  <c r="J41" i="12"/>
  <c r="L42" i="12"/>
  <c r="J43" i="12"/>
  <c r="L44" i="12"/>
  <c r="J45" i="12"/>
  <c r="L46" i="12"/>
  <c r="J47" i="12"/>
  <c r="L48" i="12"/>
  <c r="J49" i="12"/>
  <c r="L50" i="12"/>
  <c r="J51" i="12"/>
  <c r="L52" i="12"/>
  <c r="J53" i="12"/>
  <c r="L54" i="12"/>
  <c r="J55" i="12"/>
  <c r="L56" i="12"/>
  <c r="J57" i="12"/>
  <c r="L58" i="12"/>
  <c r="J59" i="12"/>
  <c r="L60" i="12"/>
  <c r="J61" i="12"/>
  <c r="L62" i="12"/>
  <c r="J63" i="12"/>
  <c r="L64" i="12"/>
  <c r="J65" i="12"/>
  <c r="L66" i="12"/>
  <c r="J67" i="12"/>
  <c r="L68" i="12"/>
  <c r="J69" i="12"/>
  <c r="L70" i="12"/>
  <c r="J71" i="12"/>
  <c r="L72" i="12"/>
  <c r="K5" i="12"/>
  <c r="K7" i="12"/>
  <c r="K9" i="12"/>
  <c r="K11" i="12"/>
  <c r="K13" i="12"/>
  <c r="K15" i="12"/>
  <c r="K17" i="12"/>
  <c r="K19" i="12"/>
  <c r="K21" i="12"/>
  <c r="K23" i="12"/>
  <c r="K25" i="12"/>
  <c r="K27" i="12"/>
  <c r="K29" i="12"/>
  <c r="K31" i="12"/>
  <c r="K33" i="12"/>
  <c r="K35" i="12"/>
  <c r="K37" i="12"/>
  <c r="K39" i="12"/>
  <c r="K41" i="12"/>
  <c r="K43" i="12"/>
  <c r="K45" i="12"/>
  <c r="K47" i="12"/>
  <c r="K49" i="12"/>
  <c r="K51" i="12"/>
  <c r="K53" i="12"/>
  <c r="K55" i="12"/>
  <c r="K57" i="12"/>
  <c r="K59" i="12"/>
  <c r="K61" i="12"/>
  <c r="K63" i="12"/>
  <c r="K65" i="12"/>
  <c r="K67" i="12"/>
  <c r="K69" i="12"/>
  <c r="K71" i="12"/>
  <c r="K73" i="12"/>
  <c r="K75" i="12"/>
  <c r="K77" i="12"/>
  <c r="K79" i="12"/>
  <c r="K81" i="12"/>
  <c r="K83" i="12"/>
  <c r="K85" i="12"/>
  <c r="K87" i="12"/>
  <c r="K89" i="12"/>
  <c r="K91" i="12"/>
  <c r="K93" i="12"/>
  <c r="J73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K95" i="12"/>
  <c r="K97" i="12"/>
  <c r="K99" i="12"/>
  <c r="K101" i="12"/>
  <c r="J94" i="12"/>
  <c r="L95" i="12"/>
  <c r="L97" i="12"/>
  <c r="L99" i="12"/>
  <c r="L101" i="12"/>
  <c r="J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K94" i="12"/>
  <c r="K96" i="12"/>
  <c r="K98" i="12"/>
  <c r="L74" i="12"/>
  <c r="L94" i="12"/>
  <c r="J95" i="12"/>
  <c r="L96" i="12"/>
  <c r="J97" i="12"/>
  <c r="L98" i="12"/>
  <c r="J99" i="12"/>
  <c r="L100" i="12"/>
  <c r="J101" i="12"/>
  <c r="L93" i="12"/>
  <c r="J96" i="12"/>
  <c r="J98" i="12"/>
  <c r="J100" i="12"/>
  <c r="K100" i="12"/>
  <c r="N100" i="12"/>
  <c r="M100" i="12"/>
  <c r="M98" i="12"/>
  <c r="M96" i="12"/>
  <c r="M101" i="12"/>
  <c r="M99" i="12"/>
  <c r="M97" i="12"/>
  <c r="M95" i="12"/>
  <c r="N98" i="12"/>
  <c r="N96" i="12"/>
  <c r="N94" i="12"/>
  <c r="M75" i="12"/>
  <c r="M94" i="12"/>
  <c r="N101" i="12"/>
  <c r="N99" i="12"/>
  <c r="N97" i="12"/>
  <c r="N95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3" i="12"/>
  <c r="N93" i="12"/>
  <c r="N91" i="12"/>
  <c r="N89" i="12"/>
  <c r="N87" i="12"/>
  <c r="N85" i="12"/>
  <c r="N83" i="12"/>
  <c r="N81" i="12"/>
  <c r="N79" i="12"/>
  <c r="N77" i="12"/>
  <c r="N75" i="12"/>
  <c r="N73" i="12"/>
  <c r="N71" i="12"/>
  <c r="N69" i="12"/>
  <c r="N67" i="12"/>
  <c r="N65" i="12"/>
  <c r="N63" i="12"/>
  <c r="N61" i="12"/>
  <c r="N59" i="12"/>
  <c r="N57" i="12"/>
  <c r="N55" i="12"/>
  <c r="N53" i="12"/>
  <c r="N51" i="12"/>
  <c r="N49" i="12"/>
  <c r="N47" i="12"/>
  <c r="N45" i="12"/>
  <c r="N43" i="12"/>
  <c r="N41" i="12"/>
  <c r="N39" i="12"/>
  <c r="N37" i="12"/>
  <c r="N35" i="12"/>
  <c r="N33" i="12"/>
  <c r="N31" i="12"/>
  <c r="N29" i="12"/>
  <c r="N27" i="12"/>
  <c r="N25" i="12"/>
  <c r="N23" i="12"/>
  <c r="N21" i="12"/>
  <c r="N19" i="12"/>
  <c r="N17" i="12"/>
  <c r="N15" i="12"/>
  <c r="N13" i="12"/>
  <c r="N11" i="12"/>
  <c r="N9" i="12"/>
  <c r="N7" i="12"/>
  <c r="N5" i="12"/>
  <c r="M71" i="12"/>
  <c r="M69" i="12"/>
  <c r="M67" i="12"/>
  <c r="M65" i="12"/>
  <c r="M63" i="12"/>
  <c r="M61" i="12"/>
  <c r="M59" i="12"/>
  <c r="M57" i="12"/>
  <c r="M55" i="12"/>
  <c r="M53" i="12"/>
  <c r="M51" i="12"/>
  <c r="M49" i="12"/>
  <c r="M47" i="12"/>
  <c r="M45" i="12"/>
  <c r="M43" i="12"/>
  <c r="M41" i="12"/>
  <c r="M39" i="12"/>
  <c r="M37" i="12"/>
  <c r="M35" i="12"/>
  <c r="M33" i="12"/>
  <c r="M31" i="12"/>
  <c r="M29" i="12"/>
  <c r="M27" i="12"/>
  <c r="M25" i="12"/>
  <c r="M23" i="12"/>
  <c r="M21" i="12"/>
  <c r="M19" i="12"/>
  <c r="M17" i="12"/>
  <c r="M15" i="12"/>
  <c r="M13" i="12"/>
  <c r="M11" i="12"/>
  <c r="M9" i="12"/>
  <c r="M7" i="12"/>
  <c r="M5" i="12"/>
  <c r="N92" i="12"/>
  <c r="N90" i="12"/>
  <c r="N88" i="12"/>
  <c r="N86" i="12"/>
  <c r="N84" i="12"/>
  <c r="N82" i="12"/>
  <c r="N80" i="12"/>
  <c r="N78" i="12"/>
  <c r="N76" i="12"/>
  <c r="N74" i="12"/>
  <c r="N72" i="12"/>
  <c r="N70" i="12"/>
  <c r="N68" i="12"/>
  <c r="N66" i="12"/>
  <c r="N64" i="12"/>
  <c r="N62" i="12"/>
  <c r="N60" i="12"/>
  <c r="N58" i="12"/>
  <c r="N56" i="12"/>
  <c r="N54" i="12"/>
  <c r="N52" i="12"/>
  <c r="N50" i="12"/>
  <c r="N48" i="12"/>
  <c r="N46" i="12"/>
  <c r="N44" i="12"/>
  <c r="N42" i="12"/>
  <c r="N40" i="12"/>
  <c r="N38" i="12"/>
  <c r="N36" i="12"/>
  <c r="N34" i="12"/>
  <c r="N32" i="12"/>
  <c r="N30" i="12"/>
  <c r="N28" i="12"/>
  <c r="N26" i="12"/>
  <c r="N24" i="12"/>
  <c r="N22" i="12"/>
  <c r="N20" i="12"/>
  <c r="N18" i="12"/>
  <c r="N16" i="12"/>
  <c r="N14" i="12"/>
  <c r="N12" i="12"/>
  <c r="N10" i="12"/>
  <c r="N8" i="12"/>
  <c r="N6" i="12"/>
  <c r="N4" i="12"/>
  <c r="M74" i="12"/>
  <c r="M72" i="12"/>
  <c r="M70" i="12"/>
  <c r="M68" i="12"/>
  <c r="M66" i="12"/>
  <c r="M64" i="12"/>
  <c r="M62" i="12"/>
  <c r="M60" i="12"/>
  <c r="M58" i="12"/>
  <c r="M56" i="12"/>
  <c r="M54" i="12"/>
  <c r="M52" i="12"/>
  <c r="M50" i="12"/>
  <c r="M48" i="12"/>
  <c r="M46" i="12"/>
  <c r="M44" i="12"/>
  <c r="M42" i="12"/>
  <c r="M40" i="12"/>
  <c r="M38" i="12"/>
  <c r="M36" i="12"/>
  <c r="M34" i="12"/>
  <c r="M32" i="12"/>
  <c r="M30" i="12"/>
  <c r="M28" i="12"/>
  <c r="M26" i="12"/>
  <c r="M24" i="12"/>
  <c r="M22" i="12"/>
  <c r="M20" i="12"/>
  <c r="M18" i="12"/>
  <c r="M16" i="12"/>
  <c r="M14" i="12"/>
  <c r="M12" i="12"/>
  <c r="M10" i="12"/>
  <c r="M8" i="12"/>
  <c r="M6" i="12"/>
  <c r="M4" i="12"/>
  <c r="B14" i="12"/>
  <c r="B13" i="12"/>
  <c r="E3" i="12"/>
  <c r="E2" i="12"/>
  <c r="O13" i="12"/>
  <c r="O37" i="12"/>
  <c r="O8" i="12"/>
  <c r="O24" i="12"/>
  <c r="O45" i="12"/>
  <c r="O77" i="12"/>
  <c r="O2" i="12"/>
  <c r="O95" i="12"/>
  <c r="O91" i="12"/>
  <c r="O15" i="12"/>
  <c r="O31" i="12"/>
  <c r="O30" i="12"/>
  <c r="O26" i="12"/>
  <c r="O18" i="12"/>
  <c r="O29" i="12"/>
  <c r="O21" i="12"/>
  <c r="O5" i="12"/>
  <c r="O32" i="12"/>
  <c r="O28" i="12"/>
  <c r="O20" i="12"/>
  <c r="O16" i="12"/>
  <c r="O12" i="12"/>
  <c r="O4" i="12"/>
  <c r="O22" i="12"/>
  <c r="O14" i="12"/>
  <c r="O10" i="12"/>
  <c r="O33" i="12"/>
  <c r="O25" i="12"/>
  <c r="O17" i="12"/>
  <c r="O23" i="12"/>
  <c r="O19" i="12"/>
  <c r="O7" i="12"/>
  <c r="O3" i="12"/>
  <c r="O53" i="12"/>
  <c r="O41" i="12"/>
  <c r="O56" i="12"/>
  <c r="O48" i="12"/>
  <c r="O44" i="12"/>
  <c r="O40" i="12"/>
  <c r="O36" i="12"/>
  <c r="O55" i="12"/>
  <c r="O51" i="12"/>
  <c r="O43" i="12"/>
  <c r="O39" i="12"/>
  <c r="O35" i="12"/>
  <c r="O57" i="12"/>
  <c r="O54" i="12"/>
  <c r="O46" i="12"/>
  <c r="O38" i="12"/>
  <c r="O34" i="12"/>
  <c r="O73" i="12"/>
  <c r="O101" i="12"/>
  <c r="O85" i="12"/>
  <c r="O69" i="12"/>
  <c r="O89" i="12"/>
  <c r="O97" i="12"/>
  <c r="O81" i="12"/>
  <c r="O61" i="12"/>
  <c r="O96" i="12"/>
  <c r="O92" i="12"/>
  <c r="O88" i="12"/>
  <c r="O80" i="12"/>
  <c r="O76" i="12"/>
  <c r="O72" i="12"/>
  <c r="O64" i="12"/>
  <c r="O60" i="12"/>
  <c r="O99" i="12"/>
  <c r="O87" i="12"/>
  <c r="O83" i="12"/>
  <c r="O71" i="12"/>
  <c r="O67" i="12"/>
  <c r="O63" i="12"/>
  <c r="O59" i="12"/>
  <c r="O94" i="12"/>
  <c r="O90" i="12"/>
  <c r="O86" i="12"/>
  <c r="O82" i="12"/>
  <c r="O78" i="12"/>
  <c r="O74" i="12"/>
  <c r="O70" i="12"/>
  <c r="O66" i="12"/>
  <c r="O62" i="12"/>
  <c r="D13" i="12"/>
  <c r="D7" i="12"/>
  <c r="B11" i="12"/>
  <c r="C24" i="1"/>
  <c r="C23" i="1"/>
  <c r="C16" i="1"/>
  <c r="E42" i="1"/>
  <c r="O98" i="12"/>
  <c r="O42" i="12"/>
  <c r="O27" i="12"/>
  <c r="O75" i="12"/>
  <c r="O93" i="12"/>
  <c r="O47" i="12"/>
  <c r="O49" i="12"/>
  <c r="O6" i="12"/>
  <c r="O11" i="12"/>
  <c r="O58" i="12"/>
  <c r="O79" i="12"/>
  <c r="O68" i="12"/>
  <c r="O84" i="12"/>
  <c r="O100" i="12"/>
  <c r="O65" i="12"/>
  <c r="O50" i="12"/>
  <c r="O52" i="12"/>
  <c r="O9" i="12"/>
  <c r="E36" i="1"/>
  <c r="C13" i="1"/>
  <c r="H19" i="1"/>
  <c r="C22" i="1"/>
  <c r="E1" i="12"/>
  <c r="G23" i="1"/>
  <c r="G15" i="1"/>
  <c r="G14" i="1"/>
  <c r="G11" i="1"/>
  <c r="G10" i="1"/>
  <c r="C14" i="1"/>
  <c r="G6" i="1"/>
  <c r="G22" i="1"/>
  <c r="G7" i="1"/>
  <c r="G8" i="1"/>
  <c r="C3" i="2"/>
  <c r="G16" i="1"/>
  <c r="C15" i="1"/>
  <c r="G12" i="1"/>
  <c r="E37" i="1"/>
  <c r="E38" i="1"/>
  <c r="C3" i="3"/>
  <c r="D3" i="2"/>
  <c r="E30" i="1"/>
  <c r="E31" i="1"/>
  <c r="I19" i="1"/>
  <c r="G19" i="1"/>
  <c r="D3" i="3"/>
</calcChain>
</file>

<file path=xl/sharedStrings.xml><?xml version="1.0" encoding="utf-8"?>
<sst xmlns="http://schemas.openxmlformats.org/spreadsheetml/2006/main" count="86" uniqueCount="57">
  <si>
    <t>K strike price</t>
  </si>
  <si>
    <t>S Stock price</t>
  </si>
  <si>
    <t>r</t>
  </si>
  <si>
    <t>h</t>
  </si>
  <si>
    <t>sigma * raíz (h)</t>
  </si>
  <si>
    <t>σ</t>
  </si>
  <si>
    <t>STOCK</t>
  </si>
  <si>
    <t xml:space="preserve">Value Option </t>
  </si>
  <si>
    <t>Precio de la opción</t>
  </si>
  <si>
    <t>T</t>
  </si>
  <si>
    <t xml:space="preserve">Binomial Price option model </t>
  </si>
  <si>
    <t>Call(1) Put (0)</t>
  </si>
  <si>
    <t>n</t>
  </si>
  <si>
    <t>Delta</t>
  </si>
  <si>
    <t>Borrow</t>
  </si>
  <si>
    <t>E(1)/A(0)</t>
  </si>
  <si>
    <t>u</t>
  </si>
  <si>
    <t>exp(r-div)*h</t>
  </si>
  <si>
    <t>d</t>
  </si>
  <si>
    <t xml:space="preserve">Options on Stocks index use the same formulas </t>
  </si>
  <si>
    <t>1)</t>
  </si>
  <si>
    <t>2)</t>
  </si>
  <si>
    <t xml:space="preserve">Options on Currencies </t>
  </si>
  <si>
    <t>Foreign interest rate</t>
  </si>
  <si>
    <t>δ / rf</t>
  </si>
  <si>
    <t>K</t>
  </si>
  <si>
    <t>current exchange rate</t>
  </si>
  <si>
    <t>S</t>
  </si>
  <si>
    <t xml:space="preserve">Strike </t>
  </si>
  <si>
    <t xml:space="preserve">r </t>
  </si>
  <si>
    <t>dollar interest rate</t>
  </si>
  <si>
    <t>rf = div</t>
  </si>
  <si>
    <t xml:space="preserve">3) </t>
  </si>
  <si>
    <t>Options on future contracts</t>
  </si>
  <si>
    <t>1-p</t>
  </si>
  <si>
    <t xml:space="preserve">Risk neutral probability </t>
  </si>
  <si>
    <t>p</t>
  </si>
  <si>
    <t>up</t>
  </si>
  <si>
    <t xml:space="preserve">down </t>
  </si>
  <si>
    <t xml:space="preserve">Pricing an Option Using Real Probabilities </t>
  </si>
  <si>
    <t>γ</t>
  </si>
  <si>
    <t>α</t>
  </si>
  <si>
    <t xml:space="preserve">Binomial </t>
  </si>
  <si>
    <t>JR</t>
  </si>
  <si>
    <t>CRR</t>
  </si>
  <si>
    <t>B-S</t>
  </si>
  <si>
    <t>Steps (n)</t>
  </si>
  <si>
    <t>Jarrow - Rudd</t>
  </si>
  <si>
    <t>Binomial</t>
  </si>
  <si>
    <t>Binomial(K, S, T, rf, sigma, div, n, PC)</t>
  </si>
  <si>
    <t>CRR(K, S, T, rf, sigma, n, PC)</t>
  </si>
  <si>
    <t>BSC(K, S, r, T, v, PC)</t>
  </si>
  <si>
    <t>BS</t>
  </si>
  <si>
    <t>JR(K, S, T, rf, sigma, div, n, PC)</t>
  </si>
  <si>
    <t>Min Binomial</t>
  </si>
  <si>
    <t>Min JR</t>
  </si>
  <si>
    <t>Min CRR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</si>
</sst>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0.00000"/>
    <numFmt numFmtId="165" formatCode="0.0000"/>
    <numFmt numFmtId="166" formatCode="0.0000000"/>
    <numFmt numFmtId="167" formatCode="0.000"/>
    <numFmt numFmtId="168" formatCode="0.000000"/>
    <numFmt numFmtId="169" formatCode="_-* #,##0.0000_-;\-* #,##0.0000_-;_-* &quot;-&quot;??_-;_-@_-"/>
    <numFmt numFmtId="170" formatCode="0.00000000"/>
    <numFmt numFmtId="171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/>
        <bgColor indexed="64"/>
      </patternFill>
    </fill>
  </fills>
  <borders count="6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4" fillId="0" borderId="0" xfId="0" applyFont="1"/>
    <xf numFmtId="0" fontId="5" fillId="0" borderId="0" xfId="0" applyFont="1" applyAlignment="1">
      <alignment vertical="center" wrapText="1"/>
    </xf>
    <xf numFmtId="0" fontId="0" fillId="0" borderId="0" xfId="0" applyFill="1"/>
    <xf numFmtId="0" fontId="0" fillId="0" borderId="0" xfId="1" applyNumberFormat="1" applyFont="1" applyFill="1"/>
    <xf numFmtId="0" fontId="0" fillId="0" borderId="0" xfId="0" applyNumberFormat="1" applyFill="1"/>
    <xf numFmtId="165" fontId="0" fillId="0" borderId="0" xfId="1" applyNumberFormat="1" applyFont="1" applyFill="1" applyBorder="1"/>
    <xf numFmtId="165" fontId="0" fillId="0" borderId="0" xfId="0" applyNumberFormat="1" applyFill="1" applyBorder="1"/>
    <xf numFmtId="165" fontId="0" fillId="0" borderId="0" xfId="0" applyNumberFormat="1" applyFill="1"/>
    <xf numFmtId="166" fontId="0" fillId="0" borderId="0" xfId="0" applyNumberFormat="1" applyFill="1"/>
    <xf numFmtId="0" fontId="0" fillId="2" borderId="1" xfId="0" applyFill="1" applyBorder="1"/>
    <xf numFmtId="0" fontId="0" fillId="3" borderId="2" xfId="0" applyFill="1" applyBorder="1"/>
    <xf numFmtId="0" fontId="0" fillId="2" borderId="3" xfId="0" applyFill="1" applyBorder="1"/>
    <xf numFmtId="0" fontId="0" fillId="3" borderId="4" xfId="0" applyFill="1" applyBorder="1"/>
    <xf numFmtId="9" fontId="0" fillId="3" borderId="4" xfId="0" applyNumberFormat="1" applyFill="1" applyBorder="1"/>
    <xf numFmtId="0" fontId="2" fillId="2" borderId="3" xfId="0" applyFont="1" applyFill="1" applyBorder="1"/>
    <xf numFmtId="164" fontId="0" fillId="4" borderId="4" xfId="0" applyNumberFormat="1" applyFill="1" applyBorder="1"/>
    <xf numFmtId="167" fontId="0" fillId="4" borderId="0" xfId="0" applyNumberFormat="1" applyFill="1"/>
    <xf numFmtId="167" fontId="0" fillId="0" borderId="0" xfId="0" applyNumberFormat="1" applyFill="1"/>
    <xf numFmtId="167" fontId="0" fillId="0" borderId="0" xfId="0" applyNumberFormat="1"/>
    <xf numFmtId="166" fontId="0" fillId="3" borderId="0" xfId="0" applyNumberFormat="1" applyFill="1"/>
    <xf numFmtId="0" fontId="0" fillId="3" borderId="0" xfId="0" applyNumberFormat="1" applyFill="1"/>
    <xf numFmtId="165" fontId="0" fillId="3" borderId="0" xfId="0" applyNumberFormat="1" applyFill="1" applyBorder="1"/>
    <xf numFmtId="0" fontId="0" fillId="3" borderId="0" xfId="1" applyNumberFormat="1" applyFont="1" applyFill="1"/>
    <xf numFmtId="165" fontId="0" fillId="3" borderId="0" xfId="1" applyNumberFormat="1" applyFont="1" applyFill="1" applyBorder="1"/>
    <xf numFmtId="168" fontId="0" fillId="4" borderId="4" xfId="0" applyNumberFormat="1" applyFill="1" applyBorder="1"/>
    <xf numFmtId="168" fontId="0" fillId="3" borderId="4" xfId="0" applyNumberFormat="1" applyFill="1" applyBorder="1"/>
    <xf numFmtId="169" fontId="0" fillId="4" borderId="0" xfId="0" applyNumberFormat="1" applyFill="1"/>
    <xf numFmtId="167" fontId="0" fillId="3" borderId="0" xfId="1" applyNumberFormat="1" applyFont="1" applyFill="1"/>
    <xf numFmtId="170" fontId="0" fillId="0" borderId="0" xfId="0" applyNumberFormat="1" applyFill="1"/>
    <xf numFmtId="168" fontId="0" fillId="0" borderId="0" xfId="0" applyNumberFormat="1" applyFill="1"/>
    <xf numFmtId="167" fontId="0" fillId="3" borderId="0" xfId="0" applyNumberFormat="1" applyFill="1"/>
    <xf numFmtId="167" fontId="0" fillId="0" borderId="0" xfId="1" applyNumberFormat="1" applyFont="1" applyFill="1"/>
    <xf numFmtId="171" fontId="0" fillId="3" borderId="4" xfId="0" applyNumberFormat="1" applyFill="1" applyBorder="1"/>
    <xf numFmtId="0" fontId="6" fillId="0" borderId="0" xfId="0" applyFont="1"/>
    <xf numFmtId="168" fontId="0" fillId="4" borderId="0" xfId="0" applyNumberFormat="1" applyFill="1"/>
    <xf numFmtId="165" fontId="0" fillId="4" borderId="0" xfId="0" applyNumberFormat="1" applyFill="1"/>
    <xf numFmtId="0" fontId="0" fillId="4" borderId="0" xfId="0" applyFill="1"/>
    <xf numFmtId="0" fontId="4" fillId="4" borderId="0" xfId="0" applyFont="1" applyFill="1" applyAlignment="1">
      <alignment horizontal="center"/>
    </xf>
    <xf numFmtId="0" fontId="4" fillId="4" borderId="5" xfId="0" applyFont="1" applyFill="1" applyBorder="1"/>
    <xf numFmtId="0" fontId="2" fillId="4" borderId="0" xfId="0" applyFont="1" applyFill="1"/>
    <xf numFmtId="0" fontId="0" fillId="0" borderId="0" xfId="0" applyBorder="1"/>
    <xf numFmtId="0" fontId="0" fillId="2" borderId="0" xfId="0" applyFill="1" applyBorder="1"/>
    <xf numFmtId="0" fontId="0" fillId="5" borderId="0" xfId="0" applyFill="1" applyBorder="1"/>
    <xf numFmtId="0" fontId="0" fillId="6" borderId="0" xfId="0" applyFill="1"/>
    <xf numFmtId="0" fontId="0" fillId="6" borderId="0" xfId="0" applyFill="1" applyBorder="1"/>
    <xf numFmtId="0" fontId="0" fillId="5" borderId="0" xfId="0" applyFill="1"/>
    <xf numFmtId="166" fontId="0" fillId="0" borderId="0" xfId="0" applyNumberFormat="1"/>
    <xf numFmtId="168" fontId="0" fillId="0" borderId="0" xfId="0" applyNumberFormat="1"/>
    <xf numFmtId="168" fontId="0" fillId="5" borderId="4" xfId="0" applyNumberFormat="1" applyFill="1" applyBorder="1"/>
    <xf numFmtId="0" fontId="0" fillId="3" borderId="4" xfId="0" applyNumberFormat="1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applyFill="1" applyBorder="1"/>
    <xf numFmtId="0" fontId="0" fillId="0" borderId="0" xfId="0" applyNumberFormat="1"/>
    <xf numFmtId="0" fontId="5" fillId="0" borderId="0" xfId="0" applyFont="1" applyAlignment="1">
      <alignment horizontal="center" vertical="center" wrapText="1"/>
    </xf>
  </cellXfs>
  <cellStyles count="2">
    <cellStyle name="Millares" xfId="1" builtinId="3"/>
    <cellStyle name="Normal" xfId="0" builtinId="0"/>
  </cellStyles>
  <dxfs count="7"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165" formatCode="0.00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B&amp;S, CRR and JR 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Gráfica!$I$1</c:f>
              <c:strCache>
                <c:ptCount val="1"/>
                <c:pt idx="0">
                  <c:v>B-S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Gráfica!$I$2:$I$101</c:f>
              <c:numCache>
                <c:formatCode>General</c:formatCode>
                <c:ptCount val="100"/>
                <c:pt idx="0">
                  <c:v>13.145893900288087</c:v>
                </c:pt>
                <c:pt idx="1">
                  <c:v>13.145893900288087</c:v>
                </c:pt>
                <c:pt idx="2">
                  <c:v>13.145893900288087</c:v>
                </c:pt>
                <c:pt idx="3">
                  <c:v>13.145893900288087</c:v>
                </c:pt>
                <c:pt idx="4">
                  <c:v>13.145893900288087</c:v>
                </c:pt>
                <c:pt idx="5">
                  <c:v>13.145893900288087</c:v>
                </c:pt>
                <c:pt idx="6">
                  <c:v>13.145893900288087</c:v>
                </c:pt>
                <c:pt idx="7">
                  <c:v>13.145893900288087</c:v>
                </c:pt>
                <c:pt idx="8">
                  <c:v>13.145893900288087</c:v>
                </c:pt>
                <c:pt idx="9">
                  <c:v>13.145893900288087</c:v>
                </c:pt>
                <c:pt idx="10">
                  <c:v>13.145893900288087</c:v>
                </c:pt>
                <c:pt idx="11">
                  <c:v>13.145893900288087</c:v>
                </c:pt>
                <c:pt idx="12">
                  <c:v>13.145893900288087</c:v>
                </c:pt>
                <c:pt idx="13">
                  <c:v>13.145893900288087</c:v>
                </c:pt>
                <c:pt idx="14">
                  <c:v>13.145893900288087</c:v>
                </c:pt>
                <c:pt idx="15">
                  <c:v>13.145893900288087</c:v>
                </c:pt>
                <c:pt idx="16">
                  <c:v>13.145893900288087</c:v>
                </c:pt>
                <c:pt idx="17">
                  <c:v>13.145893900288087</c:v>
                </c:pt>
                <c:pt idx="18">
                  <c:v>13.145893900288087</c:v>
                </c:pt>
                <c:pt idx="19">
                  <c:v>13.145893900288087</c:v>
                </c:pt>
                <c:pt idx="20">
                  <c:v>13.145893900288087</c:v>
                </c:pt>
                <c:pt idx="21">
                  <c:v>13.145893900288087</c:v>
                </c:pt>
                <c:pt idx="22">
                  <c:v>13.145893900288087</c:v>
                </c:pt>
                <c:pt idx="23">
                  <c:v>13.145893900288087</c:v>
                </c:pt>
                <c:pt idx="24">
                  <c:v>13.145893900288087</c:v>
                </c:pt>
                <c:pt idx="25">
                  <c:v>13.145893900288087</c:v>
                </c:pt>
                <c:pt idx="26">
                  <c:v>13.145893900288087</c:v>
                </c:pt>
                <c:pt idx="27">
                  <c:v>13.145893900288087</c:v>
                </c:pt>
                <c:pt idx="28">
                  <c:v>13.145893900288087</c:v>
                </c:pt>
                <c:pt idx="29">
                  <c:v>13.145893900288087</c:v>
                </c:pt>
                <c:pt idx="30">
                  <c:v>13.145893900288087</c:v>
                </c:pt>
                <c:pt idx="31">
                  <c:v>13.145893900288087</c:v>
                </c:pt>
                <c:pt idx="32">
                  <c:v>13.145893900288087</c:v>
                </c:pt>
                <c:pt idx="33">
                  <c:v>13.145893900288087</c:v>
                </c:pt>
                <c:pt idx="34">
                  <c:v>13.145893900288087</c:v>
                </c:pt>
                <c:pt idx="35">
                  <c:v>13.145893900288087</c:v>
                </c:pt>
                <c:pt idx="36">
                  <c:v>13.145893900288087</c:v>
                </c:pt>
                <c:pt idx="37">
                  <c:v>13.145893900288087</c:v>
                </c:pt>
                <c:pt idx="38">
                  <c:v>13.145893900288087</c:v>
                </c:pt>
                <c:pt idx="39">
                  <c:v>13.145893900288087</c:v>
                </c:pt>
                <c:pt idx="40">
                  <c:v>13.145893900288087</c:v>
                </c:pt>
                <c:pt idx="41">
                  <c:v>13.145893900288087</c:v>
                </c:pt>
                <c:pt idx="42">
                  <c:v>13.145893900288087</c:v>
                </c:pt>
                <c:pt idx="43">
                  <c:v>13.145893900288087</c:v>
                </c:pt>
                <c:pt idx="44">
                  <c:v>13.145893900288087</c:v>
                </c:pt>
                <c:pt idx="45">
                  <c:v>13.145893900288087</c:v>
                </c:pt>
                <c:pt idx="46">
                  <c:v>13.145893900288087</c:v>
                </c:pt>
                <c:pt idx="47">
                  <c:v>13.145893900288087</c:v>
                </c:pt>
                <c:pt idx="48">
                  <c:v>13.145893900288087</c:v>
                </c:pt>
                <c:pt idx="49">
                  <c:v>13.145893900288087</c:v>
                </c:pt>
                <c:pt idx="50">
                  <c:v>13.145893900288087</c:v>
                </c:pt>
                <c:pt idx="51">
                  <c:v>13.145893900288087</c:v>
                </c:pt>
                <c:pt idx="52">
                  <c:v>13.145893900288087</c:v>
                </c:pt>
                <c:pt idx="53">
                  <c:v>13.145893900288087</c:v>
                </c:pt>
                <c:pt idx="54">
                  <c:v>13.145893900288087</c:v>
                </c:pt>
                <c:pt idx="55">
                  <c:v>13.145893900288087</c:v>
                </c:pt>
                <c:pt idx="56">
                  <c:v>13.145893900288087</c:v>
                </c:pt>
                <c:pt idx="57">
                  <c:v>13.145893900288087</c:v>
                </c:pt>
                <c:pt idx="58">
                  <c:v>13.145893900288087</c:v>
                </c:pt>
                <c:pt idx="59">
                  <c:v>13.145893900288087</c:v>
                </c:pt>
                <c:pt idx="60">
                  <c:v>13.145893900288087</c:v>
                </c:pt>
                <c:pt idx="61">
                  <c:v>13.145893900288087</c:v>
                </c:pt>
                <c:pt idx="62">
                  <c:v>13.145893900288087</c:v>
                </c:pt>
                <c:pt idx="63">
                  <c:v>13.145893900288087</c:v>
                </c:pt>
                <c:pt idx="64">
                  <c:v>13.145893900288087</c:v>
                </c:pt>
                <c:pt idx="65">
                  <c:v>13.145893900288087</c:v>
                </c:pt>
                <c:pt idx="66">
                  <c:v>13.145893900288087</c:v>
                </c:pt>
                <c:pt idx="67">
                  <c:v>13.145893900288087</c:v>
                </c:pt>
                <c:pt idx="68">
                  <c:v>13.145893900288087</c:v>
                </c:pt>
                <c:pt idx="69">
                  <c:v>13.145893900288087</c:v>
                </c:pt>
                <c:pt idx="70">
                  <c:v>13.145893900288087</c:v>
                </c:pt>
                <c:pt idx="71">
                  <c:v>13.145893900288087</c:v>
                </c:pt>
                <c:pt idx="72">
                  <c:v>13.145893900288087</c:v>
                </c:pt>
                <c:pt idx="73">
                  <c:v>13.145893900288087</c:v>
                </c:pt>
                <c:pt idx="74">
                  <c:v>13.145893900288087</c:v>
                </c:pt>
                <c:pt idx="75">
                  <c:v>13.145893900288087</c:v>
                </c:pt>
                <c:pt idx="76">
                  <c:v>13.145893900288087</c:v>
                </c:pt>
                <c:pt idx="77">
                  <c:v>13.145893900288087</c:v>
                </c:pt>
                <c:pt idx="78">
                  <c:v>13.145893900288087</c:v>
                </c:pt>
                <c:pt idx="79">
                  <c:v>13.145893900288087</c:v>
                </c:pt>
                <c:pt idx="80">
                  <c:v>13.145893900288087</c:v>
                </c:pt>
                <c:pt idx="81">
                  <c:v>13.145893900288087</c:v>
                </c:pt>
                <c:pt idx="82">
                  <c:v>13.145893900288087</c:v>
                </c:pt>
                <c:pt idx="83">
                  <c:v>13.145893900288087</c:v>
                </c:pt>
                <c:pt idx="84">
                  <c:v>13.145893900288087</c:v>
                </c:pt>
                <c:pt idx="85">
                  <c:v>13.145893900288087</c:v>
                </c:pt>
                <c:pt idx="86">
                  <c:v>13.145893900288087</c:v>
                </c:pt>
                <c:pt idx="87">
                  <c:v>13.145893900288087</c:v>
                </c:pt>
                <c:pt idx="88">
                  <c:v>13.145893900288087</c:v>
                </c:pt>
                <c:pt idx="89">
                  <c:v>13.145893900288087</c:v>
                </c:pt>
                <c:pt idx="90">
                  <c:v>13.145893900288087</c:v>
                </c:pt>
                <c:pt idx="91">
                  <c:v>13.145893900288087</c:v>
                </c:pt>
                <c:pt idx="92">
                  <c:v>13.145893900288087</c:v>
                </c:pt>
                <c:pt idx="93">
                  <c:v>13.145893900288087</c:v>
                </c:pt>
                <c:pt idx="94">
                  <c:v>13.145893900288087</c:v>
                </c:pt>
                <c:pt idx="95">
                  <c:v>13.145893900288087</c:v>
                </c:pt>
                <c:pt idx="96">
                  <c:v>13.145893900288087</c:v>
                </c:pt>
                <c:pt idx="97">
                  <c:v>13.145893900288087</c:v>
                </c:pt>
                <c:pt idx="98">
                  <c:v>13.145893900288087</c:v>
                </c:pt>
                <c:pt idx="99">
                  <c:v>13.145893900288087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Gráfica!$J$1</c:f>
              <c:strCache>
                <c:ptCount val="1"/>
                <c:pt idx="0">
                  <c:v>CRR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Gráfica!$J$2:$J$101</c:f>
              <c:numCache>
                <c:formatCode>0.0000</c:formatCode>
                <c:ptCount val="100"/>
                <c:pt idx="0">
                  <c:v>16.817697849689878</c:v>
                </c:pt>
                <c:pt idx="1">
                  <c:v>11.37383451892153</c:v>
                </c:pt>
                <c:pt idx="2">
                  <c:v>14.396856987509166</c:v>
                </c:pt>
                <c:pt idx="3">
                  <c:v>12.21114982023928</c:v>
                </c:pt>
                <c:pt idx="4">
                  <c:v>13.893200896665153</c:v>
                </c:pt>
                <c:pt idx="5">
                  <c:v>12.51305126763693</c:v>
                </c:pt>
                <c:pt idx="6">
                  <c:v>13.67786221175766</c:v>
                </c:pt>
                <c:pt idx="7">
                  <c:v>12.667900289428683</c:v>
                </c:pt>
                <c:pt idx="8">
                  <c:v>13.55867531510385</c:v>
                </c:pt>
                <c:pt idx="9">
                  <c:v>12.761965632362795</c:v>
                </c:pt>
                <c:pt idx="10">
                  <c:v>13.483060071393542</c:v>
                </c:pt>
                <c:pt idx="11">
                  <c:v>12.825131716013431</c:v>
                </c:pt>
                <c:pt idx="12">
                  <c:v>13.430835157732693</c:v>
                </c:pt>
                <c:pt idx="13">
                  <c:v>12.870464717587668</c:v>
                </c:pt>
                <c:pt idx="14">
                  <c:v>13.392608185925519</c:v>
                </c:pt>
                <c:pt idx="15">
                  <c:v>12.904578108840894</c:v>
                </c:pt>
                <c:pt idx="16">
                  <c:v>13.363419323146731</c:v>
                </c:pt>
                <c:pt idx="17">
                  <c:v>12.931176457412281</c:v>
                </c:pt>
                <c:pt idx="18">
                  <c:v>13.340403446603499</c:v>
                </c:pt>
                <c:pt idx="19">
                  <c:v>12.952495722878378</c:v>
                </c:pt>
                <c:pt idx="20">
                  <c:v>13.321790286446838</c:v>
                </c:pt>
                <c:pt idx="21">
                  <c:v>12.969965158559864</c:v>
                </c:pt>
                <c:pt idx="22">
                  <c:v>13.30642720874325</c:v>
                </c:pt>
                <c:pt idx="23">
                  <c:v>12.984540925751919</c:v>
                </c:pt>
                <c:pt idx="24">
                  <c:v>13.293531530744222</c:v>
                </c:pt>
                <c:pt idx="25">
                  <c:v>12.996886833628459</c:v>
                </c:pt>
                <c:pt idx="26">
                  <c:v>13.282553153010255</c:v>
                </c:pt>
                <c:pt idx="27">
                  <c:v>13.007478117746983</c:v>
                </c:pt>
                <c:pt idx="28">
                  <c:v>13.273094156708597</c:v>
                </c:pt>
                <c:pt idx="29">
                  <c:v>13.016663949930026</c:v>
                </c:pt>
                <c:pt idx="30">
                  <c:v>13.26485959216391</c:v>
                </c:pt>
                <c:pt idx="31">
                  <c:v>13.024706632536294</c:v>
                </c:pt>
                <c:pt idx="32">
                  <c:v>13.257626201057256</c:v>
                </c:pt>
                <c:pt idx="33">
                  <c:v>13.031807027831503</c:v>
                </c:pt>
                <c:pt idx="34">
                  <c:v>13.251221885234695</c:v>
                </c:pt>
                <c:pt idx="35">
                  <c:v>13.038121549775196</c:v>
                </c:pt>
                <c:pt idx="36">
                  <c:v>13.245511848176783</c:v>
                </c:pt>
                <c:pt idx="37">
                  <c:v>13.043773812933445</c:v>
                </c:pt>
                <c:pt idx="38">
                  <c:v>13.240389009344046</c:v>
                </c:pt>
                <c:pt idx="39">
                  <c:v>13.048862800722086</c:v>
                </c:pt>
                <c:pt idx="40">
                  <c:v>13.235767229683612</c:v>
                </c:pt>
                <c:pt idx="41">
                  <c:v>13.053468708660599</c:v>
                </c:pt>
                <c:pt idx="42">
                  <c:v>13.231576431377849</c:v>
                </c:pt>
                <c:pt idx="43">
                  <c:v>13.057657199680094</c:v>
                </c:pt>
                <c:pt idx="44">
                  <c:v>13.227759021468019</c:v>
                </c:pt>
                <c:pt idx="45">
                  <c:v>13.061482553089787</c:v>
                </c:pt>
                <c:pt idx="46">
                  <c:v>13.22426723029078</c:v>
                </c:pt>
                <c:pt idx="47">
                  <c:v>13.064990028819095</c:v>
                </c:pt>
                <c:pt idx="48">
                  <c:v>13.221061102901146</c:v>
                </c:pt>
                <c:pt idx="49">
                  <c:v>13.068217665966255</c:v>
                </c:pt>
                <c:pt idx="50">
                  <c:v>13.218106963939958</c:v>
                </c:pt>
                <c:pt idx="51">
                  <c:v>13.071197667504526</c:v>
                </c:pt>
                <c:pt idx="52">
                  <c:v>13.215376230670151</c:v>
                </c:pt>
                <c:pt idx="53">
                  <c:v>13.07395747812812</c:v>
                </c:pt>
                <c:pt idx="54">
                  <c:v>13.212844485425409</c:v>
                </c:pt>
                <c:pt idx="55">
                  <c:v>13.076520631746835</c:v>
                </c:pt>
                <c:pt idx="56">
                  <c:v>13.210490743650624</c:v>
                </c:pt>
                <c:pt idx="57">
                  <c:v>13.078907424081665</c:v>
                </c:pt>
                <c:pt idx="58">
                  <c:v>13.208296871052175</c:v>
                </c:pt>
                <c:pt idx="59">
                  <c:v>13.081135451073372</c:v>
                </c:pt>
                <c:pt idx="60">
                  <c:v>13.20624711558775</c:v>
                </c:pt>
                <c:pt idx="61">
                  <c:v>13.083220043328044</c:v>
                </c:pt>
                <c:pt idx="62">
                  <c:v>13.204327728733318</c:v>
                </c:pt>
                <c:pt idx="63">
                  <c:v>13.085174619287685</c:v>
                </c:pt>
                <c:pt idx="64">
                  <c:v>13.202526656776939</c:v>
                </c:pt>
                <c:pt idx="65">
                  <c:v>13.087010974332225</c:v>
                </c:pt>
                <c:pt idx="66">
                  <c:v>13.200833287482631</c:v>
                </c:pt>
                <c:pt idx="67">
                  <c:v>13.088739518967877</c:v>
                </c:pt>
                <c:pt idx="68">
                  <c:v>13.199238240874955</c:v>
                </c:pt>
                <c:pt idx="69">
                  <c:v>13.090369476270517</c:v>
                </c:pt>
                <c:pt idx="70">
                  <c:v>13.197733195430786</c:v>
                </c:pt>
                <c:pt idx="71">
                  <c:v>13.091909046484396</c:v>
                </c:pt>
                <c:pt idx="72">
                  <c:v>13.196310742886503</c:v>
                </c:pt>
                <c:pt idx="73">
                  <c:v>13.093365544982884</c:v>
                </c:pt>
                <c:pt idx="74">
                  <c:v>13.194964266301222</c:v>
                </c:pt>
                <c:pt idx="75">
                  <c:v>13.094745518484473</c:v>
                </c:pt>
                <c:pt idx="76">
                  <c:v>13.193687837152117</c:v>
                </c:pt>
                <c:pt idx="77">
                  <c:v>13.096054843421966</c:v>
                </c:pt>
                <c:pt idx="78">
                  <c:v>13.192476128076516</c:v>
                </c:pt>
                <c:pt idx="79">
                  <c:v>13.097298809586304</c:v>
                </c:pt>
                <c:pt idx="80">
                  <c:v>13.191324338561994</c:v>
                </c:pt>
                <c:pt idx="81">
                  <c:v>13.098482191543351</c:v>
                </c:pt>
                <c:pt idx="82">
                  <c:v>13.190228131389977</c:v>
                </c:pt>
                <c:pt idx="83">
                  <c:v>13.099609309874268</c:v>
                </c:pt>
                <c:pt idx="84">
                  <c:v>13.189183578063281</c:v>
                </c:pt>
                <c:pt idx="85">
                  <c:v>13.100684083876192</c:v>
                </c:pt>
                <c:pt idx="86">
                  <c:v>13.188187111769993</c:v>
                </c:pt>
                <c:pt idx="87">
                  <c:v>13.101710077093053</c:v>
                </c:pt>
                <c:pt idx="88">
                  <c:v>13.187235486698018</c:v>
                </c:pt>
                <c:pt idx="89">
                  <c:v>13.102690536783523</c:v>
                </c:pt>
                <c:pt idx="90">
                  <c:v>13.186325742717816</c:v>
                </c:pt>
                <c:pt idx="91">
                  <c:v>13.103628428250776</c:v>
                </c:pt>
                <c:pt idx="92">
                  <c:v>13.185455174630642</c:v>
                </c:pt>
                <c:pt idx="93">
                  <c:v>13.104526464789664</c:v>
                </c:pt>
                <c:pt idx="94">
                  <c:v>13.184621305301013</c:v>
                </c:pt>
                <c:pt idx="95">
                  <c:v>13.10538713390388</c:v>
                </c:pt>
                <c:pt idx="96">
                  <c:v>13.183821862124239</c:v>
                </c:pt>
                <c:pt idx="97">
                  <c:v>13.106212720314753</c:v>
                </c:pt>
                <c:pt idx="98">
                  <c:v>13.183054756339166</c:v>
                </c:pt>
                <c:pt idx="99">
                  <c:v>13.107005326208016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Gráfica!$K$1</c:f>
              <c:strCache>
                <c:ptCount val="1"/>
                <c:pt idx="0">
                  <c:v>JR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Gráfica!$K$2:$K$101</c:f>
              <c:numCache>
                <c:formatCode>0.0000</c:formatCode>
                <c:ptCount val="100"/>
                <c:pt idx="0">
                  <c:v>15.581785907504074</c:v>
                </c:pt>
                <c:pt idx="1">
                  <c:v>12.913839227103125</c:v>
                </c:pt>
                <c:pt idx="2">
                  <c:v>13.830942405556451</c:v>
                </c:pt>
                <c:pt idx="3">
                  <c:v>13.28820262051053</c:v>
                </c:pt>
                <c:pt idx="4">
                  <c:v>13.440960198068357</c:v>
                </c:pt>
                <c:pt idx="5">
                  <c:v>13.359779679064712</c:v>
                </c:pt>
                <c:pt idx="6">
                  <c:v>13.272200610303324</c:v>
                </c:pt>
                <c:pt idx="7">
                  <c:v>13.371045234395464</c:v>
                </c:pt>
                <c:pt idx="8">
                  <c:v>13.178335380035737</c:v>
                </c:pt>
                <c:pt idx="9">
                  <c:v>13.364763885879139</c:v>
                </c:pt>
                <c:pt idx="10">
                  <c:v>13.118627472152024</c:v>
                </c:pt>
                <c:pt idx="11">
                  <c:v>13.352754772596494</c:v>
                </c:pt>
                <c:pt idx="12">
                  <c:v>13.077321388989805</c:v>
                </c:pt>
                <c:pt idx="13">
                  <c:v>13.339071482310683</c:v>
                </c:pt>
                <c:pt idx="14">
                  <c:v>13.047052771875325</c:v>
                </c:pt>
                <c:pt idx="15">
                  <c:v>13.325265992280297</c:v>
                </c:pt>
                <c:pt idx="16">
                  <c:v>13.023921885971093</c:v>
                </c:pt>
                <c:pt idx="17">
                  <c:v>13.311953500120101</c:v>
                </c:pt>
                <c:pt idx="18">
                  <c:v>13.005671605571573</c:v>
                </c:pt>
                <c:pt idx="19">
                  <c:v>13.299363819938559</c:v>
                </c:pt>
                <c:pt idx="20">
                  <c:v>12.990905320456715</c:v>
                </c:pt>
                <c:pt idx="21">
                  <c:v>13.287559465495844</c:v>
                </c:pt>
                <c:pt idx="22">
                  <c:v>12.978712685598206</c:v>
                </c:pt>
                <c:pt idx="23">
                  <c:v>13.276529136914744</c:v>
                </c:pt>
                <c:pt idx="24">
                  <c:v>12.968475001375358</c:v>
                </c:pt>
                <c:pt idx="25">
                  <c:v>13.266230056071755</c:v>
                </c:pt>
                <c:pt idx="26">
                  <c:v>13.00332712389749</c:v>
                </c:pt>
                <c:pt idx="27">
                  <c:v>13.256607780699207</c:v>
                </c:pt>
                <c:pt idx="28">
                  <c:v>13.03186814658519</c:v>
                </c:pt>
                <c:pt idx="29">
                  <c:v>13.247605573203485</c:v>
                </c:pt>
                <c:pt idx="30">
                  <c:v>13.055459876903427</c:v>
                </c:pt>
                <c:pt idx="31">
                  <c:v>13.23916874191686</c:v>
                </c:pt>
                <c:pt idx="32">
                  <c:v>13.075113978208002</c:v>
                </c:pt>
                <c:pt idx="33">
                  <c:v>13.231246505831061</c:v>
                </c:pt>
                <c:pt idx="34">
                  <c:v>13.091595711739261</c:v>
                </c:pt>
                <c:pt idx="35">
                  <c:v>13.223792629721096</c:v>
                </c:pt>
                <c:pt idx="36">
                  <c:v>13.10549321222812</c:v>
                </c:pt>
                <c:pt idx="37">
                  <c:v>13.216765456111744</c:v>
                </c:pt>
                <c:pt idx="38">
                  <c:v>13.117264877649193</c:v>
                </c:pt>
                <c:pt idx="39">
                  <c:v>13.210127654441719</c:v>
                </c:pt>
                <c:pt idx="40">
                  <c:v>13.127272485720436</c:v>
                </c:pt>
                <c:pt idx="41">
                  <c:v>13.203845852391533</c:v>
                </c:pt>
                <c:pt idx="42">
                  <c:v>13.135804779214146</c:v>
                </c:pt>
                <c:pt idx="43">
                  <c:v>13.197890233726485</c:v>
                </c:pt>
                <c:pt idx="44">
                  <c:v>13.14309455106954</c:v>
                </c:pt>
                <c:pt idx="45">
                  <c:v>13.192234144575258</c:v>
                </c:pt>
                <c:pt idx="46">
                  <c:v>13.149331211731456</c:v>
                </c:pt>
                <c:pt idx="47">
                  <c:v>13.186853727587984</c:v>
                </c:pt>
                <c:pt idx="48">
                  <c:v>13.154670162427411</c:v>
                </c:pt>
                <c:pt idx="49">
                  <c:v>13.181727591553512</c:v>
                </c:pt>
                <c:pt idx="50">
                  <c:v>13.159239874974677</c:v>
                </c:pt>
                <c:pt idx="51">
                  <c:v>13.176836517916824</c:v>
                </c:pt>
                <c:pt idx="52">
                  <c:v>13.163147301325854</c:v>
                </c:pt>
                <c:pt idx="53">
                  <c:v>13.172163202580657</c:v>
                </c:pt>
                <c:pt idx="54">
                  <c:v>13.166482050889948</c:v>
                </c:pt>
                <c:pt idx="55">
                  <c:v>13.167692030013583</c:v>
                </c:pt>
                <c:pt idx="56">
                  <c:v>13.169319647905427</c:v>
                </c:pt>
                <c:pt idx="57">
                  <c:v>13.16340887619884</c:v>
                </c:pt>
                <c:pt idx="58">
                  <c:v>13.171724094434012</c:v>
                </c:pt>
                <c:pt idx="59">
                  <c:v>13.159300936959648</c:v>
                </c:pt>
                <c:pt idx="60">
                  <c:v>13.17374990389777</c:v>
                </c:pt>
                <c:pt idx="61">
                  <c:v>13.155356578405362</c:v>
                </c:pt>
                <c:pt idx="62">
                  <c:v>13.17544372708535</c:v>
                </c:pt>
                <c:pt idx="63">
                  <c:v>13.151565206553453</c:v>
                </c:pt>
                <c:pt idx="64">
                  <c:v>13.176845661726896</c:v>
                </c:pt>
                <c:pt idx="65">
                  <c:v>13.147917153538875</c:v>
                </c:pt>
                <c:pt idx="66">
                  <c:v>13.177990314353313</c:v>
                </c:pt>
                <c:pt idx="67">
                  <c:v>13.144403578130612</c:v>
                </c:pt>
                <c:pt idx="68">
                  <c:v>13.178907666747049</c:v>
                </c:pt>
                <c:pt idx="69">
                  <c:v>13.141016378605885</c:v>
                </c:pt>
                <c:pt idx="70">
                  <c:v>13.179623787140947</c:v>
                </c:pt>
                <c:pt idx="71">
                  <c:v>13.13774811628905</c:v>
                </c:pt>
                <c:pt idx="72">
                  <c:v>13.180161417245477</c:v>
                </c:pt>
                <c:pt idx="73">
                  <c:v>13.134591948309348</c:v>
                </c:pt>
                <c:pt idx="74">
                  <c:v>13.180540459318115</c:v>
                </c:pt>
                <c:pt idx="75">
                  <c:v>13.131541568336631</c:v>
                </c:pt>
                <c:pt idx="76">
                  <c:v>13.180778382304005</c:v>
                </c:pt>
                <c:pt idx="77">
                  <c:v>13.128591154235123</c:v>
                </c:pt>
                <c:pt idx="78">
                  <c:v>13.180890562069621</c:v>
                </c:pt>
                <c:pt idx="79">
                  <c:v>13.125735321728893</c:v>
                </c:pt>
                <c:pt idx="80">
                  <c:v>13.180890567691938</c:v>
                </c:pt>
                <c:pt idx="81">
                  <c:v>13.122969083289215</c:v>
                </c:pt>
                <c:pt idx="82">
                  <c:v>13.180790403359598</c:v>
                </c:pt>
                <c:pt idx="83">
                  <c:v>13.120287811589977</c:v>
                </c:pt>
                <c:pt idx="84">
                  <c:v>13.180600713579256</c:v>
                </c:pt>
                <c:pt idx="85">
                  <c:v>13.117687206941383</c:v>
                </c:pt>
                <c:pt idx="86">
                  <c:v>13.180330957913306</c:v>
                </c:pt>
                <c:pt idx="87">
                  <c:v>13.115163268216982</c:v>
                </c:pt>
                <c:pt idx="88">
                  <c:v>13.179989560304064</c:v>
                </c:pt>
                <c:pt idx="89">
                  <c:v>13.112712266843687</c:v>
                </c:pt>
                <c:pt idx="90">
                  <c:v>13.179584037114886</c:v>
                </c:pt>
                <c:pt idx="91">
                  <c:v>13.110330723486234</c:v>
                </c:pt>
                <c:pt idx="92">
                  <c:v>13.179121107281846</c:v>
                </c:pt>
                <c:pt idx="93">
                  <c:v>13.108015387099991</c:v>
                </c:pt>
                <c:pt idx="94">
                  <c:v>13.178606787363117</c:v>
                </c:pt>
                <c:pt idx="95">
                  <c:v>13.105763216089194</c:v>
                </c:pt>
                <c:pt idx="96">
                  <c:v>13.178046473811108</c:v>
                </c:pt>
                <c:pt idx="97">
                  <c:v>13.103571361316346</c:v>
                </c:pt>
                <c:pt idx="98">
                  <c:v>13.177445014368834</c:v>
                </c:pt>
                <c:pt idx="99">
                  <c:v>13.101437150754172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Gráfica!$L$1</c:f>
              <c:strCache>
                <c:ptCount val="1"/>
                <c:pt idx="0">
                  <c:v>Binomial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Gráfica!$H$2:$H$101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Gráfica!$L$2:$L$101</c:f>
              <c:numCache>
                <c:formatCode>0.0000</c:formatCode>
                <c:ptCount val="100"/>
                <c:pt idx="0">
                  <c:v>16.817697849689882</c:v>
                </c:pt>
                <c:pt idx="1">
                  <c:v>12.462695500710019</c:v>
                </c:pt>
                <c:pt idx="2">
                  <c:v>14.31079807715609</c:v>
                </c:pt>
                <c:pt idx="3">
                  <c:v>12.995179826956083</c:v>
                </c:pt>
                <c:pt idx="4">
                  <c:v>13.793174744828518</c:v>
                </c:pt>
                <c:pt idx="5">
                  <c:v>13.14551427485813</c:v>
                </c:pt>
                <c:pt idx="6">
                  <c:v>13.572174536745665</c:v>
                </c:pt>
                <c:pt idx="7">
                  <c:v>13.205879421989419</c:v>
                </c:pt>
                <c:pt idx="8">
                  <c:v>13.449923896803982</c:v>
                </c:pt>
                <c:pt idx="9">
                  <c:v>13.233909839580598</c:v>
                </c:pt>
                <c:pt idx="10">
                  <c:v>13.37238869617839</c:v>
                </c:pt>
                <c:pt idx="11">
                  <c:v>13.247603136691088</c:v>
                </c:pt>
                <c:pt idx="12">
                  <c:v>13.318847916093166</c:v>
                </c:pt>
                <c:pt idx="13">
                  <c:v>13.254095719514627</c:v>
                </c:pt>
                <c:pt idx="14">
                  <c:v>13.279662835781092</c:v>
                </c:pt>
                <c:pt idx="15">
                  <c:v>13.256670908629486</c:v>
                </c:pt>
                <c:pt idx="16">
                  <c:v>13.2497451867967</c:v>
                </c:pt>
                <c:pt idx="17">
                  <c:v>13.257000623462721</c:v>
                </c:pt>
                <c:pt idx="18">
                  <c:v>13.226156315939384</c:v>
                </c:pt>
                <c:pt idx="19">
                  <c:v>13.2560008487507</c:v>
                </c:pt>
                <c:pt idx="20">
                  <c:v>13.207080822657499</c:v>
                </c:pt>
                <c:pt idx="21">
                  <c:v>13.254201544815183</c:v>
                </c:pt>
                <c:pt idx="22">
                  <c:v>13.191336838651639</c:v>
                </c:pt>
                <c:pt idx="23">
                  <c:v>13.251922280639876</c:v>
                </c:pt>
                <c:pt idx="24">
                  <c:v>13.178121910763466</c:v>
                </c:pt>
                <c:pt idx="25">
                  <c:v>13.24936191591806</c:v>
                </c:pt>
                <c:pt idx="26">
                  <c:v>13.166872090212138</c:v>
                </c:pt>
                <c:pt idx="27">
                  <c:v>13.246647137626322</c:v>
                </c:pt>
                <c:pt idx="28">
                  <c:v>13.157179467681535</c:v>
                </c:pt>
                <c:pt idx="29">
                  <c:v>13.243860006662672</c:v>
                </c:pt>
                <c:pt idx="30">
                  <c:v>13.148741705405678</c:v>
                </c:pt>
                <c:pt idx="31">
                  <c:v>13.241054220729954</c:v>
                </c:pt>
                <c:pt idx="32">
                  <c:v>13.141329963817537</c:v>
                </c:pt>
                <c:pt idx="33">
                  <c:v>13.238265039149574</c:v>
                </c:pt>
                <c:pt idx="34">
                  <c:v>13.134767849830126</c:v>
                </c:pt>
                <c:pt idx="35">
                  <c:v>13.235515512425632</c:v>
                </c:pt>
                <c:pt idx="36">
                  <c:v>13.128917207922361</c:v>
                </c:pt>
                <c:pt idx="37">
                  <c:v>13.232820487385039</c:v>
                </c:pt>
                <c:pt idx="38">
                  <c:v>13.123668292714283</c:v>
                </c:pt>
                <c:pt idx="39">
                  <c:v>13.23018923568911</c:v>
                </c:pt>
                <c:pt idx="40">
                  <c:v>13.118932823966702</c:v>
                </c:pt>
                <c:pt idx="41">
                  <c:v>13.227627209581582</c:v>
                </c:pt>
                <c:pt idx="42">
                  <c:v>13.114638983726996</c:v>
                </c:pt>
                <c:pt idx="43">
                  <c:v>13.225137232485636</c:v>
                </c:pt>
                <c:pt idx="44">
                  <c:v>13.110727750255172</c:v>
                </c:pt>
                <c:pt idx="45">
                  <c:v>13.222720316766482</c:v>
                </c:pt>
                <c:pt idx="46">
                  <c:v>13.107150169805877</c:v>
                </c:pt>
                <c:pt idx="47">
                  <c:v>13.22037623145911</c:v>
                </c:pt>
                <c:pt idx="48">
                  <c:v>13.103865297816654</c:v>
                </c:pt>
                <c:pt idx="49">
                  <c:v>13.218103899865838</c:v>
                </c:pt>
                <c:pt idx="50">
                  <c:v>13.100838625428468</c:v>
                </c:pt>
                <c:pt idx="51">
                  <c:v>13.215901679906434</c:v>
                </c:pt>
                <c:pt idx="52">
                  <c:v>13.098040862904092</c:v>
                </c:pt>
                <c:pt idx="53">
                  <c:v>13.213767562748073</c:v>
                </c:pt>
                <c:pt idx="54">
                  <c:v>13.095446988956144</c:v>
                </c:pt>
                <c:pt idx="55">
                  <c:v>13.211699313923324</c:v>
                </c:pt>
                <c:pt idx="56">
                  <c:v>13.093035500557884</c:v>
                </c:pt>
                <c:pt idx="57">
                  <c:v>13.209694573617387</c:v>
                </c:pt>
                <c:pt idx="58">
                  <c:v>13.090787815591082</c:v>
                </c:pt>
                <c:pt idx="59">
                  <c:v>13.207750927770858</c:v>
                </c:pt>
                <c:pt idx="60">
                  <c:v>13.088687793198583</c:v>
                </c:pt>
                <c:pt idx="61">
                  <c:v>13.205865958190138</c:v>
                </c:pt>
                <c:pt idx="62">
                  <c:v>13.086721345642518</c:v>
                </c:pt>
                <c:pt idx="63">
                  <c:v>13.20403727748567</c:v>
                </c:pt>
                <c:pt idx="64">
                  <c:v>13.088487620765429</c:v>
                </c:pt>
                <c:pt idx="65">
                  <c:v>13.202262553021683</c:v>
                </c:pt>
                <c:pt idx="66">
                  <c:v>13.093575908510902</c:v>
                </c:pt>
                <c:pt idx="67">
                  <c:v>13.200539522870693</c:v>
                </c:pt>
                <c:pt idx="68">
                  <c:v>13.098273871509292</c:v>
                </c:pt>
                <c:pt idx="69">
                  <c:v>13.198866005971134</c:v>
                </c:pt>
                <c:pt idx="70">
                  <c:v>13.102618239796067</c:v>
                </c:pt>
                <c:pt idx="71">
                  <c:v>13.197239908073776</c:v>
                </c:pt>
                <c:pt idx="72">
                  <c:v>13.106641484235823</c:v>
                </c:pt>
                <c:pt idx="73">
                  <c:v>13.195659224646894</c:v>
                </c:pt>
                <c:pt idx="74">
                  <c:v>13.110372403951462</c:v>
                </c:pt>
                <c:pt idx="75">
                  <c:v>13.194122041598353</c:v>
                </c:pt>
                <c:pt idx="76">
                  <c:v>13.113836620209419</c:v>
                </c:pt>
                <c:pt idx="77">
                  <c:v>13.19262653444974</c:v>
                </c:pt>
                <c:pt idx="78">
                  <c:v>13.117056993567175</c:v>
                </c:pt>
                <c:pt idx="79">
                  <c:v>13.1911709664311</c:v>
                </c:pt>
                <c:pt idx="80">
                  <c:v>13.120053977756184</c:v>
                </c:pt>
                <c:pt idx="81">
                  <c:v>13.189753685833837</c:v>
                </c:pt>
                <c:pt idx="82">
                  <c:v>13.1228459211342</c:v>
                </c:pt>
                <c:pt idx="83">
                  <c:v>13.188373122890832</c:v>
                </c:pt>
                <c:pt idx="84">
                  <c:v>13.125449324485556</c:v>
                </c:pt>
                <c:pt idx="85">
                  <c:v>13.187027786354411</c:v>
                </c:pt>
                <c:pt idx="86">
                  <c:v>13.127879062321165</c:v>
                </c:pt>
                <c:pt idx="87">
                  <c:v>13.185716259924448</c:v>
                </c:pt>
                <c:pt idx="88">
                  <c:v>13.130148573519641</c:v>
                </c:pt>
                <c:pt idx="89">
                  <c:v>13.184437198618221</c:v>
                </c:pt>
                <c:pt idx="90">
                  <c:v>13.132270026114282</c:v>
                </c:pt>
                <c:pt idx="91">
                  <c:v>13.183189325157461</c:v>
                </c:pt>
                <c:pt idx="92">
                  <c:v>13.134254460197489</c:v>
                </c:pt>
                <c:pt idx="93">
                  <c:v>13.181971426417112</c:v>
                </c:pt>
                <c:pt idx="94">
                  <c:v>13.136111912226088</c:v>
                </c:pt>
                <c:pt idx="95">
                  <c:v>13.18078234998312</c:v>
                </c:pt>
                <c:pt idx="96">
                  <c:v>13.137851523478178</c:v>
                </c:pt>
                <c:pt idx="97">
                  <c:v>13.179621000833212</c:v>
                </c:pt>
                <c:pt idx="98">
                  <c:v>13.139481634937384</c:v>
                </c:pt>
                <c:pt idx="99">
                  <c:v>13.178486338154698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45568"/>
        <c:axId val="184047104"/>
      </c:scatterChart>
      <c:valAx>
        <c:axId val="184045568"/>
        <c:scaling>
          <c:orientation val="minMax"/>
          <c:max val="1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4047104"/>
        <c:crosses val="max"/>
        <c:crossBetween val="midCat"/>
      </c:valAx>
      <c:valAx>
        <c:axId val="18404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404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6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5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2.png"/><Relationship Id="rId10" Type="http://schemas.openxmlformats.org/officeDocument/2006/relationships/image" Target="../media/image12.png"/><Relationship Id="rId4" Type="http://schemas.openxmlformats.org/officeDocument/2006/relationships/image" Target="../media/image1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16</xdr:row>
      <xdr:rowOff>9525</xdr:rowOff>
    </xdr:from>
    <xdr:to>
      <xdr:col>2</xdr:col>
      <xdr:colOff>733425</xdr:colOff>
      <xdr:row>19</xdr:row>
      <xdr:rowOff>114215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" y="3067050"/>
          <a:ext cx="1400175" cy="6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66825</xdr:colOff>
      <xdr:row>22</xdr:row>
      <xdr:rowOff>97310</xdr:rowOff>
    </xdr:from>
    <xdr:to>
      <xdr:col>2</xdr:col>
      <xdr:colOff>561975</xdr:colOff>
      <xdr:row>26</xdr:row>
      <xdr:rowOff>123522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275" y="3916835"/>
          <a:ext cx="1257150" cy="788212"/>
        </a:xfrm>
        <a:prstGeom prst="rect">
          <a:avLst/>
        </a:prstGeom>
      </xdr:spPr>
    </xdr:pic>
    <xdr:clientData/>
  </xdr:twoCellAnchor>
  <xdr:twoCellAnchor editAs="oneCell">
    <xdr:from>
      <xdr:col>1</xdr:col>
      <xdr:colOff>66674</xdr:colOff>
      <xdr:row>29</xdr:row>
      <xdr:rowOff>57149</xdr:rowOff>
    </xdr:from>
    <xdr:to>
      <xdr:col>3</xdr:col>
      <xdr:colOff>391657</xdr:colOff>
      <xdr:row>33</xdr:row>
      <xdr:rowOff>104774</xdr:rowOff>
    </xdr:to>
    <xdr:pic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27"/>
        <a:stretch/>
      </xdr:blipFill>
      <xdr:spPr>
        <a:xfrm>
          <a:off x="1000124" y="4829174"/>
          <a:ext cx="1848983" cy="8096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904282</xdr:colOff>
      <xdr:row>35</xdr:row>
      <xdr:rowOff>38252</xdr:rowOff>
    </xdr:from>
    <xdr:to>
      <xdr:col>5</xdr:col>
      <xdr:colOff>482463</xdr:colOff>
      <xdr:row>37</xdr:row>
      <xdr:rowOff>152170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4282" y="6715277"/>
          <a:ext cx="3734394" cy="494918"/>
        </a:xfrm>
        <a:prstGeom prst="rect">
          <a:avLst/>
        </a:prstGeom>
      </xdr:spPr>
    </xdr:pic>
    <xdr:clientData/>
  </xdr:twoCellAnchor>
  <xdr:twoCellAnchor>
    <xdr:from>
      <xdr:col>15</xdr:col>
      <xdr:colOff>666750</xdr:colOff>
      <xdr:row>0</xdr:row>
      <xdr:rowOff>163995</xdr:rowOff>
    </xdr:from>
    <xdr:to>
      <xdr:col>25</xdr:col>
      <xdr:colOff>381000</xdr:colOff>
      <xdr:row>21</xdr:row>
      <xdr:rowOff>158750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2</xdr:col>
          <xdr:colOff>676275</xdr:colOff>
          <xdr:row>20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Precio de la Opción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4</xdr:row>
      <xdr:rowOff>104775</xdr:rowOff>
    </xdr:from>
    <xdr:to>
      <xdr:col>9</xdr:col>
      <xdr:colOff>47402</xdr:colOff>
      <xdr:row>8</xdr:row>
      <xdr:rowOff>38012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627"/>
        <a:stretch/>
      </xdr:blipFill>
      <xdr:spPr>
        <a:xfrm>
          <a:off x="6029325" y="866775"/>
          <a:ext cx="1609502" cy="704762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2</xdr:row>
      <xdr:rowOff>38100</xdr:rowOff>
    </xdr:from>
    <xdr:to>
      <xdr:col>14</xdr:col>
      <xdr:colOff>201453</xdr:colOff>
      <xdr:row>11</xdr:row>
      <xdr:rowOff>8448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96575" y="419100"/>
          <a:ext cx="2430303" cy="1694373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11</xdr:row>
      <xdr:rowOff>133350</xdr:rowOff>
    </xdr:from>
    <xdr:to>
      <xdr:col>17</xdr:col>
      <xdr:colOff>448803</xdr:colOff>
      <xdr:row>16</xdr:row>
      <xdr:rowOff>141889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29925" y="2238375"/>
          <a:ext cx="4830303" cy="961039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9</xdr:row>
      <xdr:rowOff>1</xdr:rowOff>
    </xdr:from>
    <xdr:to>
      <xdr:col>8</xdr:col>
      <xdr:colOff>688584</xdr:colOff>
      <xdr:row>11</xdr:row>
      <xdr:rowOff>152401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57900" y="1724026"/>
          <a:ext cx="1460109" cy="5334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219074</xdr:colOff>
      <xdr:row>17</xdr:row>
      <xdr:rowOff>66675</xdr:rowOff>
    </xdr:from>
    <xdr:to>
      <xdr:col>19</xdr:col>
      <xdr:colOff>160537</xdr:colOff>
      <xdr:row>24</xdr:row>
      <xdr:rowOff>85508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58499" y="3314700"/>
          <a:ext cx="6037463" cy="1352333"/>
        </a:xfrm>
        <a:prstGeom prst="rect">
          <a:avLst/>
        </a:prstGeom>
      </xdr:spPr>
    </xdr:pic>
    <xdr:clientData/>
  </xdr:twoCellAnchor>
  <xdr:twoCellAnchor editAs="oneCell">
    <xdr:from>
      <xdr:col>3</xdr:col>
      <xdr:colOff>676275</xdr:colOff>
      <xdr:row>18</xdr:row>
      <xdr:rowOff>0</xdr:rowOff>
    </xdr:from>
    <xdr:to>
      <xdr:col>5</xdr:col>
      <xdr:colOff>628465</xdr:colOff>
      <xdr:row>19</xdr:row>
      <xdr:rowOff>95214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24250" y="2486025"/>
          <a:ext cx="1476190" cy="285714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6</xdr:row>
      <xdr:rowOff>0</xdr:rowOff>
    </xdr:from>
    <xdr:to>
      <xdr:col>22</xdr:col>
      <xdr:colOff>752286</xdr:colOff>
      <xdr:row>7</xdr:row>
      <xdr:rowOff>161881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259425" y="1152525"/>
          <a:ext cx="1514286" cy="352381"/>
        </a:xfrm>
        <a:prstGeom prst="rect">
          <a:avLst/>
        </a:prstGeom>
      </xdr:spPr>
    </xdr:pic>
    <xdr:clientData/>
  </xdr:twoCellAnchor>
  <xdr:twoCellAnchor editAs="oneCell">
    <xdr:from>
      <xdr:col>24</xdr:col>
      <xdr:colOff>76200</xdr:colOff>
      <xdr:row>4</xdr:row>
      <xdr:rowOff>0</xdr:rowOff>
    </xdr:from>
    <xdr:to>
      <xdr:col>26</xdr:col>
      <xdr:colOff>618867</xdr:colOff>
      <xdr:row>7</xdr:row>
      <xdr:rowOff>180880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21625" y="762000"/>
          <a:ext cx="2066667" cy="761905"/>
        </a:xfrm>
        <a:prstGeom prst="rect">
          <a:avLst/>
        </a:prstGeom>
      </xdr:spPr>
    </xdr:pic>
    <xdr:clientData/>
  </xdr:twoCellAnchor>
  <xdr:twoCellAnchor editAs="oneCell">
    <xdr:from>
      <xdr:col>24</xdr:col>
      <xdr:colOff>85725</xdr:colOff>
      <xdr:row>9</xdr:row>
      <xdr:rowOff>0</xdr:rowOff>
    </xdr:from>
    <xdr:to>
      <xdr:col>27</xdr:col>
      <xdr:colOff>685439</xdr:colOff>
      <xdr:row>12</xdr:row>
      <xdr:rowOff>104690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31150" y="1724025"/>
          <a:ext cx="2885714" cy="676190"/>
        </a:xfrm>
        <a:prstGeom prst="rect">
          <a:avLst/>
        </a:prstGeom>
      </xdr:spPr>
    </xdr:pic>
    <xdr:clientData/>
  </xdr:twoCellAnchor>
  <xdr:twoCellAnchor editAs="oneCell">
    <xdr:from>
      <xdr:col>3</xdr:col>
      <xdr:colOff>628392</xdr:colOff>
      <xdr:row>20</xdr:row>
      <xdr:rowOff>61620</xdr:rowOff>
    </xdr:from>
    <xdr:to>
      <xdr:col>5</xdr:col>
      <xdr:colOff>733426</xdr:colOff>
      <xdr:row>23</xdr:row>
      <xdr:rowOff>90686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76367" y="2928645"/>
          <a:ext cx="1629034" cy="600566"/>
        </a:xfrm>
        <a:prstGeom prst="rect">
          <a:avLst/>
        </a:prstGeom>
      </xdr:spPr>
    </xdr:pic>
    <xdr:clientData/>
  </xdr:twoCellAnchor>
  <xdr:twoCellAnchor editAs="oneCell">
    <xdr:from>
      <xdr:col>24</xdr:col>
      <xdr:colOff>114300</xdr:colOff>
      <xdr:row>13</xdr:row>
      <xdr:rowOff>114300</xdr:rowOff>
    </xdr:from>
    <xdr:to>
      <xdr:col>26</xdr:col>
      <xdr:colOff>409348</xdr:colOff>
      <xdr:row>17</xdr:row>
      <xdr:rowOff>28490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659725" y="2600325"/>
          <a:ext cx="1819048" cy="67619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2</xdr:row>
      <xdr:rowOff>0</xdr:rowOff>
    </xdr:from>
    <xdr:to>
      <xdr:col>36</xdr:col>
      <xdr:colOff>227905</xdr:colOff>
      <xdr:row>12</xdr:row>
      <xdr:rowOff>123570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355425" y="381000"/>
          <a:ext cx="5561905" cy="2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104780</xdr:colOff>
      <xdr:row>28</xdr:row>
      <xdr:rowOff>0</xdr:rowOff>
    </xdr:from>
    <xdr:to>
      <xdr:col>2</xdr:col>
      <xdr:colOff>367359</xdr:colOff>
      <xdr:row>32</xdr:row>
      <xdr:rowOff>174000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23905" y="5343525"/>
          <a:ext cx="1729429" cy="93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33</xdr:row>
      <xdr:rowOff>85725</xdr:rowOff>
    </xdr:from>
    <xdr:to>
      <xdr:col>2</xdr:col>
      <xdr:colOff>133179</xdr:colOff>
      <xdr:row>37</xdr:row>
      <xdr:rowOff>28487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47725" y="6381750"/>
          <a:ext cx="1371429" cy="7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361950</xdr:colOff>
      <xdr:row>39</xdr:row>
      <xdr:rowOff>142875</xdr:rowOff>
    </xdr:from>
    <xdr:to>
      <xdr:col>3</xdr:col>
      <xdr:colOff>723499</xdr:colOff>
      <xdr:row>43</xdr:row>
      <xdr:rowOff>47542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61950" y="7581900"/>
          <a:ext cx="3209524" cy="666667"/>
        </a:xfrm>
        <a:prstGeom prst="rect">
          <a:avLst/>
        </a:prstGeom>
      </xdr:spPr>
    </xdr:pic>
    <xdr:clientData/>
  </xdr:twoCellAnchor>
  <xdr:twoCellAnchor editAs="oneCell">
    <xdr:from>
      <xdr:col>7</xdr:col>
      <xdr:colOff>66525</xdr:colOff>
      <xdr:row>12</xdr:row>
      <xdr:rowOff>170524</xdr:rowOff>
    </xdr:from>
    <xdr:to>
      <xdr:col>8</xdr:col>
      <xdr:colOff>171450</xdr:colOff>
      <xdr:row>15</xdr:row>
      <xdr:rowOff>190349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7750" y="2466049"/>
          <a:ext cx="943125" cy="591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13</xdr:row>
          <xdr:rowOff>28575</xdr:rowOff>
        </xdr:from>
        <xdr:to>
          <xdr:col>10</xdr:col>
          <xdr:colOff>371475</xdr:colOff>
          <xdr:row>15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CRR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9</xdr:row>
          <xdr:rowOff>9525</xdr:rowOff>
        </xdr:from>
        <xdr:to>
          <xdr:col>10</xdr:col>
          <xdr:colOff>371475</xdr:colOff>
          <xdr:row>11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Binomial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190500</xdr:rowOff>
        </xdr:from>
        <xdr:to>
          <xdr:col>10</xdr:col>
          <xdr:colOff>371475</xdr:colOff>
          <xdr:row>7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JR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Modelos" displayName="TablaModelos" ref="H1:O101" totalsRowShown="0">
  <autoFilter ref="H1:O101"/>
  <sortState ref="H2:O101">
    <sortCondition ref="H1:H101"/>
  </sortState>
  <tableColumns count="8">
    <tableColumn id="1" name="Steps (n)"/>
    <tableColumn id="2" name="B-S" dataDxfId="6">
      <calculatedColumnFormula>bsc($B$4,$B$5,$B$6,$B$9,$B$8,$B$7,$B$2)</calculatedColumnFormula>
    </tableColumn>
    <tableColumn id="3" name="CRR" dataDxfId="5">
      <calculatedColumnFormula>CRR($B$4,$B$5,$B$9,$B$6,$B$7,$H2,$B$2)</calculatedColumnFormula>
    </tableColumn>
    <tableColumn id="4" name="JR" dataDxfId="4">
      <calculatedColumnFormula>JR($B$4,$B$5,$B$9,$B$6,$B$7,$B$8,$H2,$B$2)</calculatedColumnFormula>
    </tableColumn>
    <tableColumn id="5" name="Binomial" dataDxfId="3">
      <calculatedColumnFormula>Binomial($B$4,$B$5,$B$9,$B$6,$B$7,$B$8,$H2,$B$2)</calculatedColumnFormula>
    </tableColumn>
    <tableColumn id="6" name="Min CRR" dataDxfId="2">
      <calculatedColumnFormula>ABS(TablaModelos[[#This Row],[B-S]]-TablaModelos[[#This Row],[CRR]])</calculatedColumnFormula>
    </tableColumn>
    <tableColumn id="7" name="Min JR" dataDxfId="1">
      <calculatedColumnFormula>ABS(TablaModelos[[#This Row],[B-S]]-TablaModelos[[#This Row],[JR]])</calculatedColumnFormula>
    </tableColumn>
    <tableColumn id="8" name="Min Binomial" dataDxfId="0">
      <calculatedColumnFormula>ABS(TablaModelos[[#This Row],[B-S]]-TablaModelos[[#This Row],[Binomial]])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FF00"/>
  </sheetPr>
  <dimension ref="A1:AN101"/>
  <sheetViews>
    <sheetView tabSelected="1" zoomScale="80" zoomScaleNormal="80" workbookViewId="0">
      <selection activeCell="AD7" sqref="AD7"/>
    </sheetView>
  </sheetViews>
  <sheetFormatPr baseColWidth="10" defaultRowHeight="15" x14ac:dyDescent="0.25"/>
  <cols>
    <col min="1" max="1" width="14" bestFit="1" customWidth="1"/>
    <col min="4" max="4" width="13.42578125" bestFit="1" customWidth="1"/>
    <col min="5" max="5" width="12" bestFit="1" customWidth="1"/>
    <col min="6" max="7" width="15.28515625" customWidth="1"/>
    <col min="10" max="10" width="13.5703125" bestFit="1" customWidth="1"/>
    <col min="15" max="15" width="11.85546875" bestFit="1" customWidth="1"/>
    <col min="39" max="39" width="11.85546875" bestFit="1" customWidth="1"/>
  </cols>
  <sheetData>
    <row r="1" spans="1:40" x14ac:dyDescent="0.25">
      <c r="A1" s="2" t="s">
        <v>15</v>
      </c>
      <c r="B1" s="1">
        <v>1</v>
      </c>
      <c r="D1" s="43" t="s">
        <v>42</v>
      </c>
      <c r="E1">
        <f>MIN(TablaModelos[Min Binomial])</f>
        <v>3.7962542995728654E-4</v>
      </c>
      <c r="H1" t="s">
        <v>46</v>
      </c>
      <c r="I1" t="s">
        <v>45</v>
      </c>
      <c r="J1" s="42" t="s">
        <v>44</v>
      </c>
      <c r="K1" s="42" t="s">
        <v>43</v>
      </c>
      <c r="L1" s="54" t="s">
        <v>48</v>
      </c>
      <c r="M1" t="s">
        <v>56</v>
      </c>
      <c r="N1" t="s">
        <v>55</v>
      </c>
      <c r="O1" t="s">
        <v>54</v>
      </c>
    </row>
    <row r="2" spans="1:40" x14ac:dyDescent="0.25">
      <c r="A2" s="2" t="s">
        <v>11</v>
      </c>
      <c r="B2" s="1">
        <v>0</v>
      </c>
      <c r="D2" s="43" t="s">
        <v>44</v>
      </c>
      <c r="E2">
        <f>MIN(TablaModelos[Min CRR])</f>
        <v>3.7160856051078994E-2</v>
      </c>
      <c r="H2">
        <v>1</v>
      </c>
      <c r="I2">
        <f t="shared" ref="I2:I33" si="0">bsc($B$4,$B$5,$B$6,$B$9,$B$8,$B$7,$B$2)</f>
        <v>13.145893900288087</v>
      </c>
      <c r="J2" s="53">
        <f t="shared" ref="J2:J33" si="1">CRR($B$4,$B$5,$B$9,$B$6,$B$7,$H2,$B$2)</f>
        <v>16.817697849689878</v>
      </c>
      <c r="K2" s="53">
        <f t="shared" ref="K2:K33" si="2">JR($B$4,$B$5,$B$9,$B$6,$B$7,$B$8,$H2,$B$2)</f>
        <v>15.581785907504074</v>
      </c>
      <c r="L2" s="53">
        <f t="shared" ref="L2:L33" si="3">Binomial($B$4,$B$5,$B$9,$B$6,$B$7,$B$8,$H2,$B$2)</f>
        <v>16.817697849689882</v>
      </c>
      <c r="M2" s="53">
        <f>ABS(TablaModelos[[#This Row],[B-S]]-TablaModelos[[#This Row],[CRR]])</f>
        <v>3.6718039494017916</v>
      </c>
      <c r="N2" s="53">
        <f>ABS(TablaModelos[[#This Row],[B-S]]-TablaModelos[[#This Row],[JR]])</f>
        <v>2.4358920072159869</v>
      </c>
      <c r="O2" s="53">
        <f>ABS(TablaModelos[[#This Row],[B-S]]-TablaModelos[[#This Row],[Binomial]])</f>
        <v>3.6718039494017951</v>
      </c>
      <c r="AE2" s="48"/>
      <c r="AF2" s="48"/>
      <c r="AG2" s="48"/>
      <c r="AH2" s="48"/>
      <c r="AI2" s="48"/>
      <c r="AJ2" s="48"/>
      <c r="AK2" s="55"/>
      <c r="AN2" s="55"/>
    </row>
    <row r="3" spans="1:40" ht="15.75" thickBot="1" x14ac:dyDescent="0.3">
      <c r="D3" s="43" t="s">
        <v>47</v>
      </c>
      <c r="E3">
        <f>MIN(TablaModelos[Min JR])</f>
        <v>1.4903221574744663E-3</v>
      </c>
      <c r="H3">
        <v>2</v>
      </c>
      <c r="I3">
        <f t="shared" si="0"/>
        <v>13.145893900288087</v>
      </c>
      <c r="J3" s="53">
        <f t="shared" si="1"/>
        <v>11.37383451892153</v>
      </c>
      <c r="K3" s="53">
        <f t="shared" si="2"/>
        <v>12.913839227103125</v>
      </c>
      <c r="L3" s="53">
        <f t="shared" si="3"/>
        <v>12.462695500710019</v>
      </c>
      <c r="M3" s="53">
        <f>ABS(TablaModelos[[#This Row],[B-S]]-TablaModelos[[#This Row],[CRR]])</f>
        <v>1.7720593813665566</v>
      </c>
      <c r="N3" s="53">
        <f>ABS(TablaModelos[[#This Row],[B-S]]-TablaModelos[[#This Row],[JR]])</f>
        <v>0.23205467318496176</v>
      </c>
      <c r="O3" s="53">
        <f>ABS(TablaModelos[[#This Row],[B-S]]-TablaModelos[[#This Row],[Binomial]])</f>
        <v>0.68319839957806749</v>
      </c>
      <c r="AE3" s="48"/>
      <c r="AF3" s="48"/>
      <c r="AG3" s="48"/>
      <c r="AH3" s="48"/>
      <c r="AI3" s="48"/>
      <c r="AJ3" s="48"/>
      <c r="AK3" s="55"/>
    </row>
    <row r="4" spans="1:40" x14ac:dyDescent="0.25">
      <c r="A4" s="11" t="s">
        <v>0</v>
      </c>
      <c r="B4" s="12">
        <v>100</v>
      </c>
      <c r="H4">
        <v>3</v>
      </c>
      <c r="I4">
        <f t="shared" si="0"/>
        <v>13.145893900288087</v>
      </c>
      <c r="J4" s="53">
        <f t="shared" si="1"/>
        <v>14.396856987509166</v>
      </c>
      <c r="K4" s="53">
        <f t="shared" si="2"/>
        <v>13.830942405556451</v>
      </c>
      <c r="L4" s="53">
        <f t="shared" si="3"/>
        <v>14.31079807715609</v>
      </c>
      <c r="M4" s="53">
        <f>ABS(TablaModelos[[#This Row],[B-S]]-TablaModelos[[#This Row],[CRR]])</f>
        <v>1.2509630872210789</v>
      </c>
      <c r="N4" s="53">
        <f>ABS(TablaModelos[[#This Row],[B-S]]-TablaModelos[[#This Row],[JR]])</f>
        <v>0.68504850526836414</v>
      </c>
      <c r="O4" s="53">
        <f>ABS(TablaModelos[[#This Row],[B-S]]-TablaModelos[[#This Row],[Binomial]])</f>
        <v>1.1649041768680028</v>
      </c>
      <c r="AE4" s="48"/>
      <c r="AF4" s="48"/>
      <c r="AG4" s="48"/>
      <c r="AH4" s="48"/>
      <c r="AI4" s="48"/>
      <c r="AJ4" s="48"/>
      <c r="AK4" s="55"/>
    </row>
    <row r="5" spans="1:40" x14ac:dyDescent="0.25">
      <c r="A5" s="13" t="s">
        <v>1</v>
      </c>
      <c r="B5" s="14">
        <v>100</v>
      </c>
      <c r="H5">
        <v>4</v>
      </c>
      <c r="I5">
        <f t="shared" si="0"/>
        <v>13.145893900288087</v>
      </c>
      <c r="J5" s="53">
        <f t="shared" si="1"/>
        <v>12.21114982023928</v>
      </c>
      <c r="K5" s="53">
        <f t="shared" si="2"/>
        <v>13.28820262051053</v>
      </c>
      <c r="L5" s="53">
        <f t="shared" si="3"/>
        <v>12.995179826956083</v>
      </c>
      <c r="M5" s="53">
        <f>ABS(TablaModelos[[#This Row],[B-S]]-TablaModelos[[#This Row],[CRR]])</f>
        <v>0.93474408004880694</v>
      </c>
      <c r="N5" s="53">
        <f>ABS(TablaModelos[[#This Row],[B-S]]-TablaModelos[[#This Row],[JR]])</f>
        <v>0.14230872022244334</v>
      </c>
      <c r="O5" s="53">
        <f>ABS(TablaModelos[[#This Row],[B-S]]-TablaModelos[[#This Row],[Binomial]])</f>
        <v>0.15071407333200426</v>
      </c>
      <c r="AE5" s="48"/>
      <c r="AF5" s="48"/>
      <c r="AG5" s="48"/>
      <c r="AH5" s="48"/>
      <c r="AI5" s="48"/>
      <c r="AJ5" s="48"/>
      <c r="AK5" s="55"/>
    </row>
    <row r="6" spans="1:40" x14ac:dyDescent="0.25">
      <c r="A6" s="13" t="s">
        <v>2</v>
      </c>
      <c r="B6" s="51">
        <v>0.05</v>
      </c>
      <c r="D6" s="45">
        <f>EXP($B$7*SQRT($B$14))</f>
        <v>1.0935646911485417</v>
      </c>
      <c r="H6">
        <v>5</v>
      </c>
      <c r="I6">
        <f t="shared" si="0"/>
        <v>13.145893900288087</v>
      </c>
      <c r="J6" s="53">
        <f t="shared" si="1"/>
        <v>13.893200896665153</v>
      </c>
      <c r="K6" s="53">
        <f t="shared" si="2"/>
        <v>13.440960198068357</v>
      </c>
      <c r="L6" s="53">
        <f t="shared" si="3"/>
        <v>13.793174744828518</v>
      </c>
      <c r="M6" s="53">
        <f>ABS(TablaModelos[[#This Row],[B-S]]-TablaModelos[[#This Row],[CRR]])</f>
        <v>0.74730699637706621</v>
      </c>
      <c r="N6" s="53">
        <f>ABS(TablaModelos[[#This Row],[B-S]]-TablaModelos[[#This Row],[JR]])</f>
        <v>0.29506629778027005</v>
      </c>
      <c r="O6" s="53">
        <f>ABS(TablaModelos[[#This Row],[B-S]]-TablaModelos[[#This Row],[Binomial]])</f>
        <v>0.64728084454043078</v>
      </c>
      <c r="AE6" s="48"/>
      <c r="AF6" s="48"/>
      <c r="AG6" s="48"/>
      <c r="AH6" s="48"/>
      <c r="AI6" s="48"/>
      <c r="AJ6" s="48"/>
      <c r="AK6" s="55"/>
    </row>
    <row r="7" spans="1:40" x14ac:dyDescent="0.25">
      <c r="A7" s="16" t="s">
        <v>5</v>
      </c>
      <c r="B7" s="51">
        <v>0.4</v>
      </c>
      <c r="D7" s="45">
        <f>EXP(-$B$7*SQRT($B$14))</f>
        <v>0.914440643607217</v>
      </c>
      <c r="H7">
        <v>6</v>
      </c>
      <c r="I7">
        <f t="shared" si="0"/>
        <v>13.145893900288087</v>
      </c>
      <c r="J7" s="53">
        <f t="shared" si="1"/>
        <v>12.51305126763693</v>
      </c>
      <c r="K7" s="53">
        <f t="shared" si="2"/>
        <v>13.359779679064712</v>
      </c>
      <c r="L7" s="53">
        <f t="shared" si="3"/>
        <v>13.14551427485813</v>
      </c>
      <c r="M7" s="53">
        <f>ABS(TablaModelos[[#This Row],[B-S]]-TablaModelos[[#This Row],[CRR]])</f>
        <v>0.63284263265115648</v>
      </c>
      <c r="N7" s="53">
        <f>ABS(TablaModelos[[#This Row],[B-S]]-TablaModelos[[#This Row],[JR]])</f>
        <v>0.21388577877662485</v>
      </c>
      <c r="O7" s="52">
        <f>ABS(TablaModelos[[#This Row],[B-S]]-TablaModelos[[#This Row],[Binomial]])</f>
        <v>3.7962542995728654E-4</v>
      </c>
      <c r="AE7" s="48"/>
      <c r="AF7" s="48"/>
      <c r="AG7" s="48"/>
      <c r="AH7" s="48"/>
      <c r="AI7" s="48"/>
      <c r="AJ7" s="48"/>
      <c r="AK7" s="55"/>
    </row>
    <row r="8" spans="1:40" x14ac:dyDescent="0.25">
      <c r="A8" s="16" t="s">
        <v>24</v>
      </c>
      <c r="B8" s="51">
        <v>0</v>
      </c>
      <c r="H8">
        <v>7</v>
      </c>
      <c r="I8">
        <f t="shared" si="0"/>
        <v>13.145893900288087</v>
      </c>
      <c r="J8" s="53">
        <f t="shared" si="1"/>
        <v>13.67786221175766</v>
      </c>
      <c r="K8" s="53">
        <f t="shared" si="2"/>
        <v>13.272200610303324</v>
      </c>
      <c r="L8" s="53">
        <f t="shared" si="3"/>
        <v>13.572174536745665</v>
      </c>
      <c r="M8" s="53">
        <f>ABS(TablaModelos[[#This Row],[B-S]]-TablaModelos[[#This Row],[CRR]])</f>
        <v>0.5319683114695728</v>
      </c>
      <c r="N8" s="53">
        <f>ABS(TablaModelos[[#This Row],[B-S]]-TablaModelos[[#This Row],[JR]])</f>
        <v>0.1263067100152373</v>
      </c>
      <c r="O8" s="53">
        <f>ABS(TablaModelos[[#This Row],[B-S]]-TablaModelos[[#This Row],[Binomial]])</f>
        <v>0.42628063645757841</v>
      </c>
      <c r="AE8" s="48"/>
      <c r="AF8" s="48"/>
      <c r="AG8" s="48"/>
      <c r="AH8" s="48"/>
      <c r="AI8" s="48"/>
      <c r="AJ8" s="48"/>
      <c r="AK8" s="55"/>
    </row>
    <row r="9" spans="1:40" x14ac:dyDescent="0.25">
      <c r="A9" s="13" t="s">
        <v>9</v>
      </c>
      <c r="B9" s="14">
        <v>1</v>
      </c>
      <c r="H9">
        <v>8</v>
      </c>
      <c r="I9">
        <f t="shared" si="0"/>
        <v>13.145893900288087</v>
      </c>
      <c r="J9" s="53">
        <f t="shared" si="1"/>
        <v>12.667900289428683</v>
      </c>
      <c r="K9" s="53">
        <f t="shared" si="2"/>
        <v>13.371045234395464</v>
      </c>
      <c r="L9" s="53">
        <f t="shared" si="3"/>
        <v>13.205879421989419</v>
      </c>
      <c r="M9" s="53">
        <f>ABS(TablaModelos[[#This Row],[B-S]]-TablaModelos[[#This Row],[CRR]])</f>
        <v>0.47799361085940362</v>
      </c>
      <c r="N9" s="53">
        <f>ABS(TablaModelos[[#This Row],[B-S]]-TablaModelos[[#This Row],[JR]])</f>
        <v>0.22515133410737675</v>
      </c>
      <c r="O9" s="53">
        <f>ABS(TablaModelos[[#This Row],[B-S]]-TablaModelos[[#This Row],[Binomial]])</f>
        <v>5.998552170133209E-2</v>
      </c>
      <c r="AE9" s="48"/>
      <c r="AF9" s="48"/>
      <c r="AG9" s="48"/>
      <c r="AH9" s="48"/>
      <c r="AI9" s="48"/>
      <c r="AJ9" s="48"/>
      <c r="AK9" s="55"/>
    </row>
    <row r="10" spans="1:40" x14ac:dyDescent="0.25">
      <c r="A10" s="13" t="s">
        <v>12</v>
      </c>
      <c r="B10" s="14">
        <v>20</v>
      </c>
      <c r="H10">
        <v>9</v>
      </c>
      <c r="I10">
        <f t="shared" si="0"/>
        <v>13.145893900288087</v>
      </c>
      <c r="J10" s="53">
        <f t="shared" si="1"/>
        <v>13.55867531510385</v>
      </c>
      <c r="K10" s="53">
        <f t="shared" si="2"/>
        <v>13.178335380035737</v>
      </c>
      <c r="L10" s="53">
        <f t="shared" si="3"/>
        <v>13.449923896803982</v>
      </c>
      <c r="M10" s="53">
        <f>ABS(TablaModelos[[#This Row],[B-S]]-TablaModelos[[#This Row],[CRR]])</f>
        <v>0.41278141481576291</v>
      </c>
      <c r="N10" s="53">
        <f>ABS(TablaModelos[[#This Row],[B-S]]-TablaModelos[[#This Row],[JR]])</f>
        <v>3.2441479747649993E-2</v>
      </c>
      <c r="O10" s="53">
        <f>ABS(TablaModelos[[#This Row],[B-S]]-TablaModelos[[#This Row],[Binomial]])</f>
        <v>0.30402999651589546</v>
      </c>
      <c r="AE10" s="48"/>
      <c r="AF10" s="48"/>
      <c r="AG10" s="48"/>
      <c r="AH10" s="48"/>
      <c r="AI10" s="48"/>
      <c r="AJ10" s="48"/>
      <c r="AK10" s="55"/>
    </row>
    <row r="11" spans="1:40" x14ac:dyDescent="0.25">
      <c r="A11" s="13" t="s">
        <v>36</v>
      </c>
      <c r="B11" s="49">
        <f>(EXP($B$6*$B$14)-$B$13)/($B$12-$B$13)</f>
        <v>0.47765421542880326</v>
      </c>
      <c r="H11">
        <v>10</v>
      </c>
      <c r="I11">
        <f t="shared" si="0"/>
        <v>13.145893900288087</v>
      </c>
      <c r="J11" s="53">
        <f t="shared" si="1"/>
        <v>12.761965632362795</v>
      </c>
      <c r="K11" s="53">
        <f t="shared" si="2"/>
        <v>13.364763885879139</v>
      </c>
      <c r="L11" s="53">
        <f t="shared" si="3"/>
        <v>13.233909839580598</v>
      </c>
      <c r="M11" s="53">
        <f>ABS(TablaModelos[[#This Row],[B-S]]-TablaModelos[[#This Row],[CRR]])</f>
        <v>0.38392826792529178</v>
      </c>
      <c r="N11" s="53">
        <f>ABS(TablaModelos[[#This Row],[B-S]]-TablaModelos[[#This Row],[JR]])</f>
        <v>0.21886998559105209</v>
      </c>
      <c r="O11" s="53">
        <f>ABS(TablaModelos[[#This Row],[B-S]]-TablaModelos[[#This Row],[Binomial]])</f>
        <v>8.8015939292510836E-2</v>
      </c>
      <c r="AE11" s="48"/>
      <c r="AF11" s="48"/>
      <c r="AG11" s="48"/>
      <c r="AH11" s="48"/>
      <c r="AI11" s="48"/>
      <c r="AJ11" s="48"/>
      <c r="AK11" s="55"/>
    </row>
    <row r="12" spans="1:40" x14ac:dyDescent="0.25">
      <c r="A12" s="13" t="s">
        <v>16</v>
      </c>
      <c r="B12" s="26">
        <f>EXP(($B$6-$B$8)*$B$14+$B$7*SQRT($B$14))</f>
        <v>1.0963020231156784</v>
      </c>
      <c r="C12" s="45">
        <v>1.04425425826203</v>
      </c>
      <c r="D12" s="50">
        <f>EXP(($B$6-$B$8-0.5*$B$7^2)*$B$14+$B$7*SQRT($B$14))</f>
        <v>1.0919255737571969</v>
      </c>
      <c r="H12">
        <v>11</v>
      </c>
      <c r="I12">
        <f t="shared" si="0"/>
        <v>13.145893900288087</v>
      </c>
      <c r="J12" s="53">
        <f t="shared" si="1"/>
        <v>13.483060071393542</v>
      </c>
      <c r="K12" s="53">
        <f t="shared" si="2"/>
        <v>13.118627472152024</v>
      </c>
      <c r="L12" s="53">
        <f t="shared" si="3"/>
        <v>13.37238869617839</v>
      </c>
      <c r="M12" s="53">
        <f>ABS(TablaModelos[[#This Row],[B-S]]-TablaModelos[[#This Row],[CRR]])</f>
        <v>0.33716617110545499</v>
      </c>
      <c r="N12" s="53">
        <f>ABS(TablaModelos[[#This Row],[B-S]]-TablaModelos[[#This Row],[JR]])</f>
        <v>2.7266428136062615E-2</v>
      </c>
      <c r="O12" s="53">
        <f>ABS(TablaModelos[[#This Row],[B-S]]-TablaModelos[[#This Row],[Binomial]])</f>
        <v>0.22649479589030364</v>
      </c>
      <c r="AE12" s="48"/>
      <c r="AF12" s="48"/>
      <c r="AG12" s="48"/>
      <c r="AH12" s="48"/>
      <c r="AI12" s="48"/>
      <c r="AJ12" s="48"/>
      <c r="AK12" s="55"/>
    </row>
    <row r="13" spans="1:40" x14ac:dyDescent="0.25">
      <c r="A13" s="13" t="s">
        <v>18</v>
      </c>
      <c r="B13" s="26">
        <f>EXP(($B$6-$B$8)*$B$14-$B$7*SQRT($B$14))</f>
        <v>0.91672960522609126</v>
      </c>
      <c r="C13" s="45">
        <v>0.95762118477191482</v>
      </c>
      <c r="D13" s="50">
        <f>EXP(($B$6-$B$8-0.5*$B$7^2)*$B$14-$B$7*SQRT($B$14))</f>
        <v>0.91307001087335027</v>
      </c>
      <c r="H13">
        <v>12</v>
      </c>
      <c r="I13">
        <f t="shared" si="0"/>
        <v>13.145893900288087</v>
      </c>
      <c r="J13" s="53">
        <f t="shared" si="1"/>
        <v>12.825131716013431</v>
      </c>
      <c r="K13" s="53">
        <f t="shared" si="2"/>
        <v>13.352754772596494</v>
      </c>
      <c r="L13" s="53">
        <f t="shared" si="3"/>
        <v>13.247603136691088</v>
      </c>
      <c r="M13" s="53">
        <f>ABS(TablaModelos[[#This Row],[B-S]]-TablaModelos[[#This Row],[CRR]])</f>
        <v>0.32076218427465619</v>
      </c>
      <c r="N13" s="53">
        <f>ABS(TablaModelos[[#This Row],[B-S]]-TablaModelos[[#This Row],[JR]])</f>
        <v>0.20686087230840755</v>
      </c>
      <c r="O13" s="53">
        <f>ABS(TablaModelos[[#This Row],[B-S]]-TablaModelos[[#This Row],[Binomial]])</f>
        <v>0.10170923640300167</v>
      </c>
      <c r="AE13" s="48"/>
      <c r="AF13" s="48"/>
      <c r="AG13" s="48"/>
      <c r="AH13" s="48"/>
      <c r="AI13" s="48"/>
      <c r="AJ13" s="48"/>
      <c r="AK13" s="55"/>
    </row>
    <row r="14" spans="1:40" x14ac:dyDescent="0.25">
      <c r="A14" s="13" t="s">
        <v>3</v>
      </c>
      <c r="B14" s="49">
        <f>B9/B10</f>
        <v>0.05</v>
      </c>
      <c r="H14">
        <v>13</v>
      </c>
      <c r="I14">
        <f t="shared" si="0"/>
        <v>13.145893900288087</v>
      </c>
      <c r="J14" s="53">
        <f t="shared" si="1"/>
        <v>13.430835157732693</v>
      </c>
      <c r="K14" s="53">
        <f t="shared" si="2"/>
        <v>13.077321388989805</v>
      </c>
      <c r="L14" s="53">
        <f t="shared" si="3"/>
        <v>13.318847916093166</v>
      </c>
      <c r="M14" s="53">
        <f>ABS(TablaModelos[[#This Row],[B-S]]-TablaModelos[[#This Row],[CRR]])</f>
        <v>0.28494125744460597</v>
      </c>
      <c r="N14" s="53">
        <f>ABS(TablaModelos[[#This Row],[B-S]]-TablaModelos[[#This Row],[JR]])</f>
        <v>6.8572511298281569E-2</v>
      </c>
      <c r="O14" s="53">
        <f>ABS(TablaModelos[[#This Row],[B-S]]-TablaModelos[[#This Row],[Binomial]])</f>
        <v>0.17295401580507885</v>
      </c>
      <c r="AE14" s="48"/>
      <c r="AF14" s="48"/>
      <c r="AG14" s="48"/>
      <c r="AH14" s="48"/>
      <c r="AI14" s="48"/>
      <c r="AJ14" s="48"/>
      <c r="AK14" s="55"/>
    </row>
    <row r="15" spans="1:40" x14ac:dyDescent="0.25">
      <c r="A15" t="s">
        <v>49</v>
      </c>
      <c r="H15">
        <v>14</v>
      </c>
      <c r="I15">
        <f t="shared" si="0"/>
        <v>13.145893900288087</v>
      </c>
      <c r="J15" s="53">
        <f t="shared" si="1"/>
        <v>12.870464717587668</v>
      </c>
      <c r="K15" s="53">
        <f t="shared" si="2"/>
        <v>13.339071482310683</v>
      </c>
      <c r="L15" s="53">
        <f t="shared" si="3"/>
        <v>13.254095719514627</v>
      </c>
      <c r="M15" s="53">
        <f>ABS(TablaModelos[[#This Row],[B-S]]-TablaModelos[[#This Row],[CRR]])</f>
        <v>0.27542918270041916</v>
      </c>
      <c r="N15" s="53">
        <f>ABS(TablaModelos[[#This Row],[B-S]]-TablaModelos[[#This Row],[JR]])</f>
        <v>0.19317758202259583</v>
      </c>
      <c r="O15" s="53">
        <f>ABS(TablaModelos[[#This Row],[B-S]]-TablaModelos[[#This Row],[Binomial]])</f>
        <v>0.10820181922654015</v>
      </c>
      <c r="AE15" s="48"/>
      <c r="AF15" s="48"/>
      <c r="AG15" s="48"/>
      <c r="AH15" s="48"/>
      <c r="AI15" s="48"/>
      <c r="AJ15" s="48"/>
      <c r="AK15" s="55"/>
    </row>
    <row r="16" spans="1:40" x14ac:dyDescent="0.25">
      <c r="H16">
        <v>15</v>
      </c>
      <c r="I16">
        <f t="shared" si="0"/>
        <v>13.145893900288087</v>
      </c>
      <c r="J16" s="53">
        <f t="shared" si="1"/>
        <v>13.392608185925519</v>
      </c>
      <c r="K16" s="53">
        <f t="shared" si="2"/>
        <v>13.047052771875325</v>
      </c>
      <c r="L16" s="53">
        <f t="shared" si="3"/>
        <v>13.279662835781092</v>
      </c>
      <c r="M16" s="53">
        <f>ABS(TablaModelos[[#This Row],[B-S]]-TablaModelos[[#This Row],[CRR]])</f>
        <v>0.2467142856374327</v>
      </c>
      <c r="N16" s="53">
        <f>ABS(TablaModelos[[#This Row],[B-S]]-TablaModelos[[#This Row],[JR]])</f>
        <v>9.8841128412761492E-2</v>
      </c>
      <c r="O16" s="53">
        <f>ABS(TablaModelos[[#This Row],[B-S]]-TablaModelos[[#This Row],[Binomial]])</f>
        <v>0.13376893549300561</v>
      </c>
      <c r="AE16" s="48"/>
      <c r="AF16" s="48"/>
      <c r="AG16" s="48"/>
      <c r="AH16" s="48"/>
      <c r="AI16" s="48"/>
      <c r="AJ16" s="48"/>
      <c r="AK16" s="55"/>
    </row>
    <row r="17" spans="1:37" x14ac:dyDescent="0.25">
      <c r="A17" s="26" t="s">
        <v>48</v>
      </c>
      <c r="H17">
        <v>16</v>
      </c>
      <c r="I17">
        <f t="shared" si="0"/>
        <v>13.145893900288087</v>
      </c>
      <c r="J17" s="53">
        <f t="shared" si="1"/>
        <v>12.904578108840894</v>
      </c>
      <c r="K17" s="53">
        <f t="shared" si="2"/>
        <v>13.325265992280297</v>
      </c>
      <c r="L17" s="53">
        <f t="shared" si="3"/>
        <v>13.256670908629486</v>
      </c>
      <c r="M17" s="53">
        <f>ABS(TablaModelos[[#This Row],[B-S]]-TablaModelos[[#This Row],[CRR]])</f>
        <v>0.2413157914471924</v>
      </c>
      <c r="N17" s="53">
        <f>ABS(TablaModelos[[#This Row],[B-S]]-TablaModelos[[#This Row],[JR]])</f>
        <v>0.17937209199221016</v>
      </c>
      <c r="O17" s="53">
        <f>ABS(TablaModelos[[#This Row],[B-S]]-TablaModelos[[#This Row],[Binomial]])</f>
        <v>0.11077700834139925</v>
      </c>
      <c r="AE17" s="48"/>
      <c r="AF17" s="48"/>
      <c r="AG17" s="48"/>
      <c r="AH17" s="48"/>
      <c r="AI17" s="48"/>
      <c r="AJ17" s="48"/>
      <c r="AK17" s="55"/>
    </row>
    <row r="18" spans="1:37" x14ac:dyDescent="0.25">
      <c r="H18">
        <v>17</v>
      </c>
      <c r="I18">
        <f t="shared" si="0"/>
        <v>13.145893900288087</v>
      </c>
      <c r="J18" s="53">
        <f t="shared" si="1"/>
        <v>13.363419323146731</v>
      </c>
      <c r="K18" s="53">
        <f t="shared" si="2"/>
        <v>13.023921885971093</v>
      </c>
      <c r="L18" s="53">
        <f t="shared" si="3"/>
        <v>13.2497451867967</v>
      </c>
      <c r="M18" s="53">
        <f>ABS(TablaModelos[[#This Row],[B-S]]-TablaModelos[[#This Row],[CRR]])</f>
        <v>0.21752542285864429</v>
      </c>
      <c r="N18" s="53">
        <f>ABS(TablaModelos[[#This Row],[B-S]]-TablaModelos[[#This Row],[JR]])</f>
        <v>0.12197201431699334</v>
      </c>
      <c r="O18" s="53">
        <f>ABS(TablaModelos[[#This Row],[B-S]]-TablaModelos[[#This Row],[Binomial]])</f>
        <v>0.10385128650861297</v>
      </c>
      <c r="AE18" s="48"/>
      <c r="AF18" s="48"/>
      <c r="AG18" s="48"/>
      <c r="AH18" s="48"/>
      <c r="AI18" s="48"/>
      <c r="AJ18" s="48"/>
      <c r="AK18" s="55"/>
    </row>
    <row r="19" spans="1:37" x14ac:dyDescent="0.25">
      <c r="H19">
        <v>18</v>
      </c>
      <c r="I19">
        <f t="shared" si="0"/>
        <v>13.145893900288087</v>
      </c>
      <c r="J19" s="53">
        <f t="shared" si="1"/>
        <v>12.931176457412281</v>
      </c>
      <c r="K19" s="53">
        <f t="shared" si="2"/>
        <v>13.311953500120101</v>
      </c>
      <c r="L19" s="53">
        <f t="shared" si="3"/>
        <v>13.257000623462721</v>
      </c>
      <c r="M19" s="53">
        <f>ABS(TablaModelos[[#This Row],[B-S]]-TablaModelos[[#This Row],[CRR]])</f>
        <v>0.21471744287580563</v>
      </c>
      <c r="N19" s="53">
        <f>ABS(TablaModelos[[#This Row],[B-S]]-TablaModelos[[#This Row],[JR]])</f>
        <v>0.16605959983201402</v>
      </c>
      <c r="O19" s="53">
        <f>ABS(TablaModelos[[#This Row],[B-S]]-TablaModelos[[#This Row],[Binomial]])</f>
        <v>0.11110672317463433</v>
      </c>
      <c r="AE19" s="48"/>
      <c r="AF19" s="48"/>
      <c r="AG19" s="48"/>
      <c r="AH19" s="48"/>
      <c r="AI19" s="48"/>
      <c r="AJ19" s="48"/>
      <c r="AK19" s="55"/>
    </row>
    <row r="20" spans="1:37" x14ac:dyDescent="0.25">
      <c r="H20">
        <v>19</v>
      </c>
      <c r="I20">
        <f t="shared" si="0"/>
        <v>13.145893900288087</v>
      </c>
      <c r="J20" s="53">
        <f t="shared" si="1"/>
        <v>13.340403446603499</v>
      </c>
      <c r="K20" s="53">
        <f t="shared" si="2"/>
        <v>13.005671605571573</v>
      </c>
      <c r="L20" s="53">
        <f t="shared" si="3"/>
        <v>13.226156315939384</v>
      </c>
      <c r="M20" s="53">
        <f>ABS(TablaModelos[[#This Row],[B-S]]-TablaModelos[[#This Row],[CRR]])</f>
        <v>0.19450954631541251</v>
      </c>
      <c r="N20" s="53">
        <f>ABS(TablaModelos[[#This Row],[B-S]]-TablaModelos[[#This Row],[JR]])</f>
        <v>0.14022229471651393</v>
      </c>
      <c r="O20" s="53">
        <f>ABS(TablaModelos[[#This Row],[B-S]]-TablaModelos[[#This Row],[Binomial]])</f>
        <v>8.0262415651297658E-2</v>
      </c>
      <c r="AE20" s="48"/>
      <c r="AF20" s="48"/>
      <c r="AG20" s="48"/>
      <c r="AH20" s="48"/>
      <c r="AI20" s="48"/>
      <c r="AJ20" s="48"/>
      <c r="AK20" s="55"/>
    </row>
    <row r="21" spans="1:37" x14ac:dyDescent="0.25">
      <c r="H21">
        <v>20</v>
      </c>
      <c r="I21">
        <f t="shared" si="0"/>
        <v>13.145893900288087</v>
      </c>
      <c r="J21" s="53">
        <f t="shared" si="1"/>
        <v>12.952495722878378</v>
      </c>
      <c r="K21" s="53">
        <f t="shared" si="2"/>
        <v>13.299363819938559</v>
      </c>
      <c r="L21" s="53">
        <f t="shared" si="3"/>
        <v>13.2560008487507</v>
      </c>
      <c r="M21" s="53">
        <f>ABS(TablaModelos[[#This Row],[B-S]]-TablaModelos[[#This Row],[CRR]])</f>
        <v>0.19339817740970844</v>
      </c>
      <c r="N21" s="53">
        <f>ABS(TablaModelos[[#This Row],[B-S]]-TablaModelos[[#This Row],[JR]])</f>
        <v>0.15346991965047252</v>
      </c>
      <c r="O21" s="53">
        <f>ABS(TablaModelos[[#This Row],[B-S]]-TablaModelos[[#This Row],[Binomial]])</f>
        <v>0.11010694846261337</v>
      </c>
      <c r="AE21" s="48"/>
      <c r="AF21" s="48"/>
      <c r="AG21" s="48"/>
      <c r="AH21" s="48"/>
      <c r="AI21" s="48"/>
      <c r="AJ21" s="48"/>
      <c r="AK21" s="55"/>
    </row>
    <row r="22" spans="1:37" x14ac:dyDescent="0.25">
      <c r="A22" t="s">
        <v>50</v>
      </c>
      <c r="H22">
        <v>21</v>
      </c>
      <c r="I22">
        <f t="shared" si="0"/>
        <v>13.145893900288087</v>
      </c>
      <c r="J22" s="53">
        <f t="shared" si="1"/>
        <v>13.321790286446838</v>
      </c>
      <c r="K22" s="53">
        <f t="shared" si="2"/>
        <v>12.990905320456715</v>
      </c>
      <c r="L22" s="53">
        <f t="shared" si="3"/>
        <v>13.207080822657499</v>
      </c>
      <c r="M22" s="53">
        <f>ABS(TablaModelos[[#This Row],[B-S]]-TablaModelos[[#This Row],[CRR]])</f>
        <v>0.17589638615875103</v>
      </c>
      <c r="N22" s="53">
        <f>ABS(TablaModelos[[#This Row],[B-S]]-TablaModelos[[#This Row],[JR]])</f>
        <v>0.15498857983137171</v>
      </c>
      <c r="O22" s="53">
        <f>ABS(TablaModelos[[#This Row],[B-S]]-TablaModelos[[#This Row],[Binomial]])</f>
        <v>6.1186922369412144E-2</v>
      </c>
      <c r="AE22" s="48"/>
      <c r="AF22" s="48"/>
      <c r="AG22" s="48"/>
      <c r="AH22" s="48"/>
      <c r="AI22" s="48"/>
      <c r="AJ22" s="48"/>
      <c r="AK22" s="55"/>
    </row>
    <row r="23" spans="1:37" x14ac:dyDescent="0.25">
      <c r="A23" s="46" t="s">
        <v>44</v>
      </c>
      <c r="H23">
        <v>22</v>
      </c>
      <c r="I23">
        <f t="shared" si="0"/>
        <v>13.145893900288087</v>
      </c>
      <c r="J23" s="53">
        <f t="shared" si="1"/>
        <v>12.969965158559864</v>
      </c>
      <c r="K23" s="53">
        <f t="shared" si="2"/>
        <v>13.287559465495844</v>
      </c>
      <c r="L23" s="53">
        <f t="shared" si="3"/>
        <v>13.254201544815183</v>
      </c>
      <c r="M23" s="53">
        <f>ABS(TablaModelos[[#This Row],[B-S]]-TablaModelos[[#This Row],[CRR]])</f>
        <v>0.1759287417282227</v>
      </c>
      <c r="N23" s="53">
        <f>ABS(TablaModelos[[#This Row],[B-S]]-TablaModelos[[#This Row],[JR]])</f>
        <v>0.14166556520775764</v>
      </c>
      <c r="O23" s="53">
        <f>ABS(TablaModelos[[#This Row],[B-S]]-TablaModelos[[#This Row],[Binomial]])</f>
        <v>0.10830764452709651</v>
      </c>
      <c r="AE23" s="48"/>
      <c r="AF23" s="48"/>
      <c r="AG23" s="48"/>
      <c r="AH23" s="48"/>
      <c r="AI23" s="48"/>
      <c r="AJ23" s="48"/>
      <c r="AK23" s="55"/>
    </row>
    <row r="24" spans="1:37" x14ac:dyDescent="0.25">
      <c r="H24">
        <v>23</v>
      </c>
      <c r="I24">
        <f t="shared" si="0"/>
        <v>13.145893900288087</v>
      </c>
      <c r="J24" s="53">
        <f t="shared" si="1"/>
        <v>13.30642720874325</v>
      </c>
      <c r="K24" s="53">
        <f t="shared" si="2"/>
        <v>12.978712685598206</v>
      </c>
      <c r="L24" s="53">
        <f t="shared" si="3"/>
        <v>13.191336838651639</v>
      </c>
      <c r="M24" s="53">
        <f>ABS(TablaModelos[[#This Row],[B-S]]-TablaModelos[[#This Row],[CRR]])</f>
        <v>0.16053330845516278</v>
      </c>
      <c r="N24" s="53">
        <f>ABS(TablaModelos[[#This Row],[B-S]]-TablaModelos[[#This Row],[JR]])</f>
        <v>0.16718121468988123</v>
      </c>
      <c r="O24" s="53">
        <f>ABS(TablaModelos[[#This Row],[B-S]]-TablaModelos[[#This Row],[Binomial]])</f>
        <v>4.5442938363551733E-2</v>
      </c>
      <c r="AE24" s="48"/>
      <c r="AF24" s="48"/>
      <c r="AG24" s="48"/>
      <c r="AH24" s="48"/>
      <c r="AI24" s="48"/>
      <c r="AJ24" s="48"/>
      <c r="AK24" s="55"/>
    </row>
    <row r="25" spans="1:37" x14ac:dyDescent="0.25">
      <c r="H25">
        <v>24</v>
      </c>
      <c r="I25">
        <f t="shared" si="0"/>
        <v>13.145893900288087</v>
      </c>
      <c r="J25" s="53">
        <f t="shared" si="1"/>
        <v>12.984540925751919</v>
      </c>
      <c r="K25" s="53">
        <f t="shared" si="2"/>
        <v>13.276529136914744</v>
      </c>
      <c r="L25" s="53">
        <f t="shared" si="3"/>
        <v>13.251922280639876</v>
      </c>
      <c r="M25" s="53">
        <f>ABS(TablaModelos[[#This Row],[B-S]]-TablaModelos[[#This Row],[CRR]])</f>
        <v>0.16135297453616815</v>
      </c>
      <c r="N25" s="53">
        <f>ABS(TablaModelos[[#This Row],[B-S]]-TablaModelos[[#This Row],[JR]])</f>
        <v>0.13063523662665766</v>
      </c>
      <c r="O25" s="53">
        <f>ABS(TablaModelos[[#This Row],[B-S]]-TablaModelos[[#This Row],[Binomial]])</f>
        <v>0.10602838035178941</v>
      </c>
      <c r="AE25" s="48"/>
      <c r="AF25" s="48"/>
      <c r="AG25" s="48"/>
      <c r="AH25" s="48"/>
      <c r="AI25" s="48"/>
      <c r="AJ25" s="48"/>
      <c r="AK25" s="55"/>
    </row>
    <row r="26" spans="1:37" x14ac:dyDescent="0.25">
      <c r="H26">
        <v>25</v>
      </c>
      <c r="I26">
        <f t="shared" si="0"/>
        <v>13.145893900288087</v>
      </c>
      <c r="J26" s="53">
        <f t="shared" si="1"/>
        <v>13.293531530744222</v>
      </c>
      <c r="K26" s="53">
        <f t="shared" si="2"/>
        <v>12.968475001375358</v>
      </c>
      <c r="L26" s="53">
        <f t="shared" si="3"/>
        <v>13.178121910763466</v>
      </c>
      <c r="M26" s="53">
        <f>ABS(TablaModelos[[#This Row],[B-S]]-TablaModelos[[#This Row],[CRR]])</f>
        <v>0.14763763045613487</v>
      </c>
      <c r="N26" s="53">
        <f>ABS(TablaModelos[[#This Row],[B-S]]-TablaModelos[[#This Row],[JR]])</f>
        <v>0.17741889891272855</v>
      </c>
      <c r="O26" s="53">
        <f>ABS(TablaModelos[[#This Row],[B-S]]-TablaModelos[[#This Row],[Binomial]])</f>
        <v>3.222801047537871E-2</v>
      </c>
      <c r="AE26" s="48"/>
      <c r="AF26" s="48"/>
      <c r="AG26" s="48"/>
      <c r="AH26" s="48"/>
      <c r="AI26" s="48"/>
      <c r="AJ26" s="48"/>
      <c r="AK26" s="55"/>
    </row>
    <row r="27" spans="1:37" x14ac:dyDescent="0.25">
      <c r="H27">
        <v>26</v>
      </c>
      <c r="I27">
        <f t="shared" si="0"/>
        <v>13.145893900288087</v>
      </c>
      <c r="J27" s="53">
        <f t="shared" si="1"/>
        <v>12.996886833628459</v>
      </c>
      <c r="K27" s="53">
        <f t="shared" si="2"/>
        <v>13.266230056071755</v>
      </c>
      <c r="L27" s="53">
        <f t="shared" si="3"/>
        <v>13.24936191591806</v>
      </c>
      <c r="M27" s="53">
        <f>ABS(TablaModelos[[#This Row],[B-S]]-TablaModelos[[#This Row],[CRR]])</f>
        <v>0.14900706665962815</v>
      </c>
      <c r="N27" s="53">
        <f>ABS(TablaModelos[[#This Row],[B-S]]-TablaModelos[[#This Row],[JR]])</f>
        <v>0.12033615578366863</v>
      </c>
      <c r="O27" s="53">
        <f>ABS(TablaModelos[[#This Row],[B-S]]-TablaModelos[[#This Row],[Binomial]])</f>
        <v>0.10346801562997321</v>
      </c>
      <c r="AE27" s="48"/>
      <c r="AF27" s="48"/>
      <c r="AG27" s="48"/>
      <c r="AH27" s="48"/>
      <c r="AI27" s="48"/>
      <c r="AJ27" s="48"/>
      <c r="AK27" s="48"/>
    </row>
    <row r="28" spans="1:37" x14ac:dyDescent="0.25">
      <c r="H28">
        <v>27</v>
      </c>
      <c r="I28">
        <f t="shared" si="0"/>
        <v>13.145893900288087</v>
      </c>
      <c r="J28" s="53">
        <f t="shared" si="1"/>
        <v>13.282553153010255</v>
      </c>
      <c r="K28" s="53">
        <f t="shared" si="2"/>
        <v>13.00332712389749</v>
      </c>
      <c r="L28" s="53">
        <f t="shared" si="3"/>
        <v>13.166872090212138</v>
      </c>
      <c r="M28" s="53">
        <f>ABS(TablaModelos[[#This Row],[B-S]]-TablaModelos[[#This Row],[CRR]])</f>
        <v>0.13665925272216839</v>
      </c>
      <c r="N28" s="53">
        <f>ABS(TablaModelos[[#This Row],[B-S]]-TablaModelos[[#This Row],[JR]])</f>
        <v>0.14256677639059667</v>
      </c>
      <c r="O28" s="53">
        <f>ABS(TablaModelos[[#This Row],[B-S]]-TablaModelos[[#This Row],[Binomial]])</f>
        <v>2.0978189924051094E-2</v>
      </c>
      <c r="AE28" s="48"/>
      <c r="AF28" s="48"/>
      <c r="AG28" s="48"/>
      <c r="AH28" s="48"/>
      <c r="AI28" s="48"/>
      <c r="AJ28" s="48"/>
      <c r="AK28" s="48"/>
    </row>
    <row r="29" spans="1:37" x14ac:dyDescent="0.25">
      <c r="A29" t="s">
        <v>53</v>
      </c>
      <c r="H29">
        <v>28</v>
      </c>
      <c r="I29">
        <f t="shared" si="0"/>
        <v>13.145893900288087</v>
      </c>
      <c r="J29" s="53">
        <f t="shared" si="1"/>
        <v>13.007478117746983</v>
      </c>
      <c r="K29" s="53">
        <f t="shared" si="2"/>
        <v>13.256607780699207</v>
      </c>
      <c r="L29" s="53">
        <f t="shared" si="3"/>
        <v>13.246647137626322</v>
      </c>
      <c r="M29" s="53">
        <f>ABS(TablaModelos[[#This Row],[B-S]]-TablaModelos[[#This Row],[CRR]])</f>
        <v>0.13841578254110409</v>
      </c>
      <c r="N29" s="53">
        <f>ABS(TablaModelos[[#This Row],[B-S]]-TablaModelos[[#This Row],[JR]])</f>
        <v>0.11071388041112051</v>
      </c>
      <c r="O29" s="53">
        <f>ABS(TablaModelos[[#This Row],[B-S]]-TablaModelos[[#This Row],[Binomial]])</f>
        <v>0.10075323733823538</v>
      </c>
      <c r="AE29" s="48"/>
      <c r="AF29" s="48"/>
      <c r="AG29" s="48"/>
      <c r="AH29" s="48"/>
      <c r="AI29" s="48"/>
      <c r="AJ29" s="48"/>
      <c r="AK29" s="48"/>
    </row>
    <row r="30" spans="1:37" x14ac:dyDescent="0.25">
      <c r="A30" s="44" t="s">
        <v>43</v>
      </c>
      <c r="H30">
        <v>29</v>
      </c>
      <c r="I30">
        <f t="shared" si="0"/>
        <v>13.145893900288087</v>
      </c>
      <c r="J30" s="53">
        <f t="shared" si="1"/>
        <v>13.273094156708597</v>
      </c>
      <c r="K30" s="53">
        <f t="shared" si="2"/>
        <v>13.03186814658519</v>
      </c>
      <c r="L30" s="53">
        <f t="shared" si="3"/>
        <v>13.157179467681535</v>
      </c>
      <c r="M30" s="53">
        <f>ABS(TablaModelos[[#This Row],[B-S]]-TablaModelos[[#This Row],[CRR]])</f>
        <v>0.12720025642050992</v>
      </c>
      <c r="N30" s="53">
        <f>ABS(TablaModelos[[#This Row],[B-S]]-TablaModelos[[#This Row],[JR]])</f>
        <v>0.11402575370289725</v>
      </c>
      <c r="O30" s="53">
        <f>ABS(TablaModelos[[#This Row],[B-S]]-TablaModelos[[#This Row],[Binomial]])</f>
        <v>1.1285567393448659E-2</v>
      </c>
      <c r="AE30" s="48"/>
      <c r="AF30" s="48"/>
      <c r="AG30" s="48"/>
      <c r="AH30" s="48"/>
      <c r="AI30" s="48"/>
      <c r="AJ30" s="48"/>
      <c r="AK30" s="48"/>
    </row>
    <row r="31" spans="1:37" x14ac:dyDescent="0.25">
      <c r="H31">
        <v>30</v>
      </c>
      <c r="I31">
        <f t="shared" si="0"/>
        <v>13.145893900288087</v>
      </c>
      <c r="J31" s="53">
        <f t="shared" si="1"/>
        <v>13.016663949930026</v>
      </c>
      <c r="K31" s="53">
        <f t="shared" si="2"/>
        <v>13.247605573203485</v>
      </c>
      <c r="L31" s="53">
        <f t="shared" si="3"/>
        <v>13.243860006662672</v>
      </c>
      <c r="M31" s="53">
        <f>ABS(TablaModelos[[#This Row],[B-S]]-TablaModelos[[#This Row],[CRR]])</f>
        <v>0.12922995035806117</v>
      </c>
      <c r="N31" s="53">
        <f>ABS(TablaModelos[[#This Row],[B-S]]-TablaModelos[[#This Row],[JR]])</f>
        <v>0.10171167291539795</v>
      </c>
      <c r="O31" s="53">
        <f>ABS(TablaModelos[[#This Row],[B-S]]-TablaModelos[[#This Row],[Binomial]])</f>
        <v>9.7966106374585138E-2</v>
      </c>
      <c r="AE31" s="48"/>
      <c r="AF31" s="48"/>
      <c r="AG31" s="48"/>
      <c r="AH31" s="48"/>
      <c r="AI31" s="48"/>
      <c r="AJ31" s="48"/>
      <c r="AK31" s="48"/>
    </row>
    <row r="32" spans="1:37" x14ac:dyDescent="0.25">
      <c r="H32">
        <v>31</v>
      </c>
      <c r="I32">
        <f t="shared" si="0"/>
        <v>13.145893900288087</v>
      </c>
      <c r="J32" s="53">
        <f t="shared" si="1"/>
        <v>13.26485959216391</v>
      </c>
      <c r="K32" s="53">
        <f t="shared" si="2"/>
        <v>13.055459876903427</v>
      </c>
      <c r="L32" s="53">
        <f t="shared" si="3"/>
        <v>13.148741705405678</v>
      </c>
      <c r="M32" s="53">
        <f>ABS(TablaModelos[[#This Row],[B-S]]-TablaModelos[[#This Row],[CRR]])</f>
        <v>0.11896569187582351</v>
      </c>
      <c r="N32" s="53">
        <f>ABS(TablaModelos[[#This Row],[B-S]]-TablaModelos[[#This Row],[JR]])</f>
        <v>9.0434023384659667E-2</v>
      </c>
      <c r="O32" s="53">
        <f>ABS(TablaModelos[[#This Row],[B-S]]-TablaModelos[[#This Row],[Binomial]])</f>
        <v>2.8478051175913066E-3</v>
      </c>
      <c r="AE32" s="48"/>
      <c r="AF32" s="48"/>
      <c r="AG32" s="48"/>
      <c r="AH32" s="48"/>
      <c r="AI32" s="48"/>
      <c r="AJ32" s="48"/>
      <c r="AK32" s="48"/>
    </row>
    <row r="33" spans="1:37" x14ac:dyDescent="0.25">
      <c r="H33">
        <v>32</v>
      </c>
      <c r="I33">
        <f t="shared" si="0"/>
        <v>13.145893900288087</v>
      </c>
      <c r="J33" s="53">
        <f t="shared" si="1"/>
        <v>13.024706632536294</v>
      </c>
      <c r="K33" s="53">
        <f t="shared" si="2"/>
        <v>13.23916874191686</v>
      </c>
      <c r="L33" s="53">
        <f t="shared" si="3"/>
        <v>13.241054220729954</v>
      </c>
      <c r="M33" s="53">
        <f>ABS(TablaModelos[[#This Row],[B-S]]-TablaModelos[[#This Row],[CRR]])</f>
        <v>0.12118726775179312</v>
      </c>
      <c r="N33" s="53">
        <f>ABS(TablaModelos[[#This Row],[B-S]]-TablaModelos[[#This Row],[JR]])</f>
        <v>9.3274841628772975E-2</v>
      </c>
      <c r="O33" s="53">
        <f>ABS(TablaModelos[[#This Row],[B-S]]-TablaModelos[[#This Row],[Binomial]])</f>
        <v>9.516032044186673E-2</v>
      </c>
      <c r="AE33" s="48"/>
      <c r="AF33" s="48"/>
      <c r="AG33" s="48"/>
      <c r="AH33" s="48"/>
      <c r="AI33" s="48"/>
      <c r="AJ33" s="48"/>
      <c r="AK33" s="48"/>
    </row>
    <row r="34" spans="1:37" x14ac:dyDescent="0.25">
      <c r="H34">
        <v>33</v>
      </c>
      <c r="I34">
        <f t="shared" ref="I34:I65" si="4">bsc($B$4,$B$5,$B$6,$B$9,$B$8,$B$7,$B$2)</f>
        <v>13.145893900288087</v>
      </c>
      <c r="J34" s="53">
        <f t="shared" ref="J34:J65" si="5">CRR($B$4,$B$5,$B$9,$B$6,$B$7,$H34,$B$2)</f>
        <v>13.257626201057256</v>
      </c>
      <c r="K34" s="53">
        <f t="shared" ref="K34:K65" si="6">JR($B$4,$B$5,$B$9,$B$6,$B$7,$B$8,$H34,$B$2)</f>
        <v>13.075113978208002</v>
      </c>
      <c r="L34" s="53">
        <f t="shared" ref="L34:L65" si="7">Binomial($B$4,$B$5,$B$9,$B$6,$B$7,$B$8,$H34,$B$2)</f>
        <v>13.141329963817537</v>
      </c>
      <c r="M34" s="53">
        <f>ABS(TablaModelos[[#This Row],[B-S]]-TablaModelos[[#This Row],[CRR]])</f>
        <v>0.11173230076916951</v>
      </c>
      <c r="N34" s="53">
        <f>ABS(TablaModelos[[#This Row],[B-S]]-TablaModelos[[#This Row],[JR]])</f>
        <v>7.07799220800851E-2</v>
      </c>
      <c r="O34" s="53">
        <f>ABS(TablaModelos[[#This Row],[B-S]]-TablaModelos[[#This Row],[Binomial]])</f>
        <v>4.5639364705500896E-3</v>
      </c>
      <c r="AE34" s="48"/>
      <c r="AF34" s="48"/>
      <c r="AG34" s="48"/>
      <c r="AH34" s="48"/>
      <c r="AI34" s="48"/>
      <c r="AJ34" s="48"/>
      <c r="AK34" s="48"/>
    </row>
    <row r="35" spans="1:37" x14ac:dyDescent="0.25">
      <c r="A35" t="s">
        <v>51</v>
      </c>
      <c r="H35">
        <v>34</v>
      </c>
      <c r="I35">
        <f t="shared" si="4"/>
        <v>13.145893900288087</v>
      </c>
      <c r="J35" s="53">
        <f t="shared" si="5"/>
        <v>13.031807027831503</v>
      </c>
      <c r="K35" s="53">
        <f t="shared" si="6"/>
        <v>13.231246505831061</v>
      </c>
      <c r="L35" s="53">
        <f t="shared" si="7"/>
        <v>13.238265039149574</v>
      </c>
      <c r="M35" s="53">
        <f>ABS(TablaModelos[[#This Row],[B-S]]-TablaModelos[[#This Row],[CRR]])</f>
        <v>0.11408687245658378</v>
      </c>
      <c r="N35" s="53">
        <f>ABS(TablaModelos[[#This Row],[B-S]]-TablaModelos[[#This Row],[JR]])</f>
        <v>8.5352605542974302E-2</v>
      </c>
      <c r="O35" s="53">
        <f>ABS(TablaModelos[[#This Row],[B-S]]-TablaModelos[[#This Row],[Binomial]])</f>
        <v>9.2371138861487623E-2</v>
      </c>
      <c r="AE35" s="48"/>
      <c r="AF35" s="48"/>
      <c r="AG35" s="48"/>
      <c r="AH35" s="48"/>
      <c r="AI35" s="48"/>
      <c r="AJ35" s="48"/>
      <c r="AK35" s="48"/>
    </row>
    <row r="36" spans="1:37" x14ac:dyDescent="0.25">
      <c r="A36" t="s">
        <v>52</v>
      </c>
      <c r="H36">
        <v>35</v>
      </c>
      <c r="I36">
        <f t="shared" si="4"/>
        <v>13.145893900288087</v>
      </c>
      <c r="J36" s="53">
        <f t="shared" si="5"/>
        <v>13.251221885234695</v>
      </c>
      <c r="K36" s="53">
        <f t="shared" si="6"/>
        <v>13.091595711739261</v>
      </c>
      <c r="L36" s="53">
        <f t="shared" si="7"/>
        <v>13.134767849830126</v>
      </c>
      <c r="M36" s="53">
        <f>ABS(TablaModelos[[#This Row],[B-S]]-TablaModelos[[#This Row],[CRR]])</f>
        <v>0.10532798494660867</v>
      </c>
      <c r="N36" s="53">
        <f>ABS(TablaModelos[[#This Row],[B-S]]-TablaModelos[[#This Row],[JR]])</f>
        <v>5.4298188548825621E-2</v>
      </c>
      <c r="O36" s="53">
        <f>ABS(TablaModelos[[#This Row],[B-S]]-TablaModelos[[#This Row],[Binomial]])</f>
        <v>1.1126050457960446E-2</v>
      </c>
      <c r="AE36" s="48"/>
      <c r="AF36" s="48"/>
      <c r="AG36" s="48"/>
      <c r="AH36" s="48"/>
      <c r="AI36" s="48"/>
      <c r="AJ36" s="48"/>
      <c r="AK36" s="48"/>
    </row>
    <row r="37" spans="1:37" x14ac:dyDescent="0.25">
      <c r="H37">
        <v>36</v>
      </c>
      <c r="I37">
        <f t="shared" si="4"/>
        <v>13.145893900288087</v>
      </c>
      <c r="J37" s="53">
        <f t="shared" si="5"/>
        <v>13.038121549775196</v>
      </c>
      <c r="K37" s="53">
        <f t="shared" si="6"/>
        <v>13.223792629721096</v>
      </c>
      <c r="L37" s="53">
        <f t="shared" si="7"/>
        <v>13.235515512425632</v>
      </c>
      <c r="M37" s="53">
        <f>ABS(TablaModelos[[#This Row],[B-S]]-TablaModelos[[#This Row],[CRR]])</f>
        <v>0.10777235051289047</v>
      </c>
      <c r="N37" s="53">
        <f>ABS(TablaModelos[[#This Row],[B-S]]-TablaModelos[[#This Row],[JR]])</f>
        <v>7.789872943300935E-2</v>
      </c>
      <c r="O37" s="53">
        <f>ABS(TablaModelos[[#This Row],[B-S]]-TablaModelos[[#This Row],[Binomial]])</f>
        <v>8.962161213754527E-2</v>
      </c>
      <c r="AE37" s="48"/>
      <c r="AF37" s="48"/>
      <c r="AG37" s="48"/>
      <c r="AH37" s="48"/>
      <c r="AI37" s="48"/>
      <c r="AJ37" s="48"/>
      <c r="AK37" s="48"/>
    </row>
    <row r="38" spans="1:37" x14ac:dyDescent="0.25">
      <c r="H38">
        <v>37</v>
      </c>
      <c r="I38">
        <f t="shared" si="4"/>
        <v>13.145893900288087</v>
      </c>
      <c r="J38" s="53">
        <f t="shared" si="5"/>
        <v>13.245511848176783</v>
      </c>
      <c r="K38" s="53">
        <f t="shared" si="6"/>
        <v>13.10549321222812</v>
      </c>
      <c r="L38" s="53">
        <f t="shared" si="7"/>
        <v>13.128917207922361</v>
      </c>
      <c r="M38" s="53">
        <f>ABS(TablaModelos[[#This Row],[B-S]]-TablaModelos[[#This Row],[CRR]])</f>
        <v>9.9617947888695824E-2</v>
      </c>
      <c r="N38" s="53">
        <f>ABS(TablaModelos[[#This Row],[B-S]]-TablaModelos[[#This Row],[JR]])</f>
        <v>4.0400688059966328E-2</v>
      </c>
      <c r="O38" s="53">
        <f>ABS(TablaModelos[[#This Row],[B-S]]-TablaModelos[[#This Row],[Binomial]])</f>
        <v>1.6976692365725299E-2</v>
      </c>
      <c r="AE38" s="48"/>
      <c r="AF38" s="48"/>
      <c r="AG38" s="48"/>
      <c r="AH38" s="48"/>
      <c r="AI38" s="48"/>
      <c r="AJ38" s="48"/>
      <c r="AK38" s="48"/>
    </row>
    <row r="39" spans="1:37" x14ac:dyDescent="0.25">
      <c r="H39">
        <v>38</v>
      </c>
      <c r="I39">
        <f t="shared" si="4"/>
        <v>13.145893900288087</v>
      </c>
      <c r="J39" s="53">
        <f t="shared" si="5"/>
        <v>13.043773812933445</v>
      </c>
      <c r="K39" s="53">
        <f t="shared" si="6"/>
        <v>13.216765456111744</v>
      </c>
      <c r="L39" s="53">
        <f t="shared" si="7"/>
        <v>13.232820487385039</v>
      </c>
      <c r="M39" s="53">
        <f>ABS(TablaModelos[[#This Row],[B-S]]-TablaModelos[[#This Row],[CRR]])</f>
        <v>0.10212008735464195</v>
      </c>
      <c r="N39" s="53">
        <f>ABS(TablaModelos[[#This Row],[B-S]]-TablaModelos[[#This Row],[JR]])</f>
        <v>7.0871555823657673E-2</v>
      </c>
      <c r="O39" s="53">
        <f>ABS(TablaModelos[[#This Row],[B-S]]-TablaModelos[[#This Row],[Binomial]])</f>
        <v>8.6926587096952446E-2</v>
      </c>
      <c r="AE39" s="48"/>
      <c r="AF39" s="48"/>
      <c r="AG39" s="48"/>
      <c r="AH39" s="48"/>
      <c r="AI39" s="48"/>
      <c r="AJ39" s="48"/>
      <c r="AK39" s="48"/>
    </row>
    <row r="40" spans="1:37" x14ac:dyDescent="0.25">
      <c r="H40">
        <v>39</v>
      </c>
      <c r="I40">
        <f t="shared" si="4"/>
        <v>13.145893900288087</v>
      </c>
      <c r="J40" s="53">
        <f t="shared" si="5"/>
        <v>13.240389009344046</v>
      </c>
      <c r="K40" s="53">
        <f t="shared" si="6"/>
        <v>13.117264877649193</v>
      </c>
      <c r="L40" s="53">
        <f t="shared" si="7"/>
        <v>13.123668292714283</v>
      </c>
      <c r="M40" s="53">
        <f>ABS(TablaModelos[[#This Row],[B-S]]-TablaModelos[[#This Row],[CRR]])</f>
        <v>9.4495109055959148E-2</v>
      </c>
      <c r="N40" s="53">
        <f>ABS(TablaModelos[[#This Row],[B-S]]-TablaModelos[[#This Row],[JR]])</f>
        <v>2.8629022638893886E-2</v>
      </c>
      <c r="O40" s="53">
        <f>ABS(TablaModelos[[#This Row],[B-S]]-TablaModelos[[#This Row],[Binomial]])</f>
        <v>2.222560757380343E-2</v>
      </c>
      <c r="AE40" s="48"/>
      <c r="AF40" s="48"/>
      <c r="AG40" s="48"/>
      <c r="AH40" s="48"/>
      <c r="AI40" s="48"/>
      <c r="AJ40" s="48"/>
      <c r="AK40" s="48"/>
    </row>
    <row r="41" spans="1:37" x14ac:dyDescent="0.25">
      <c r="H41">
        <v>40</v>
      </c>
      <c r="I41">
        <f t="shared" si="4"/>
        <v>13.145893900288087</v>
      </c>
      <c r="J41" s="53">
        <f t="shared" si="5"/>
        <v>13.048862800722086</v>
      </c>
      <c r="K41" s="53">
        <f t="shared" si="6"/>
        <v>13.210127654441719</v>
      </c>
      <c r="L41" s="53">
        <f t="shared" si="7"/>
        <v>13.23018923568911</v>
      </c>
      <c r="M41" s="53">
        <f>ABS(TablaModelos[[#This Row],[B-S]]-TablaModelos[[#This Row],[CRR]])</f>
        <v>9.7031099566001089E-2</v>
      </c>
      <c r="N41" s="53">
        <f>ABS(TablaModelos[[#This Row],[B-S]]-TablaModelos[[#This Row],[JR]])</f>
        <v>6.423375415363175E-2</v>
      </c>
      <c r="O41" s="53">
        <f>ABS(TablaModelos[[#This Row],[B-S]]-TablaModelos[[#This Row],[Binomial]])</f>
        <v>8.4295335401023408E-2</v>
      </c>
      <c r="AE41" s="48"/>
      <c r="AF41" s="48"/>
      <c r="AG41" s="48"/>
      <c r="AH41" s="48"/>
      <c r="AI41" s="48"/>
      <c r="AJ41" s="48"/>
      <c r="AK41" s="48"/>
    </row>
    <row r="42" spans="1:37" x14ac:dyDescent="0.25">
      <c r="H42">
        <v>41</v>
      </c>
      <c r="I42">
        <f t="shared" si="4"/>
        <v>13.145893900288087</v>
      </c>
      <c r="J42" s="53">
        <f t="shared" si="5"/>
        <v>13.235767229683612</v>
      </c>
      <c r="K42" s="53">
        <f t="shared" si="6"/>
        <v>13.127272485720436</v>
      </c>
      <c r="L42" s="53">
        <f t="shared" si="7"/>
        <v>13.118932823966702</v>
      </c>
      <c r="M42" s="53">
        <f>ABS(TablaModelos[[#This Row],[B-S]]-TablaModelos[[#This Row],[CRR]])</f>
        <v>8.9873329395524948E-2</v>
      </c>
      <c r="N42" s="53">
        <f>ABS(TablaModelos[[#This Row],[B-S]]-TablaModelos[[#This Row],[JR]])</f>
        <v>1.8621414567650874E-2</v>
      </c>
      <c r="O42" s="53">
        <f>ABS(TablaModelos[[#This Row],[B-S]]-TablaModelos[[#This Row],[Binomial]])</f>
        <v>2.696107632138478E-2</v>
      </c>
      <c r="AE42" s="48"/>
      <c r="AF42" s="48"/>
      <c r="AG42" s="48"/>
      <c r="AH42" s="48"/>
      <c r="AI42" s="48"/>
      <c r="AJ42" s="48"/>
      <c r="AK42" s="48"/>
    </row>
    <row r="43" spans="1:37" x14ac:dyDescent="0.25">
      <c r="H43">
        <v>42</v>
      </c>
      <c r="I43">
        <f t="shared" si="4"/>
        <v>13.145893900288087</v>
      </c>
      <c r="J43" s="53">
        <f t="shared" si="5"/>
        <v>13.053468708660599</v>
      </c>
      <c r="K43" s="53">
        <f t="shared" si="6"/>
        <v>13.203845852391533</v>
      </c>
      <c r="L43" s="53">
        <f t="shared" si="7"/>
        <v>13.227627209581582</v>
      </c>
      <c r="M43" s="53">
        <f>ABS(TablaModelos[[#This Row],[B-S]]-TablaModelos[[#This Row],[CRR]])</f>
        <v>9.2425191627487635E-2</v>
      </c>
      <c r="N43" s="53">
        <f>ABS(TablaModelos[[#This Row],[B-S]]-TablaModelos[[#This Row],[JR]])</f>
        <v>5.7951952103445947E-2</v>
      </c>
      <c r="O43" s="53">
        <f>ABS(TablaModelos[[#This Row],[B-S]]-TablaModelos[[#This Row],[Binomial]])</f>
        <v>8.1733309293495537E-2</v>
      </c>
      <c r="AE43" s="48"/>
      <c r="AF43" s="48"/>
      <c r="AG43" s="48"/>
      <c r="AH43" s="48"/>
      <c r="AI43" s="48"/>
      <c r="AJ43" s="48"/>
      <c r="AK43" s="48"/>
    </row>
    <row r="44" spans="1:37" x14ac:dyDescent="0.25">
      <c r="H44">
        <v>43</v>
      </c>
      <c r="I44">
        <f t="shared" si="4"/>
        <v>13.145893900288087</v>
      </c>
      <c r="J44" s="53">
        <f t="shared" si="5"/>
        <v>13.231576431377849</v>
      </c>
      <c r="K44" s="53">
        <f t="shared" si="6"/>
        <v>13.135804779214146</v>
      </c>
      <c r="L44" s="53">
        <f t="shared" si="7"/>
        <v>13.114638983726996</v>
      </c>
      <c r="M44" s="53">
        <f>ABS(TablaModelos[[#This Row],[B-S]]-TablaModelos[[#This Row],[CRR]])</f>
        <v>8.5682531089762648E-2</v>
      </c>
      <c r="N44" s="53">
        <f>ABS(TablaModelos[[#This Row],[B-S]]-TablaModelos[[#This Row],[JR]])</f>
        <v>1.0089121073940888E-2</v>
      </c>
      <c r="O44" s="53">
        <f>ABS(TablaModelos[[#This Row],[B-S]]-TablaModelos[[#This Row],[Binomial]])</f>
        <v>3.1254916561090695E-2</v>
      </c>
      <c r="AE44" s="48"/>
      <c r="AF44" s="48"/>
      <c r="AG44" s="48"/>
      <c r="AH44" s="48"/>
      <c r="AI44" s="48"/>
      <c r="AJ44" s="48"/>
      <c r="AK44" s="48"/>
    </row>
    <row r="45" spans="1:37" x14ac:dyDescent="0.25">
      <c r="H45">
        <v>44</v>
      </c>
      <c r="I45">
        <f t="shared" si="4"/>
        <v>13.145893900288087</v>
      </c>
      <c r="J45" s="53">
        <f t="shared" si="5"/>
        <v>13.057657199680094</v>
      </c>
      <c r="K45" s="53">
        <f t="shared" si="6"/>
        <v>13.197890233726485</v>
      </c>
      <c r="L45" s="53">
        <f t="shared" si="7"/>
        <v>13.225137232485636</v>
      </c>
      <c r="M45" s="53">
        <f>ABS(TablaModelos[[#This Row],[B-S]]-TablaModelos[[#This Row],[CRR]])</f>
        <v>8.8236700607993157E-2</v>
      </c>
      <c r="N45" s="53">
        <f>ABS(TablaModelos[[#This Row],[B-S]]-TablaModelos[[#This Row],[JR]])</f>
        <v>5.1996333438397713E-2</v>
      </c>
      <c r="O45" s="53">
        <f>ABS(TablaModelos[[#This Row],[B-S]]-TablaModelos[[#This Row],[Binomial]])</f>
        <v>7.9243332197549421E-2</v>
      </c>
      <c r="AE45" s="48"/>
      <c r="AF45" s="48"/>
      <c r="AG45" s="48"/>
      <c r="AH45" s="48"/>
      <c r="AI45" s="48"/>
      <c r="AJ45" s="48"/>
      <c r="AK45" s="48"/>
    </row>
    <row r="46" spans="1:37" x14ac:dyDescent="0.25">
      <c r="H46">
        <v>45</v>
      </c>
      <c r="I46">
        <f t="shared" si="4"/>
        <v>13.145893900288087</v>
      </c>
      <c r="J46" s="53">
        <f t="shared" si="5"/>
        <v>13.227759021468019</v>
      </c>
      <c r="K46" s="53">
        <f t="shared" si="6"/>
        <v>13.14309455106954</v>
      </c>
      <c r="L46" s="53">
        <f t="shared" si="7"/>
        <v>13.110727750255172</v>
      </c>
      <c r="M46" s="53">
        <f>ABS(TablaModelos[[#This Row],[B-S]]-TablaModelos[[#This Row],[CRR]])</f>
        <v>8.1865121179932387E-2</v>
      </c>
      <c r="N46" s="53">
        <f>ABS(TablaModelos[[#This Row],[B-S]]-TablaModelos[[#This Row],[JR]])</f>
        <v>2.7993492185469648E-3</v>
      </c>
      <c r="O46" s="53">
        <f>ABS(TablaModelos[[#This Row],[B-S]]-TablaModelos[[#This Row],[Binomial]])</f>
        <v>3.5166150032914345E-2</v>
      </c>
      <c r="AE46" s="48"/>
      <c r="AF46" s="48"/>
      <c r="AG46" s="48"/>
      <c r="AH46" s="48"/>
      <c r="AI46" s="48"/>
      <c r="AJ46" s="48"/>
      <c r="AK46" s="48"/>
    </row>
    <row r="47" spans="1:37" x14ac:dyDescent="0.25">
      <c r="H47">
        <v>46</v>
      </c>
      <c r="I47">
        <f t="shared" si="4"/>
        <v>13.145893900288087</v>
      </c>
      <c r="J47" s="53">
        <f t="shared" si="5"/>
        <v>13.061482553089787</v>
      </c>
      <c r="K47" s="53">
        <f t="shared" si="6"/>
        <v>13.192234144575258</v>
      </c>
      <c r="L47" s="53">
        <f t="shared" si="7"/>
        <v>13.222720316766482</v>
      </c>
      <c r="M47" s="53">
        <f>ABS(TablaModelos[[#This Row],[B-S]]-TablaModelos[[#This Row],[CRR]])</f>
        <v>8.441134719829968E-2</v>
      </c>
      <c r="N47" s="53">
        <f>ABS(TablaModelos[[#This Row],[B-S]]-TablaModelos[[#This Row],[JR]])</f>
        <v>4.6340244287170762E-2</v>
      </c>
      <c r="O47" s="53">
        <f>ABS(TablaModelos[[#This Row],[B-S]]-TablaModelos[[#This Row],[Binomial]])</f>
        <v>7.6826416478395387E-2</v>
      </c>
      <c r="AE47" s="48"/>
      <c r="AF47" s="48"/>
      <c r="AG47" s="48"/>
      <c r="AH47" s="48"/>
      <c r="AI47" s="48"/>
      <c r="AJ47" s="48"/>
      <c r="AK47" s="48"/>
    </row>
    <row r="48" spans="1:37" x14ac:dyDescent="0.25">
      <c r="H48">
        <v>47</v>
      </c>
      <c r="I48">
        <f t="shared" si="4"/>
        <v>13.145893900288087</v>
      </c>
      <c r="J48" s="53">
        <f t="shared" si="5"/>
        <v>13.22426723029078</v>
      </c>
      <c r="K48" s="53">
        <f t="shared" si="6"/>
        <v>13.149331211731456</v>
      </c>
      <c r="L48" s="53">
        <f t="shared" si="7"/>
        <v>13.107150169805877</v>
      </c>
      <c r="M48" s="53">
        <f>ABS(TablaModelos[[#This Row],[B-S]]-TablaModelos[[#This Row],[CRR]])</f>
        <v>7.8373330002692754E-2</v>
      </c>
      <c r="N48" s="53">
        <f>ABS(TablaModelos[[#This Row],[B-S]]-TablaModelos[[#This Row],[JR]])</f>
        <v>3.4373114433687846E-3</v>
      </c>
      <c r="O48" s="53">
        <f>ABS(TablaModelos[[#This Row],[B-S]]-TablaModelos[[#This Row],[Binomial]])</f>
        <v>3.8743730482210026E-2</v>
      </c>
      <c r="AE48" s="48"/>
      <c r="AF48" s="48"/>
      <c r="AG48" s="48"/>
      <c r="AH48" s="48"/>
      <c r="AI48" s="48"/>
      <c r="AJ48" s="48"/>
      <c r="AK48" s="48"/>
    </row>
    <row r="49" spans="8:37" x14ac:dyDescent="0.25">
      <c r="H49">
        <v>48</v>
      </c>
      <c r="I49">
        <f t="shared" si="4"/>
        <v>13.145893900288087</v>
      </c>
      <c r="J49" s="53">
        <f t="shared" si="5"/>
        <v>13.064990028819095</v>
      </c>
      <c r="K49" s="53">
        <f t="shared" si="6"/>
        <v>13.186853727587984</v>
      </c>
      <c r="L49" s="53">
        <f t="shared" si="7"/>
        <v>13.22037623145911</v>
      </c>
      <c r="M49" s="53">
        <f>ABS(TablaModelos[[#This Row],[B-S]]-TablaModelos[[#This Row],[CRR]])</f>
        <v>8.090387146899225E-2</v>
      </c>
      <c r="N49" s="53">
        <f>ABS(TablaModelos[[#This Row],[B-S]]-TablaModelos[[#This Row],[JR]])</f>
        <v>4.0959827299897E-2</v>
      </c>
      <c r="O49" s="53">
        <f>ABS(TablaModelos[[#This Row],[B-S]]-TablaModelos[[#This Row],[Binomial]])</f>
        <v>7.4482331171022764E-2</v>
      </c>
      <c r="AE49" s="48"/>
      <c r="AF49" s="48"/>
      <c r="AG49" s="48"/>
      <c r="AH49" s="48"/>
      <c r="AI49" s="48"/>
      <c r="AJ49" s="48"/>
      <c r="AK49" s="48"/>
    </row>
    <row r="50" spans="8:37" x14ac:dyDescent="0.25">
      <c r="H50">
        <v>49</v>
      </c>
      <c r="I50">
        <f t="shared" si="4"/>
        <v>13.145893900288087</v>
      </c>
      <c r="J50" s="53">
        <f t="shared" si="5"/>
        <v>13.221061102901146</v>
      </c>
      <c r="K50" s="53">
        <f t="shared" si="6"/>
        <v>13.154670162427411</v>
      </c>
      <c r="L50" s="53">
        <f t="shared" si="7"/>
        <v>13.103865297816654</v>
      </c>
      <c r="M50" s="53">
        <f>ABS(TablaModelos[[#This Row],[B-S]]-TablaModelos[[#This Row],[CRR]])</f>
        <v>7.5167202613059203E-2</v>
      </c>
      <c r="N50" s="53">
        <f>ABS(TablaModelos[[#This Row],[B-S]]-TablaModelos[[#This Row],[JR]])</f>
        <v>8.7762621393245865E-3</v>
      </c>
      <c r="O50" s="53">
        <f>ABS(TablaModelos[[#This Row],[B-S]]-TablaModelos[[#This Row],[Binomial]])</f>
        <v>4.2028602471432919E-2</v>
      </c>
      <c r="AE50" s="48"/>
      <c r="AF50" s="48"/>
      <c r="AG50" s="48"/>
      <c r="AH50" s="48"/>
      <c r="AI50" s="48"/>
      <c r="AJ50" s="48"/>
      <c r="AK50" s="48"/>
    </row>
    <row r="51" spans="8:37" x14ac:dyDescent="0.25">
      <c r="H51">
        <v>50</v>
      </c>
      <c r="I51">
        <f t="shared" si="4"/>
        <v>13.145893900288087</v>
      </c>
      <c r="J51" s="53">
        <f t="shared" si="5"/>
        <v>13.068217665966255</v>
      </c>
      <c r="K51" s="53">
        <f t="shared" si="6"/>
        <v>13.181727591553512</v>
      </c>
      <c r="L51" s="53">
        <f t="shared" si="7"/>
        <v>13.218103899865838</v>
      </c>
      <c r="M51" s="53">
        <f>ABS(TablaModelos[[#This Row],[B-S]]-TablaModelos[[#This Row],[CRR]])</f>
        <v>7.7676234321831572E-2</v>
      </c>
      <c r="N51" s="53">
        <f>ABS(TablaModelos[[#This Row],[B-S]]-TablaModelos[[#This Row],[JR]])</f>
        <v>3.5833691265425571E-2</v>
      </c>
      <c r="O51" s="53">
        <f>ABS(TablaModelos[[#This Row],[B-S]]-TablaModelos[[#This Row],[Binomial]])</f>
        <v>7.2209999577751205E-2</v>
      </c>
      <c r="AE51" s="48"/>
      <c r="AF51" s="48"/>
      <c r="AG51" s="48"/>
      <c r="AH51" s="48"/>
      <c r="AI51" s="48"/>
      <c r="AJ51" s="48"/>
      <c r="AK51" s="48"/>
    </row>
    <row r="52" spans="8:37" x14ac:dyDescent="0.25">
      <c r="H52">
        <v>51</v>
      </c>
      <c r="I52">
        <f t="shared" si="4"/>
        <v>13.145893900288087</v>
      </c>
      <c r="J52" s="53">
        <f t="shared" si="5"/>
        <v>13.218106963939958</v>
      </c>
      <c r="K52" s="53">
        <f t="shared" si="6"/>
        <v>13.159239874974677</v>
      </c>
      <c r="L52" s="53">
        <f t="shared" si="7"/>
        <v>13.100838625428468</v>
      </c>
      <c r="M52" s="53">
        <f>ABS(TablaModelos[[#This Row],[B-S]]-TablaModelos[[#This Row],[CRR]])</f>
        <v>7.2213063651870968E-2</v>
      </c>
      <c r="N52" s="53">
        <f>ABS(TablaModelos[[#This Row],[B-S]]-TablaModelos[[#This Row],[JR]])</f>
        <v>1.3345974686590267E-2</v>
      </c>
      <c r="O52" s="53">
        <f>ABS(TablaModelos[[#This Row],[B-S]]-TablaModelos[[#This Row],[Binomial]])</f>
        <v>4.5055274859619132E-2</v>
      </c>
      <c r="AE52" s="48"/>
      <c r="AF52" s="48"/>
      <c r="AG52" s="48"/>
      <c r="AH52" s="48"/>
      <c r="AI52" s="48"/>
      <c r="AJ52" s="48"/>
      <c r="AK52" s="48"/>
    </row>
    <row r="53" spans="8:37" x14ac:dyDescent="0.25">
      <c r="H53">
        <v>52</v>
      </c>
      <c r="I53">
        <f t="shared" si="4"/>
        <v>13.145893900288087</v>
      </c>
      <c r="J53" s="53">
        <f t="shared" si="5"/>
        <v>13.071197667504526</v>
      </c>
      <c r="K53" s="53">
        <f t="shared" si="6"/>
        <v>13.176836517916824</v>
      </c>
      <c r="L53" s="53">
        <f t="shared" si="7"/>
        <v>13.215901679906434</v>
      </c>
      <c r="M53" s="53">
        <f>ABS(TablaModelos[[#This Row],[B-S]]-TablaModelos[[#This Row],[CRR]])</f>
        <v>7.4696232783560745E-2</v>
      </c>
      <c r="N53" s="53">
        <f>ABS(TablaModelos[[#This Row],[B-S]]-TablaModelos[[#This Row],[JR]])</f>
        <v>3.0942617628737068E-2</v>
      </c>
      <c r="O53" s="53">
        <f>ABS(TablaModelos[[#This Row],[B-S]]-TablaModelos[[#This Row],[Binomial]])</f>
        <v>7.0007779618347143E-2</v>
      </c>
      <c r="AE53" s="48"/>
      <c r="AF53" s="48"/>
      <c r="AG53" s="48"/>
      <c r="AH53" s="48"/>
      <c r="AI53" s="48"/>
      <c r="AJ53" s="48"/>
      <c r="AK53" s="48"/>
    </row>
    <row r="54" spans="8:37" x14ac:dyDescent="0.25">
      <c r="H54">
        <v>53</v>
      </c>
      <c r="I54">
        <f t="shared" si="4"/>
        <v>13.145893900288087</v>
      </c>
      <c r="J54" s="53">
        <f t="shared" si="5"/>
        <v>13.215376230670151</v>
      </c>
      <c r="K54" s="53">
        <f t="shared" si="6"/>
        <v>13.163147301325854</v>
      </c>
      <c r="L54" s="53">
        <f t="shared" si="7"/>
        <v>13.098040862904092</v>
      </c>
      <c r="M54" s="53">
        <f>ABS(TablaModelos[[#This Row],[B-S]]-TablaModelos[[#This Row],[CRR]])</f>
        <v>6.9482330382063751E-2</v>
      </c>
      <c r="N54" s="53">
        <f>ABS(TablaModelos[[#This Row],[B-S]]-TablaModelos[[#This Row],[JR]])</f>
        <v>1.7253401037766736E-2</v>
      </c>
      <c r="O54" s="53">
        <f>ABS(TablaModelos[[#This Row],[B-S]]-TablaModelos[[#This Row],[Binomial]])</f>
        <v>4.785303738399449E-2</v>
      </c>
      <c r="AE54" s="48"/>
      <c r="AF54" s="48"/>
      <c r="AG54" s="48"/>
      <c r="AH54" s="48"/>
      <c r="AI54" s="48"/>
      <c r="AJ54" s="48"/>
      <c r="AK54" s="48"/>
    </row>
    <row r="55" spans="8:37" x14ac:dyDescent="0.25">
      <c r="H55">
        <v>54</v>
      </c>
      <c r="I55">
        <f t="shared" si="4"/>
        <v>13.145893900288087</v>
      </c>
      <c r="J55" s="53">
        <f t="shared" si="5"/>
        <v>13.07395747812812</v>
      </c>
      <c r="K55" s="53">
        <f t="shared" si="6"/>
        <v>13.172163202580657</v>
      </c>
      <c r="L55" s="53">
        <f t="shared" si="7"/>
        <v>13.213767562748073</v>
      </c>
      <c r="M55" s="53">
        <f>ABS(TablaModelos[[#This Row],[B-S]]-TablaModelos[[#This Row],[CRR]])</f>
        <v>7.193642215996654E-2</v>
      </c>
      <c r="N55" s="53">
        <f>ABS(TablaModelos[[#This Row],[B-S]]-TablaModelos[[#This Row],[JR]])</f>
        <v>2.6269302292570629E-2</v>
      </c>
      <c r="O55" s="53">
        <f>ABS(TablaModelos[[#This Row],[B-S]]-TablaModelos[[#This Row],[Binomial]])</f>
        <v>6.7873662459986051E-2</v>
      </c>
      <c r="AE55" s="48"/>
      <c r="AF55" s="48"/>
      <c r="AG55" s="48"/>
      <c r="AH55" s="48"/>
      <c r="AI55" s="48"/>
      <c r="AJ55" s="48"/>
      <c r="AK55" s="48"/>
    </row>
    <row r="56" spans="8:37" x14ac:dyDescent="0.25">
      <c r="H56">
        <v>55</v>
      </c>
      <c r="I56">
        <f t="shared" si="4"/>
        <v>13.145893900288087</v>
      </c>
      <c r="J56" s="53">
        <f t="shared" si="5"/>
        <v>13.212844485425409</v>
      </c>
      <c r="K56" s="53">
        <f t="shared" si="6"/>
        <v>13.166482050889948</v>
      </c>
      <c r="L56" s="53">
        <f t="shared" si="7"/>
        <v>13.095446988956144</v>
      </c>
      <c r="M56" s="53">
        <f>ABS(TablaModelos[[#This Row],[B-S]]-TablaModelos[[#This Row],[CRR]])</f>
        <v>6.6950585137321994E-2</v>
      </c>
      <c r="N56" s="53">
        <f>ABS(TablaModelos[[#This Row],[B-S]]-TablaModelos[[#This Row],[JR]])</f>
        <v>2.0588150601861699E-2</v>
      </c>
      <c r="O56" s="53">
        <f>ABS(TablaModelos[[#This Row],[B-S]]-TablaModelos[[#This Row],[Binomial]])</f>
        <v>5.0446911331942346E-2</v>
      </c>
      <c r="AE56" s="48"/>
      <c r="AF56" s="48"/>
      <c r="AG56" s="48"/>
      <c r="AH56" s="48"/>
      <c r="AI56" s="48"/>
      <c r="AJ56" s="48"/>
      <c r="AK56" s="48"/>
    </row>
    <row r="57" spans="8:37" x14ac:dyDescent="0.25">
      <c r="H57">
        <v>56</v>
      </c>
      <c r="I57">
        <f t="shared" si="4"/>
        <v>13.145893900288087</v>
      </c>
      <c r="J57" s="53">
        <f t="shared" si="5"/>
        <v>13.076520631746835</v>
      </c>
      <c r="K57" s="53">
        <f t="shared" si="6"/>
        <v>13.167692030013583</v>
      </c>
      <c r="L57" s="53">
        <f t="shared" si="7"/>
        <v>13.211699313923324</v>
      </c>
      <c r="M57" s="53">
        <f>ABS(TablaModelos[[#This Row],[B-S]]-TablaModelos[[#This Row],[CRR]])</f>
        <v>6.9373268541252031E-2</v>
      </c>
      <c r="N57" s="53">
        <f>ABS(TablaModelos[[#This Row],[B-S]]-TablaModelos[[#This Row],[JR]])</f>
        <v>2.1798129725496551E-2</v>
      </c>
      <c r="O57" s="53">
        <f>ABS(TablaModelos[[#This Row],[B-S]]-TablaModelos[[#This Row],[Binomial]])</f>
        <v>6.5805413635237286E-2</v>
      </c>
      <c r="AE57" s="48"/>
      <c r="AF57" s="48"/>
      <c r="AG57" s="48"/>
      <c r="AH57" s="48"/>
      <c r="AI57" s="48"/>
      <c r="AJ57" s="48"/>
      <c r="AK57" s="48"/>
    </row>
    <row r="58" spans="8:37" x14ac:dyDescent="0.25">
      <c r="H58">
        <v>57</v>
      </c>
      <c r="I58">
        <f t="shared" si="4"/>
        <v>13.145893900288087</v>
      </c>
      <c r="J58" s="53">
        <f t="shared" si="5"/>
        <v>13.210490743650624</v>
      </c>
      <c r="K58" s="53">
        <f t="shared" si="6"/>
        <v>13.169319647905427</v>
      </c>
      <c r="L58" s="53">
        <f t="shared" si="7"/>
        <v>13.093035500557884</v>
      </c>
      <c r="M58" s="53">
        <f>ABS(TablaModelos[[#This Row],[B-S]]-TablaModelos[[#This Row],[CRR]])</f>
        <v>6.4596843362537015E-2</v>
      </c>
      <c r="N58" s="53">
        <f>ABS(TablaModelos[[#This Row],[B-S]]-TablaModelos[[#This Row],[JR]])</f>
        <v>2.3425747617340065E-2</v>
      </c>
      <c r="O58" s="53">
        <f>ABS(TablaModelos[[#This Row],[B-S]]-TablaModelos[[#This Row],[Binomial]])</f>
        <v>5.2858399730203232E-2</v>
      </c>
      <c r="AE58" s="48"/>
      <c r="AF58" s="48"/>
      <c r="AG58" s="48"/>
      <c r="AH58" s="48"/>
      <c r="AI58" s="48"/>
      <c r="AJ58" s="48"/>
      <c r="AK58" s="48"/>
    </row>
    <row r="59" spans="8:37" x14ac:dyDescent="0.25">
      <c r="H59">
        <v>58</v>
      </c>
      <c r="I59">
        <f t="shared" si="4"/>
        <v>13.145893900288087</v>
      </c>
      <c r="J59" s="53">
        <f t="shared" si="5"/>
        <v>13.078907424081665</v>
      </c>
      <c r="K59" s="53">
        <f t="shared" si="6"/>
        <v>13.16340887619884</v>
      </c>
      <c r="L59" s="53">
        <f t="shared" si="7"/>
        <v>13.209694573617387</v>
      </c>
      <c r="M59" s="53">
        <f>ABS(TablaModelos[[#This Row],[B-S]]-TablaModelos[[#This Row],[CRR]])</f>
        <v>6.6986476206421841E-2</v>
      </c>
      <c r="N59" s="53">
        <f>ABS(TablaModelos[[#This Row],[B-S]]-TablaModelos[[#This Row],[JR]])</f>
        <v>1.751497591075335E-2</v>
      </c>
      <c r="O59" s="53">
        <f>ABS(TablaModelos[[#This Row],[B-S]]-TablaModelos[[#This Row],[Binomial]])</f>
        <v>6.3800673329300395E-2</v>
      </c>
      <c r="AE59" s="48"/>
      <c r="AF59" s="48"/>
      <c r="AG59" s="48"/>
      <c r="AH59" s="48"/>
      <c r="AI59" s="48"/>
      <c r="AJ59" s="48"/>
      <c r="AK59" s="48"/>
    </row>
    <row r="60" spans="8:37" x14ac:dyDescent="0.25">
      <c r="H60">
        <v>59</v>
      </c>
      <c r="I60">
        <f t="shared" si="4"/>
        <v>13.145893900288087</v>
      </c>
      <c r="J60" s="53">
        <f t="shared" si="5"/>
        <v>13.208296871052175</v>
      </c>
      <c r="K60" s="53">
        <f t="shared" si="6"/>
        <v>13.171724094434012</v>
      </c>
      <c r="L60" s="53">
        <f t="shared" si="7"/>
        <v>13.090787815591082</v>
      </c>
      <c r="M60" s="53">
        <f>ABS(TablaModelos[[#This Row],[B-S]]-TablaModelos[[#This Row],[CRR]])</f>
        <v>6.2402970764088295E-2</v>
      </c>
      <c r="N60" s="53">
        <f>ABS(TablaModelos[[#This Row],[B-S]]-TablaModelos[[#This Row],[JR]])</f>
        <v>2.5830194145925134E-2</v>
      </c>
      <c r="O60" s="53">
        <f>ABS(TablaModelos[[#This Row],[B-S]]-TablaModelos[[#This Row],[Binomial]])</f>
        <v>5.5106084697005286E-2</v>
      </c>
      <c r="AE60" s="48"/>
      <c r="AF60" s="48"/>
      <c r="AG60" s="48"/>
      <c r="AH60" s="48"/>
      <c r="AI60" s="48"/>
      <c r="AJ60" s="48"/>
      <c r="AK60" s="48"/>
    </row>
    <row r="61" spans="8:37" x14ac:dyDescent="0.25">
      <c r="H61">
        <v>60</v>
      </c>
      <c r="I61">
        <f t="shared" si="4"/>
        <v>13.145893900288087</v>
      </c>
      <c r="J61" s="53">
        <f t="shared" si="5"/>
        <v>13.081135451073372</v>
      </c>
      <c r="K61" s="53">
        <f t="shared" si="6"/>
        <v>13.159300936959648</v>
      </c>
      <c r="L61" s="53">
        <f t="shared" si="7"/>
        <v>13.207750927770858</v>
      </c>
      <c r="M61" s="53">
        <f>ABS(TablaModelos[[#This Row],[B-S]]-TablaModelos[[#This Row],[CRR]])</f>
        <v>6.4758449214714631E-2</v>
      </c>
      <c r="N61" s="53">
        <f>ABS(TablaModelos[[#This Row],[B-S]]-TablaModelos[[#This Row],[JR]])</f>
        <v>1.3407036671560846E-2</v>
      </c>
      <c r="O61" s="53">
        <f>ABS(TablaModelos[[#This Row],[B-S]]-TablaModelos[[#This Row],[Binomial]])</f>
        <v>6.1857027482771443E-2</v>
      </c>
      <c r="AE61" s="48"/>
      <c r="AF61" s="48"/>
      <c r="AG61" s="48"/>
      <c r="AH61" s="48"/>
      <c r="AI61" s="48"/>
      <c r="AJ61" s="48"/>
      <c r="AK61" s="48"/>
    </row>
    <row r="62" spans="8:37" x14ac:dyDescent="0.25">
      <c r="H62">
        <v>61</v>
      </c>
      <c r="I62">
        <f t="shared" si="4"/>
        <v>13.145893900288087</v>
      </c>
      <c r="J62" s="53">
        <f t="shared" si="5"/>
        <v>13.20624711558775</v>
      </c>
      <c r="K62" s="53">
        <f t="shared" si="6"/>
        <v>13.17374990389777</v>
      </c>
      <c r="L62" s="53">
        <f t="shared" si="7"/>
        <v>13.088687793198583</v>
      </c>
      <c r="M62" s="53">
        <f>ABS(TablaModelos[[#This Row],[B-S]]-TablaModelos[[#This Row],[CRR]])</f>
        <v>6.0353215299663532E-2</v>
      </c>
      <c r="N62" s="53">
        <f>ABS(TablaModelos[[#This Row],[B-S]]-TablaModelos[[#This Row],[JR]])</f>
        <v>2.78560036096831E-2</v>
      </c>
      <c r="O62" s="53">
        <f>ABS(TablaModelos[[#This Row],[B-S]]-TablaModelos[[#This Row],[Binomial]])</f>
        <v>5.7206107089504243E-2</v>
      </c>
      <c r="AE62" s="48"/>
      <c r="AF62" s="48"/>
      <c r="AG62" s="48"/>
      <c r="AH62" s="48"/>
      <c r="AI62" s="48"/>
      <c r="AJ62" s="48"/>
      <c r="AK62" s="48"/>
    </row>
    <row r="63" spans="8:37" x14ac:dyDescent="0.25">
      <c r="H63">
        <v>62</v>
      </c>
      <c r="I63">
        <f t="shared" si="4"/>
        <v>13.145893900288087</v>
      </c>
      <c r="J63" s="53">
        <f t="shared" si="5"/>
        <v>13.083220043328044</v>
      </c>
      <c r="K63" s="53">
        <f t="shared" si="6"/>
        <v>13.155356578405362</v>
      </c>
      <c r="L63" s="53">
        <f t="shared" si="7"/>
        <v>13.205865958190138</v>
      </c>
      <c r="M63" s="53">
        <f>ABS(TablaModelos[[#This Row],[B-S]]-TablaModelos[[#This Row],[CRR]])</f>
        <v>6.2673856960042684E-2</v>
      </c>
      <c r="N63" s="53">
        <f>ABS(TablaModelos[[#This Row],[B-S]]-TablaModelos[[#This Row],[JR]])</f>
        <v>9.4626781172753027E-3</v>
      </c>
      <c r="O63" s="53">
        <f>ABS(TablaModelos[[#This Row],[B-S]]-TablaModelos[[#This Row],[Binomial]])</f>
        <v>5.997205790205129E-2</v>
      </c>
      <c r="AE63" s="48"/>
      <c r="AF63" s="48"/>
      <c r="AG63" s="48"/>
      <c r="AH63" s="48"/>
      <c r="AI63" s="48"/>
      <c r="AJ63" s="48"/>
      <c r="AK63" s="48"/>
    </row>
    <row r="64" spans="8:37" x14ac:dyDescent="0.25">
      <c r="H64">
        <v>63</v>
      </c>
      <c r="I64">
        <f t="shared" si="4"/>
        <v>13.145893900288087</v>
      </c>
      <c r="J64" s="53">
        <f t="shared" si="5"/>
        <v>13.204327728733318</v>
      </c>
      <c r="K64" s="53">
        <f t="shared" si="6"/>
        <v>13.17544372708535</v>
      </c>
      <c r="L64" s="53">
        <f t="shared" si="7"/>
        <v>13.086721345642518</v>
      </c>
      <c r="M64" s="53">
        <f>ABS(TablaModelos[[#This Row],[B-S]]-TablaModelos[[#This Row],[CRR]])</f>
        <v>5.8433828445231484E-2</v>
      </c>
      <c r="N64" s="53">
        <f>ABS(TablaModelos[[#This Row],[B-S]]-TablaModelos[[#This Row],[JR]])</f>
        <v>2.9549826797262924E-2</v>
      </c>
      <c r="O64" s="53">
        <f>ABS(TablaModelos[[#This Row],[B-S]]-TablaModelos[[#This Row],[Binomial]])</f>
        <v>5.9172554645568809E-2</v>
      </c>
      <c r="AE64" s="48"/>
      <c r="AF64" s="48"/>
      <c r="AG64" s="48"/>
      <c r="AH64" s="48"/>
      <c r="AI64" s="48"/>
      <c r="AJ64" s="48"/>
      <c r="AK64" s="48"/>
    </row>
    <row r="65" spans="8:37" x14ac:dyDescent="0.25">
      <c r="H65">
        <v>64</v>
      </c>
      <c r="I65">
        <f t="shared" si="4"/>
        <v>13.145893900288087</v>
      </c>
      <c r="J65" s="53">
        <f t="shared" si="5"/>
        <v>13.085174619287685</v>
      </c>
      <c r="K65" s="53">
        <f t="shared" si="6"/>
        <v>13.151565206553453</v>
      </c>
      <c r="L65" s="53">
        <f t="shared" si="7"/>
        <v>13.20403727748567</v>
      </c>
      <c r="M65" s="53">
        <f>ABS(TablaModelos[[#This Row],[B-S]]-TablaModelos[[#This Row],[CRR]])</f>
        <v>6.0719281000402248E-2</v>
      </c>
      <c r="N65" s="53">
        <f>ABS(TablaModelos[[#This Row],[B-S]]-TablaModelos[[#This Row],[JR]])</f>
        <v>5.6713062653663826E-3</v>
      </c>
      <c r="O65" s="53">
        <f>ABS(TablaModelos[[#This Row],[B-S]]-TablaModelos[[#This Row],[Binomial]])</f>
        <v>5.814337719758278E-2</v>
      </c>
      <c r="AE65" s="48"/>
      <c r="AF65" s="48"/>
      <c r="AG65" s="48"/>
      <c r="AH65" s="48"/>
      <c r="AI65" s="48"/>
      <c r="AJ65" s="48"/>
      <c r="AK65" s="48"/>
    </row>
    <row r="66" spans="8:37" x14ac:dyDescent="0.25">
      <c r="H66">
        <v>65</v>
      </c>
      <c r="I66">
        <f t="shared" ref="I66:I101" si="8">bsc($B$4,$B$5,$B$6,$B$9,$B$8,$B$7,$B$2)</f>
        <v>13.145893900288087</v>
      </c>
      <c r="J66" s="53">
        <f t="shared" ref="J66:J101" si="9">CRR($B$4,$B$5,$B$9,$B$6,$B$7,$H66,$B$2)</f>
        <v>13.202526656776939</v>
      </c>
      <c r="K66" s="53">
        <f t="shared" ref="K66:K101" si="10">JR($B$4,$B$5,$B$9,$B$6,$B$7,$B$8,$H66,$B$2)</f>
        <v>13.176845661726896</v>
      </c>
      <c r="L66" s="53">
        <f t="shared" ref="L66:L101" si="11">Binomial($B$4,$B$5,$B$9,$B$6,$B$7,$B$8,$H66,$B$2)</f>
        <v>13.088487620765429</v>
      </c>
      <c r="M66" s="53">
        <f>ABS(TablaModelos[[#This Row],[B-S]]-TablaModelos[[#This Row],[CRR]])</f>
        <v>5.6632756488852465E-2</v>
      </c>
      <c r="N66" s="53">
        <f>ABS(TablaModelos[[#This Row],[B-S]]-TablaModelos[[#This Row],[JR]])</f>
        <v>3.0951761438808845E-2</v>
      </c>
      <c r="O66" s="53">
        <f>ABS(TablaModelos[[#This Row],[B-S]]-TablaModelos[[#This Row],[Binomial]])</f>
        <v>5.7406279522657755E-2</v>
      </c>
      <c r="AE66" s="48"/>
      <c r="AF66" s="48"/>
      <c r="AG66" s="48"/>
      <c r="AH66" s="48"/>
      <c r="AI66" s="48"/>
      <c r="AJ66" s="48"/>
      <c r="AK66" s="48"/>
    </row>
    <row r="67" spans="8:37" x14ac:dyDescent="0.25">
      <c r="H67">
        <v>66</v>
      </c>
      <c r="I67">
        <f t="shared" si="8"/>
        <v>13.145893900288087</v>
      </c>
      <c r="J67" s="53">
        <f t="shared" si="9"/>
        <v>13.087010974332225</v>
      </c>
      <c r="K67" s="53">
        <f t="shared" si="10"/>
        <v>13.147917153538875</v>
      </c>
      <c r="L67" s="53">
        <f t="shared" si="11"/>
        <v>13.202262553021683</v>
      </c>
      <c r="M67" s="53">
        <f>ABS(TablaModelos[[#This Row],[B-S]]-TablaModelos[[#This Row],[CRR]])</f>
        <v>5.8882925955861865E-2</v>
      </c>
      <c r="N67" s="53">
        <f>ABS(TablaModelos[[#This Row],[B-S]]-TablaModelos[[#This Row],[JR]])</f>
        <v>2.0232532507886702E-3</v>
      </c>
      <c r="O67" s="53">
        <f>ABS(TablaModelos[[#This Row],[B-S]]-TablaModelos[[#This Row],[Binomial]])</f>
        <v>5.6368652733596036E-2</v>
      </c>
      <c r="AE67" s="48"/>
      <c r="AF67" s="48"/>
      <c r="AG67" s="48"/>
      <c r="AH67" s="48"/>
      <c r="AI67" s="48"/>
      <c r="AJ67" s="48"/>
      <c r="AK67" s="48"/>
    </row>
    <row r="68" spans="8:37" x14ac:dyDescent="0.25">
      <c r="H68">
        <v>67</v>
      </c>
      <c r="I68">
        <f t="shared" si="8"/>
        <v>13.145893900288087</v>
      </c>
      <c r="J68" s="53">
        <f t="shared" si="9"/>
        <v>13.200833287482631</v>
      </c>
      <c r="K68" s="53">
        <f t="shared" si="10"/>
        <v>13.177990314353313</v>
      </c>
      <c r="L68" s="53">
        <f t="shared" si="11"/>
        <v>13.093575908510902</v>
      </c>
      <c r="M68" s="53">
        <f>ABS(TablaModelos[[#This Row],[B-S]]-TablaModelos[[#This Row],[CRR]])</f>
        <v>5.4939387194544054E-2</v>
      </c>
      <c r="N68" s="53">
        <f>ABS(TablaModelos[[#This Row],[B-S]]-TablaModelos[[#This Row],[JR]])</f>
        <v>3.2096414065225787E-2</v>
      </c>
      <c r="O68" s="53">
        <f>ABS(TablaModelos[[#This Row],[B-S]]-TablaModelos[[#This Row],[Binomial]])</f>
        <v>5.2317991777185213E-2</v>
      </c>
      <c r="AE68" s="48"/>
      <c r="AF68" s="48"/>
      <c r="AG68" s="48"/>
      <c r="AH68" s="48"/>
      <c r="AI68" s="48"/>
      <c r="AJ68" s="48"/>
      <c r="AK68" s="48"/>
    </row>
    <row r="69" spans="8:37" x14ac:dyDescent="0.25">
      <c r="H69">
        <v>68</v>
      </c>
      <c r="I69">
        <f t="shared" si="8"/>
        <v>13.145893900288087</v>
      </c>
      <c r="J69" s="53">
        <f t="shared" si="9"/>
        <v>13.088739518967877</v>
      </c>
      <c r="K69" s="53">
        <f t="shared" si="10"/>
        <v>13.144403578130612</v>
      </c>
      <c r="L69" s="53">
        <f t="shared" si="11"/>
        <v>13.200539522870693</v>
      </c>
      <c r="M69" s="53">
        <f>ABS(TablaModelos[[#This Row],[B-S]]-TablaModelos[[#This Row],[CRR]])</f>
        <v>5.7154381320209779E-2</v>
      </c>
      <c r="N69" s="53">
        <f>ABS(TablaModelos[[#This Row],[B-S]]-TablaModelos[[#This Row],[JR]])</f>
        <v>1.4903221574744663E-3</v>
      </c>
      <c r="O69" s="53">
        <f>ABS(TablaModelos[[#This Row],[B-S]]-TablaModelos[[#This Row],[Binomial]])</f>
        <v>5.4645622582606634E-2</v>
      </c>
      <c r="AE69" s="48"/>
      <c r="AF69" s="48"/>
      <c r="AG69" s="48"/>
      <c r="AH69" s="48"/>
      <c r="AI69" s="48"/>
      <c r="AJ69" s="48"/>
      <c r="AK69" s="48"/>
    </row>
    <row r="70" spans="8:37" x14ac:dyDescent="0.25">
      <c r="H70">
        <v>69</v>
      </c>
      <c r="I70">
        <f t="shared" si="8"/>
        <v>13.145893900288087</v>
      </c>
      <c r="J70" s="53">
        <f t="shared" si="9"/>
        <v>13.199238240874955</v>
      </c>
      <c r="K70" s="53">
        <f t="shared" si="10"/>
        <v>13.178907666747049</v>
      </c>
      <c r="L70" s="53">
        <f t="shared" si="11"/>
        <v>13.098273871509292</v>
      </c>
      <c r="M70" s="53">
        <f>ABS(TablaModelos[[#This Row],[B-S]]-TablaModelos[[#This Row],[CRR]])</f>
        <v>5.33443405868681E-2</v>
      </c>
      <c r="N70" s="53">
        <f>ABS(TablaModelos[[#This Row],[B-S]]-TablaModelos[[#This Row],[JR]])</f>
        <v>3.3013766458962479E-2</v>
      </c>
      <c r="O70" s="53">
        <f>ABS(TablaModelos[[#This Row],[B-S]]-TablaModelos[[#This Row],[Binomial]])</f>
        <v>4.7620028778794676E-2</v>
      </c>
      <c r="AE70" s="48"/>
      <c r="AF70" s="48"/>
      <c r="AG70" s="48"/>
      <c r="AH70" s="48"/>
      <c r="AI70" s="48"/>
      <c r="AJ70" s="48"/>
      <c r="AK70" s="48"/>
    </row>
    <row r="71" spans="8:37" x14ac:dyDescent="0.25">
      <c r="H71">
        <v>70</v>
      </c>
      <c r="I71">
        <f t="shared" si="8"/>
        <v>13.145893900288087</v>
      </c>
      <c r="J71" s="53">
        <f t="shared" si="9"/>
        <v>13.090369476270517</v>
      </c>
      <c r="K71" s="53">
        <f t="shared" si="10"/>
        <v>13.141016378605885</v>
      </c>
      <c r="L71" s="53">
        <f t="shared" si="11"/>
        <v>13.198866005971134</v>
      </c>
      <c r="M71" s="53">
        <f>ABS(TablaModelos[[#This Row],[B-S]]-TablaModelos[[#This Row],[CRR]])</f>
        <v>5.5524424017569629E-2</v>
      </c>
      <c r="N71" s="53">
        <f>ABS(TablaModelos[[#This Row],[B-S]]-TablaModelos[[#This Row],[JR]])</f>
        <v>4.8775216822019019E-3</v>
      </c>
      <c r="O71" s="53">
        <f>ABS(TablaModelos[[#This Row],[B-S]]-TablaModelos[[#This Row],[Binomial]])</f>
        <v>5.2972105683046777E-2</v>
      </c>
      <c r="AE71" s="48"/>
      <c r="AF71" s="48"/>
      <c r="AG71" s="48"/>
      <c r="AH71" s="48"/>
      <c r="AI71" s="48"/>
      <c r="AJ71" s="48"/>
      <c r="AK71" s="48"/>
    </row>
    <row r="72" spans="8:37" x14ac:dyDescent="0.25">
      <c r="H72">
        <v>71</v>
      </c>
      <c r="I72">
        <f t="shared" si="8"/>
        <v>13.145893900288087</v>
      </c>
      <c r="J72" s="53">
        <f t="shared" si="9"/>
        <v>13.197733195430786</v>
      </c>
      <c r="K72" s="53">
        <f t="shared" si="10"/>
        <v>13.179623787140947</v>
      </c>
      <c r="L72" s="53">
        <f t="shared" si="11"/>
        <v>13.102618239796067</v>
      </c>
      <c r="M72" s="53">
        <f>ABS(TablaModelos[[#This Row],[B-S]]-TablaModelos[[#This Row],[CRR]])</f>
        <v>5.1839295142698916E-2</v>
      </c>
      <c r="N72" s="53">
        <f>ABS(TablaModelos[[#This Row],[B-S]]-TablaModelos[[#This Row],[JR]])</f>
        <v>3.3729886852860602E-2</v>
      </c>
      <c r="O72" s="53">
        <f>ABS(TablaModelos[[#This Row],[B-S]]-TablaModelos[[#This Row],[Binomial]])</f>
        <v>4.3275660492019696E-2</v>
      </c>
      <c r="AE72" s="48"/>
      <c r="AF72" s="48"/>
      <c r="AG72" s="48"/>
      <c r="AH72" s="48"/>
      <c r="AI72" s="48"/>
      <c r="AJ72" s="48"/>
      <c r="AK72" s="48"/>
    </row>
    <row r="73" spans="8:37" x14ac:dyDescent="0.25">
      <c r="H73">
        <v>72</v>
      </c>
      <c r="I73">
        <f t="shared" si="8"/>
        <v>13.145893900288087</v>
      </c>
      <c r="J73" s="53">
        <f t="shared" si="9"/>
        <v>13.091909046484396</v>
      </c>
      <c r="K73" s="53">
        <f t="shared" si="10"/>
        <v>13.13774811628905</v>
      </c>
      <c r="L73" s="53">
        <f t="shared" si="11"/>
        <v>13.197239908073776</v>
      </c>
      <c r="M73" s="53">
        <f>ABS(TablaModelos[[#This Row],[B-S]]-TablaModelos[[#This Row],[CRR]])</f>
        <v>5.3984853803690669E-2</v>
      </c>
      <c r="N73" s="53">
        <f>ABS(TablaModelos[[#This Row],[B-S]]-TablaModelos[[#This Row],[JR]])</f>
        <v>8.1457839990370928E-3</v>
      </c>
      <c r="O73" s="53">
        <f>ABS(TablaModelos[[#This Row],[B-S]]-TablaModelos[[#This Row],[Binomial]])</f>
        <v>5.1346007785689096E-2</v>
      </c>
      <c r="AE73" s="48"/>
      <c r="AF73" s="48"/>
      <c r="AG73" s="48"/>
      <c r="AH73" s="48"/>
      <c r="AI73" s="48"/>
      <c r="AJ73" s="48"/>
      <c r="AK73" s="48"/>
    </row>
    <row r="74" spans="8:37" x14ac:dyDescent="0.25">
      <c r="H74">
        <v>73</v>
      </c>
      <c r="I74">
        <f t="shared" si="8"/>
        <v>13.145893900288087</v>
      </c>
      <c r="J74" s="53">
        <f t="shared" si="9"/>
        <v>13.196310742886503</v>
      </c>
      <c r="K74" s="53">
        <f t="shared" si="10"/>
        <v>13.180161417245477</v>
      </c>
      <c r="L74" s="53">
        <f t="shared" si="11"/>
        <v>13.106641484235823</v>
      </c>
      <c r="M74" s="53">
        <f>ABS(TablaModelos[[#This Row],[B-S]]-TablaModelos[[#This Row],[CRR]])</f>
        <v>5.0416842598416167E-2</v>
      </c>
      <c r="N74" s="53">
        <f>ABS(TablaModelos[[#This Row],[B-S]]-TablaModelos[[#This Row],[JR]])</f>
        <v>3.4267516957390498E-2</v>
      </c>
      <c r="O74" s="53">
        <f>ABS(TablaModelos[[#This Row],[B-S]]-TablaModelos[[#This Row],[Binomial]])</f>
        <v>3.9252416052264039E-2</v>
      </c>
      <c r="AE74" s="48"/>
      <c r="AF74" s="48"/>
      <c r="AG74" s="48"/>
      <c r="AH74" s="48"/>
      <c r="AI74" s="48"/>
      <c r="AJ74" s="48"/>
      <c r="AK74" s="48"/>
    </row>
    <row r="75" spans="8:37" x14ac:dyDescent="0.25">
      <c r="H75">
        <v>74</v>
      </c>
      <c r="I75">
        <f t="shared" si="8"/>
        <v>13.145893900288087</v>
      </c>
      <c r="J75" s="53">
        <f t="shared" si="9"/>
        <v>13.093365544982884</v>
      </c>
      <c r="K75" s="53">
        <f t="shared" si="10"/>
        <v>13.134591948309348</v>
      </c>
      <c r="L75" s="53">
        <f t="shared" si="11"/>
        <v>13.195659224646894</v>
      </c>
      <c r="M75" s="53">
        <f>ABS(TablaModelos[[#This Row],[B-S]]-TablaModelos[[#This Row],[CRR]])</f>
        <v>5.2528355305202723E-2</v>
      </c>
      <c r="N75" s="53">
        <f>ABS(TablaModelos[[#This Row],[B-S]]-TablaModelos[[#This Row],[JR]])</f>
        <v>1.1301951978738956E-2</v>
      </c>
      <c r="O75" s="53">
        <f>ABS(TablaModelos[[#This Row],[B-S]]-TablaModelos[[#This Row],[Binomial]])</f>
        <v>4.9765324358807206E-2</v>
      </c>
      <c r="AE75" s="48"/>
      <c r="AF75" s="48"/>
      <c r="AG75" s="48"/>
      <c r="AH75" s="48"/>
      <c r="AI75" s="48"/>
      <c r="AJ75" s="48"/>
      <c r="AK75" s="48"/>
    </row>
    <row r="76" spans="8:37" x14ac:dyDescent="0.25">
      <c r="H76">
        <v>75</v>
      </c>
      <c r="I76">
        <f t="shared" si="8"/>
        <v>13.145893900288087</v>
      </c>
      <c r="J76" s="53">
        <f t="shared" si="9"/>
        <v>13.194964266301222</v>
      </c>
      <c r="K76" s="53">
        <f t="shared" si="10"/>
        <v>13.180540459318115</v>
      </c>
      <c r="L76" s="53">
        <f t="shared" si="11"/>
        <v>13.110372403951462</v>
      </c>
      <c r="M76" s="53">
        <f>ABS(TablaModelos[[#This Row],[B-S]]-TablaModelos[[#This Row],[CRR]])</f>
        <v>4.9070366013134858E-2</v>
      </c>
      <c r="N76" s="53">
        <f>ABS(TablaModelos[[#This Row],[B-S]]-TablaModelos[[#This Row],[JR]])</f>
        <v>3.4646559030028001E-2</v>
      </c>
      <c r="O76" s="53">
        <f>ABS(TablaModelos[[#This Row],[B-S]]-TablaModelos[[#This Row],[Binomial]])</f>
        <v>3.5521496336624381E-2</v>
      </c>
      <c r="AE76" s="48"/>
      <c r="AF76" s="48"/>
      <c r="AG76" s="48"/>
      <c r="AH76" s="48"/>
      <c r="AI76" s="48"/>
      <c r="AJ76" s="48"/>
      <c r="AK76" s="48"/>
    </row>
    <row r="77" spans="8:37" x14ac:dyDescent="0.25">
      <c r="H77">
        <v>76</v>
      </c>
      <c r="I77">
        <f t="shared" si="8"/>
        <v>13.145893900288087</v>
      </c>
      <c r="J77" s="53">
        <f t="shared" si="9"/>
        <v>13.094745518484473</v>
      </c>
      <c r="K77" s="53">
        <f t="shared" si="10"/>
        <v>13.131541568336631</v>
      </c>
      <c r="L77" s="53">
        <f t="shared" si="11"/>
        <v>13.194122041598353</v>
      </c>
      <c r="M77" s="53">
        <f>ABS(TablaModelos[[#This Row],[B-S]]-TablaModelos[[#This Row],[CRR]])</f>
        <v>5.1148381803614029E-2</v>
      </c>
      <c r="N77" s="53">
        <f>ABS(TablaModelos[[#This Row],[B-S]]-TablaModelos[[#This Row],[JR]])</f>
        <v>1.4352331951455355E-2</v>
      </c>
      <c r="O77" s="53">
        <f>ABS(TablaModelos[[#This Row],[B-S]]-TablaModelos[[#This Row],[Binomial]])</f>
        <v>4.8228141310266537E-2</v>
      </c>
      <c r="AE77" s="48"/>
      <c r="AF77" s="48"/>
      <c r="AG77" s="48"/>
      <c r="AH77" s="48"/>
      <c r="AI77" s="48"/>
      <c r="AJ77" s="48"/>
      <c r="AK77" s="48"/>
    </row>
    <row r="78" spans="8:37" x14ac:dyDescent="0.25">
      <c r="H78">
        <v>77</v>
      </c>
      <c r="I78">
        <f t="shared" si="8"/>
        <v>13.145893900288087</v>
      </c>
      <c r="J78" s="53">
        <f t="shared" si="9"/>
        <v>13.193687837152117</v>
      </c>
      <c r="K78" s="53">
        <f t="shared" si="10"/>
        <v>13.180778382304005</v>
      </c>
      <c r="L78" s="53">
        <f t="shared" si="11"/>
        <v>13.113836620209419</v>
      </c>
      <c r="M78" s="53">
        <f>ABS(TablaModelos[[#This Row],[B-S]]-TablaModelos[[#This Row],[CRR]])</f>
        <v>4.7793936864030329E-2</v>
      </c>
      <c r="N78" s="53">
        <f>ABS(TablaModelos[[#This Row],[B-S]]-TablaModelos[[#This Row],[JR]])</f>
        <v>3.488448201591865E-2</v>
      </c>
      <c r="O78" s="53">
        <f>ABS(TablaModelos[[#This Row],[B-S]]-TablaModelos[[#This Row],[Binomial]])</f>
        <v>3.2057280078667816E-2</v>
      </c>
      <c r="AE78" s="48"/>
      <c r="AF78" s="48"/>
      <c r="AG78" s="48"/>
      <c r="AH78" s="48"/>
      <c r="AI78" s="48"/>
      <c r="AJ78" s="48"/>
      <c r="AK78" s="48"/>
    </row>
    <row r="79" spans="8:37" x14ac:dyDescent="0.25">
      <c r="H79">
        <v>78</v>
      </c>
      <c r="I79">
        <f t="shared" si="8"/>
        <v>13.145893900288087</v>
      </c>
      <c r="J79" s="53">
        <f t="shared" si="9"/>
        <v>13.096054843421966</v>
      </c>
      <c r="K79" s="53">
        <f t="shared" si="10"/>
        <v>13.128591154235123</v>
      </c>
      <c r="L79" s="53">
        <f t="shared" si="11"/>
        <v>13.19262653444974</v>
      </c>
      <c r="M79" s="53">
        <f>ABS(TablaModelos[[#This Row],[B-S]]-TablaModelos[[#This Row],[CRR]])</f>
        <v>4.9839056866121112E-2</v>
      </c>
      <c r="N79" s="53">
        <f>ABS(TablaModelos[[#This Row],[B-S]]-TablaModelos[[#This Row],[JR]])</f>
        <v>1.7302746052964224E-2</v>
      </c>
      <c r="O79" s="53">
        <f>ABS(TablaModelos[[#This Row],[B-S]]-TablaModelos[[#This Row],[Binomial]])</f>
        <v>4.6732634161653408E-2</v>
      </c>
      <c r="AE79" s="48"/>
      <c r="AF79" s="48"/>
      <c r="AG79" s="48"/>
      <c r="AH79" s="48"/>
      <c r="AI79" s="48"/>
      <c r="AJ79" s="48"/>
      <c r="AK79" s="48"/>
    </row>
    <row r="80" spans="8:37" x14ac:dyDescent="0.25">
      <c r="H80">
        <v>79</v>
      </c>
      <c r="I80">
        <f t="shared" si="8"/>
        <v>13.145893900288087</v>
      </c>
      <c r="J80" s="53">
        <f t="shared" si="9"/>
        <v>13.192476128076516</v>
      </c>
      <c r="K80" s="53">
        <f t="shared" si="10"/>
        <v>13.180890562069621</v>
      </c>
      <c r="L80" s="53">
        <f t="shared" si="11"/>
        <v>13.117056993567175</v>
      </c>
      <c r="M80" s="53">
        <f>ABS(TablaModelos[[#This Row],[B-S]]-TablaModelos[[#This Row],[CRR]])</f>
        <v>4.6582227788428909E-2</v>
      </c>
      <c r="N80" s="53">
        <f>ABS(TablaModelos[[#This Row],[B-S]]-TablaModelos[[#This Row],[JR]])</f>
        <v>3.4996661781534044E-2</v>
      </c>
      <c r="O80" s="53">
        <f>ABS(TablaModelos[[#This Row],[B-S]]-TablaModelos[[#This Row],[Binomial]])</f>
        <v>2.883690672091177E-2</v>
      </c>
      <c r="AE80" s="48"/>
      <c r="AF80" s="48"/>
      <c r="AG80" s="48"/>
      <c r="AH80" s="48"/>
      <c r="AI80" s="48"/>
      <c r="AJ80" s="48"/>
      <c r="AK80" s="48"/>
    </row>
    <row r="81" spans="8:37" x14ac:dyDescent="0.25">
      <c r="H81">
        <v>80</v>
      </c>
      <c r="I81">
        <f t="shared" si="8"/>
        <v>13.145893900288087</v>
      </c>
      <c r="J81" s="53">
        <f t="shared" si="9"/>
        <v>13.097298809586304</v>
      </c>
      <c r="K81" s="53">
        <f t="shared" si="10"/>
        <v>13.125735321728893</v>
      </c>
      <c r="L81" s="53">
        <f t="shared" si="11"/>
        <v>13.1911709664311</v>
      </c>
      <c r="M81" s="53">
        <f>ABS(TablaModelos[[#This Row],[B-S]]-TablaModelos[[#This Row],[CRR]])</f>
        <v>4.8595090701782695E-2</v>
      </c>
      <c r="N81" s="53">
        <f>ABS(TablaModelos[[#This Row],[B-S]]-TablaModelos[[#This Row],[JR]])</f>
        <v>2.0158578559193785E-2</v>
      </c>
      <c r="O81" s="53">
        <f>ABS(TablaModelos[[#This Row],[B-S]]-TablaModelos[[#This Row],[Binomial]])</f>
        <v>4.52770661430133E-2</v>
      </c>
      <c r="AE81" s="48"/>
      <c r="AF81" s="48"/>
      <c r="AG81" s="48"/>
      <c r="AH81" s="48"/>
      <c r="AI81" s="48"/>
      <c r="AJ81" s="48"/>
      <c r="AK81" s="48"/>
    </row>
    <row r="82" spans="8:37" x14ac:dyDescent="0.25">
      <c r="H82">
        <v>81</v>
      </c>
      <c r="I82">
        <f t="shared" si="8"/>
        <v>13.145893900288087</v>
      </c>
      <c r="J82" s="53">
        <f t="shared" si="9"/>
        <v>13.191324338561994</v>
      </c>
      <c r="K82" s="53">
        <f t="shared" si="10"/>
        <v>13.180890567691938</v>
      </c>
      <c r="L82" s="53">
        <f t="shared" si="11"/>
        <v>13.120053977756184</v>
      </c>
      <c r="M82" s="53">
        <f>ABS(TablaModelos[[#This Row],[B-S]]-TablaModelos[[#This Row],[CRR]])</f>
        <v>4.543043827390747E-2</v>
      </c>
      <c r="N82" s="53">
        <f>ABS(TablaModelos[[#This Row],[B-S]]-TablaModelos[[#This Row],[JR]])</f>
        <v>3.4996667403850878E-2</v>
      </c>
      <c r="O82" s="53">
        <f>ABS(TablaModelos[[#This Row],[B-S]]-TablaModelos[[#This Row],[Binomial]])</f>
        <v>2.5839922531902815E-2</v>
      </c>
      <c r="AE82" s="48"/>
      <c r="AF82" s="48"/>
      <c r="AG82" s="48"/>
      <c r="AH82" s="48"/>
      <c r="AI82" s="48"/>
      <c r="AJ82" s="48"/>
      <c r="AK82" s="48"/>
    </row>
    <row r="83" spans="8:37" x14ac:dyDescent="0.25">
      <c r="H83">
        <v>82</v>
      </c>
      <c r="I83">
        <f t="shared" si="8"/>
        <v>13.145893900288087</v>
      </c>
      <c r="J83" s="53">
        <f t="shared" si="9"/>
        <v>13.098482191543351</v>
      </c>
      <c r="K83" s="53">
        <f t="shared" si="10"/>
        <v>13.122969083289215</v>
      </c>
      <c r="L83" s="53">
        <f t="shared" si="11"/>
        <v>13.189753685833837</v>
      </c>
      <c r="M83" s="53">
        <f>ABS(TablaModelos[[#This Row],[B-S]]-TablaModelos[[#This Row],[CRR]])</f>
        <v>4.7411708744736103E-2</v>
      </c>
      <c r="N83" s="53">
        <f>ABS(TablaModelos[[#This Row],[B-S]]-TablaModelos[[#This Row],[JR]])</f>
        <v>2.2924816998871833E-2</v>
      </c>
      <c r="O83" s="53">
        <f>ABS(TablaModelos[[#This Row],[B-S]]-TablaModelos[[#This Row],[Binomial]])</f>
        <v>4.385978554575054E-2</v>
      </c>
      <c r="AE83" s="48"/>
      <c r="AF83" s="48"/>
      <c r="AG83" s="48"/>
      <c r="AH83" s="48"/>
      <c r="AI83" s="48"/>
      <c r="AJ83" s="48"/>
      <c r="AK83" s="48"/>
    </row>
    <row r="84" spans="8:37" x14ac:dyDescent="0.25">
      <c r="H84">
        <v>83</v>
      </c>
      <c r="I84">
        <f t="shared" si="8"/>
        <v>13.145893900288087</v>
      </c>
      <c r="J84" s="53">
        <f t="shared" si="9"/>
        <v>13.190228131389977</v>
      </c>
      <c r="K84" s="53">
        <f t="shared" si="10"/>
        <v>13.180790403359598</v>
      </c>
      <c r="L84" s="53">
        <f t="shared" si="11"/>
        <v>13.1228459211342</v>
      </c>
      <c r="M84" s="53">
        <f>ABS(TablaModelos[[#This Row],[B-S]]-TablaModelos[[#This Row],[CRR]])</f>
        <v>4.4334231101890609E-2</v>
      </c>
      <c r="N84" s="53">
        <f>ABS(TablaModelos[[#This Row],[B-S]]-TablaModelos[[#This Row],[JR]])</f>
        <v>3.4896503071511376E-2</v>
      </c>
      <c r="O84" s="53">
        <f>ABS(TablaModelos[[#This Row],[B-S]]-TablaModelos[[#This Row],[Binomial]])</f>
        <v>2.3047979153886899E-2</v>
      </c>
      <c r="AE84" s="48"/>
      <c r="AF84" s="48"/>
      <c r="AG84" s="48"/>
      <c r="AH84" s="48"/>
      <c r="AI84" s="48"/>
      <c r="AJ84" s="48"/>
      <c r="AK84" s="48"/>
    </row>
    <row r="85" spans="8:37" x14ac:dyDescent="0.25">
      <c r="H85">
        <v>84</v>
      </c>
      <c r="I85">
        <f t="shared" si="8"/>
        <v>13.145893900288087</v>
      </c>
      <c r="J85" s="53">
        <f t="shared" si="9"/>
        <v>13.099609309874268</v>
      </c>
      <c r="K85" s="53">
        <f t="shared" si="10"/>
        <v>13.120287811589977</v>
      </c>
      <c r="L85" s="53">
        <f t="shared" si="11"/>
        <v>13.188373122890832</v>
      </c>
      <c r="M85" s="53">
        <f>ABS(TablaModelos[[#This Row],[B-S]]-TablaModelos[[#This Row],[CRR]])</f>
        <v>4.628459041381916E-2</v>
      </c>
      <c r="N85" s="53">
        <f>ABS(TablaModelos[[#This Row],[B-S]]-TablaModelos[[#This Row],[JR]])</f>
        <v>2.5606088698109986E-2</v>
      </c>
      <c r="O85" s="53">
        <f>ABS(TablaModelos[[#This Row],[B-S]]-TablaModelos[[#This Row],[Binomial]])</f>
        <v>4.2479222602745281E-2</v>
      </c>
      <c r="AE85" s="48"/>
      <c r="AF85" s="48"/>
      <c r="AG85" s="48"/>
      <c r="AH85" s="48"/>
      <c r="AI85" s="48"/>
      <c r="AJ85" s="48"/>
      <c r="AK85" s="48"/>
    </row>
    <row r="86" spans="8:37" x14ac:dyDescent="0.25">
      <c r="H86">
        <v>85</v>
      </c>
      <c r="I86">
        <f t="shared" si="8"/>
        <v>13.145893900288087</v>
      </c>
      <c r="J86" s="53">
        <f t="shared" si="9"/>
        <v>13.189183578063281</v>
      </c>
      <c r="K86" s="53">
        <f t="shared" si="10"/>
        <v>13.180600713579256</v>
      </c>
      <c r="L86" s="53">
        <f t="shared" si="11"/>
        <v>13.125449324485556</v>
      </c>
      <c r="M86" s="53">
        <f>ABS(TablaModelos[[#This Row],[B-S]]-TablaModelos[[#This Row],[CRR]])</f>
        <v>4.328967777519388E-2</v>
      </c>
      <c r="N86" s="53">
        <f>ABS(TablaModelos[[#This Row],[B-S]]-TablaModelos[[#This Row],[JR]])</f>
        <v>3.4706813291169425E-2</v>
      </c>
      <c r="O86" s="53">
        <f>ABS(TablaModelos[[#This Row],[B-S]]-TablaModelos[[#This Row],[Binomial]])</f>
        <v>2.0444575802530451E-2</v>
      </c>
      <c r="AE86" s="48"/>
      <c r="AF86" s="48"/>
      <c r="AG86" s="48"/>
      <c r="AH86" s="48"/>
      <c r="AI86" s="48"/>
      <c r="AJ86" s="48"/>
      <c r="AK86" s="48"/>
    </row>
    <row r="87" spans="8:37" x14ac:dyDescent="0.25">
      <c r="H87">
        <v>86</v>
      </c>
      <c r="I87">
        <f t="shared" si="8"/>
        <v>13.145893900288087</v>
      </c>
      <c r="J87" s="53">
        <f t="shared" si="9"/>
        <v>13.100684083876192</v>
      </c>
      <c r="K87" s="53">
        <f t="shared" si="10"/>
        <v>13.117687206941383</v>
      </c>
      <c r="L87" s="53">
        <f t="shared" si="11"/>
        <v>13.187027786354411</v>
      </c>
      <c r="M87" s="53">
        <f>ABS(TablaModelos[[#This Row],[B-S]]-TablaModelos[[#This Row],[CRR]])</f>
        <v>4.5209816411894366E-2</v>
      </c>
      <c r="N87" s="53">
        <f>ABS(TablaModelos[[#This Row],[B-S]]-TablaModelos[[#This Row],[JR]])</f>
        <v>2.820669334670356E-2</v>
      </c>
      <c r="O87" s="53">
        <f>ABS(TablaModelos[[#This Row],[B-S]]-TablaModelos[[#This Row],[Binomial]])</f>
        <v>4.1133886066324621E-2</v>
      </c>
      <c r="AE87" s="48"/>
      <c r="AF87" s="48"/>
      <c r="AG87" s="48"/>
      <c r="AH87" s="48"/>
      <c r="AI87" s="48"/>
      <c r="AJ87" s="48"/>
      <c r="AK87" s="48"/>
    </row>
    <row r="88" spans="8:37" x14ac:dyDescent="0.25">
      <c r="H88">
        <v>87</v>
      </c>
      <c r="I88">
        <f t="shared" si="8"/>
        <v>13.145893900288087</v>
      </c>
      <c r="J88" s="53">
        <f t="shared" si="9"/>
        <v>13.188187111769993</v>
      </c>
      <c r="K88" s="53">
        <f t="shared" si="10"/>
        <v>13.180330957913306</v>
      </c>
      <c r="L88" s="53">
        <f t="shared" si="11"/>
        <v>13.127879062321165</v>
      </c>
      <c r="M88" s="53">
        <f>ABS(TablaModelos[[#This Row],[B-S]]-TablaModelos[[#This Row],[CRR]])</f>
        <v>4.2293211481906567E-2</v>
      </c>
      <c r="N88" s="53">
        <f>ABS(TablaModelos[[#This Row],[B-S]]-TablaModelos[[#This Row],[JR]])</f>
        <v>3.443705762521887E-2</v>
      </c>
      <c r="O88" s="53">
        <f>ABS(TablaModelos[[#This Row],[B-S]]-TablaModelos[[#This Row],[Binomial]])</f>
        <v>1.8014837966921604E-2</v>
      </c>
      <c r="AE88" s="48"/>
      <c r="AF88" s="48"/>
      <c r="AG88" s="48"/>
      <c r="AH88" s="48"/>
      <c r="AI88" s="48"/>
      <c r="AJ88" s="48"/>
      <c r="AK88" s="48"/>
    </row>
    <row r="89" spans="8:37" x14ac:dyDescent="0.25">
      <c r="H89">
        <v>88</v>
      </c>
      <c r="I89">
        <f t="shared" si="8"/>
        <v>13.145893900288087</v>
      </c>
      <c r="J89" s="53">
        <f t="shared" si="9"/>
        <v>13.101710077093053</v>
      </c>
      <c r="K89" s="53">
        <f t="shared" si="10"/>
        <v>13.115163268216982</v>
      </c>
      <c r="L89" s="53">
        <f t="shared" si="11"/>
        <v>13.185716259924448</v>
      </c>
      <c r="M89" s="53">
        <f>ABS(TablaModelos[[#This Row],[B-S]]-TablaModelos[[#This Row],[CRR]])</f>
        <v>4.4183823195034222E-2</v>
      </c>
      <c r="N89" s="53">
        <f>ABS(TablaModelos[[#This Row],[B-S]]-TablaModelos[[#This Row],[JR]])</f>
        <v>3.0730632071104935E-2</v>
      </c>
      <c r="O89" s="53">
        <f>ABS(TablaModelos[[#This Row],[B-S]]-TablaModelos[[#This Row],[Binomial]])</f>
        <v>3.9822359636360716E-2</v>
      </c>
      <c r="AE89" s="48"/>
      <c r="AF89" s="48"/>
      <c r="AG89" s="48"/>
      <c r="AH89" s="48"/>
      <c r="AI89" s="48"/>
      <c r="AJ89" s="48"/>
      <c r="AK89" s="48"/>
    </row>
    <row r="90" spans="8:37" x14ac:dyDescent="0.25">
      <c r="H90">
        <v>89</v>
      </c>
      <c r="I90">
        <f t="shared" si="8"/>
        <v>13.145893900288087</v>
      </c>
      <c r="J90" s="53">
        <f t="shared" si="9"/>
        <v>13.187235486698018</v>
      </c>
      <c r="K90" s="53">
        <f t="shared" si="10"/>
        <v>13.179989560304064</v>
      </c>
      <c r="L90" s="53">
        <f t="shared" si="11"/>
        <v>13.130148573519641</v>
      </c>
      <c r="M90" s="53">
        <f>ABS(TablaModelos[[#This Row],[B-S]]-TablaModelos[[#This Row],[CRR]])</f>
        <v>4.1341586409931352E-2</v>
      </c>
      <c r="N90" s="53">
        <f>ABS(TablaModelos[[#This Row],[B-S]]-TablaModelos[[#This Row],[JR]])</f>
        <v>3.4095660015976748E-2</v>
      </c>
      <c r="O90" s="53">
        <f>ABS(TablaModelos[[#This Row],[B-S]]-TablaModelos[[#This Row],[Binomial]])</f>
        <v>1.5745326768445977E-2</v>
      </c>
      <c r="AE90" s="48"/>
      <c r="AF90" s="48"/>
      <c r="AG90" s="48"/>
      <c r="AH90" s="48"/>
      <c r="AI90" s="48"/>
      <c r="AJ90" s="48"/>
      <c r="AK90" s="48"/>
    </row>
    <row r="91" spans="8:37" x14ac:dyDescent="0.25">
      <c r="H91">
        <v>90</v>
      </c>
      <c r="I91">
        <f t="shared" si="8"/>
        <v>13.145893900288087</v>
      </c>
      <c r="J91" s="53">
        <f t="shared" si="9"/>
        <v>13.102690536783523</v>
      </c>
      <c r="K91" s="53">
        <f t="shared" si="10"/>
        <v>13.112712266843687</v>
      </c>
      <c r="L91" s="53">
        <f t="shared" si="11"/>
        <v>13.184437198618221</v>
      </c>
      <c r="M91" s="53">
        <f>ABS(TablaModelos[[#This Row],[B-S]]-TablaModelos[[#This Row],[CRR]])</f>
        <v>4.3203363504563441E-2</v>
      </c>
      <c r="N91" s="53">
        <f>ABS(TablaModelos[[#This Row],[B-S]]-TablaModelos[[#This Row],[JR]])</f>
        <v>3.3181633444399949E-2</v>
      </c>
      <c r="O91" s="53">
        <f>ABS(TablaModelos[[#This Row],[B-S]]-TablaModelos[[#This Row],[Binomial]])</f>
        <v>3.854329833013459E-2</v>
      </c>
      <c r="AE91" s="48"/>
      <c r="AF91" s="48"/>
      <c r="AG91" s="48"/>
      <c r="AH91" s="48"/>
      <c r="AI91" s="48"/>
      <c r="AJ91" s="48"/>
      <c r="AK91" s="48"/>
    </row>
    <row r="92" spans="8:37" x14ac:dyDescent="0.25">
      <c r="H92">
        <v>91</v>
      </c>
      <c r="I92">
        <f t="shared" si="8"/>
        <v>13.145893900288087</v>
      </c>
      <c r="J92" s="53">
        <f t="shared" si="9"/>
        <v>13.186325742717816</v>
      </c>
      <c r="K92" s="53">
        <f t="shared" si="10"/>
        <v>13.179584037114886</v>
      </c>
      <c r="L92" s="53">
        <f t="shared" si="11"/>
        <v>13.132270026114282</v>
      </c>
      <c r="M92" s="53">
        <f>ABS(TablaModelos[[#This Row],[B-S]]-TablaModelos[[#This Row],[CRR]])</f>
        <v>4.0431842429729414E-2</v>
      </c>
      <c r="N92" s="53">
        <f>ABS(TablaModelos[[#This Row],[B-S]]-TablaModelos[[#This Row],[JR]])</f>
        <v>3.3690136826798778E-2</v>
      </c>
      <c r="O92" s="53">
        <f>ABS(TablaModelos[[#This Row],[B-S]]-TablaModelos[[#This Row],[Binomial]])</f>
        <v>1.3623874173804396E-2</v>
      </c>
      <c r="AE92" s="48"/>
      <c r="AF92" s="48"/>
      <c r="AG92" s="48"/>
      <c r="AH92" s="48"/>
      <c r="AI92" s="48"/>
      <c r="AJ92" s="48"/>
      <c r="AK92" s="48"/>
    </row>
    <row r="93" spans="8:37" x14ac:dyDescent="0.25">
      <c r="H93">
        <v>92</v>
      </c>
      <c r="I93">
        <f t="shared" si="8"/>
        <v>13.145893900288087</v>
      </c>
      <c r="J93" s="53">
        <f t="shared" si="9"/>
        <v>13.103628428250776</v>
      </c>
      <c r="K93" s="53">
        <f t="shared" si="10"/>
        <v>13.110330723486234</v>
      </c>
      <c r="L93" s="53">
        <f t="shared" si="11"/>
        <v>13.183189325157461</v>
      </c>
      <c r="M93" s="53">
        <f>ABS(TablaModelos[[#This Row],[B-S]]-TablaModelos[[#This Row],[CRR]])</f>
        <v>4.2265472037311014E-2</v>
      </c>
      <c r="N93" s="53">
        <f>ABS(TablaModelos[[#This Row],[B-S]]-TablaModelos[[#This Row],[JR]])</f>
        <v>3.5563176801852947E-2</v>
      </c>
      <c r="O93" s="53">
        <f>ABS(TablaModelos[[#This Row],[B-S]]-TablaModelos[[#This Row],[Binomial]])</f>
        <v>3.7295424869373761E-2</v>
      </c>
      <c r="AE93" s="48"/>
      <c r="AF93" s="48"/>
      <c r="AG93" s="48"/>
      <c r="AH93" s="48"/>
      <c r="AI93" s="48"/>
      <c r="AJ93" s="48"/>
      <c r="AK93" s="48"/>
    </row>
    <row r="94" spans="8:37" x14ac:dyDescent="0.25">
      <c r="H94">
        <v>93</v>
      </c>
      <c r="I94">
        <f t="shared" si="8"/>
        <v>13.145893900288087</v>
      </c>
      <c r="J94" s="53">
        <f t="shared" si="9"/>
        <v>13.185455174630642</v>
      </c>
      <c r="K94" s="53">
        <f t="shared" si="10"/>
        <v>13.179121107281846</v>
      </c>
      <c r="L94" s="53">
        <f t="shared" si="11"/>
        <v>13.134254460197489</v>
      </c>
      <c r="M94" s="53">
        <f>ABS(TablaModelos[[#This Row],[B-S]]-TablaModelos[[#This Row],[CRR]])</f>
        <v>3.9561274342554853E-2</v>
      </c>
      <c r="N94" s="53">
        <f>ABS(TablaModelos[[#This Row],[B-S]]-TablaModelos[[#This Row],[JR]])</f>
        <v>3.322720699375914E-2</v>
      </c>
      <c r="O94" s="53">
        <f>ABS(TablaModelos[[#This Row],[B-S]]-TablaModelos[[#This Row],[Binomial]])</f>
        <v>1.1639440090597475E-2</v>
      </c>
      <c r="AE94" s="48"/>
      <c r="AF94" s="48"/>
      <c r="AG94" s="48"/>
      <c r="AH94" s="48"/>
      <c r="AI94" s="48"/>
      <c r="AJ94" s="48"/>
      <c r="AK94" s="48"/>
    </row>
    <row r="95" spans="8:37" x14ac:dyDescent="0.25">
      <c r="H95">
        <v>94</v>
      </c>
      <c r="I95">
        <f t="shared" si="8"/>
        <v>13.145893900288087</v>
      </c>
      <c r="J95" s="53">
        <f t="shared" si="9"/>
        <v>13.104526464789664</v>
      </c>
      <c r="K95" s="53">
        <f t="shared" si="10"/>
        <v>13.108015387099991</v>
      </c>
      <c r="L95" s="53">
        <f t="shared" si="11"/>
        <v>13.181971426417112</v>
      </c>
      <c r="M95" s="53">
        <f>ABS(TablaModelos[[#This Row],[B-S]]-TablaModelos[[#This Row],[CRR]])</f>
        <v>4.1367435498422367E-2</v>
      </c>
      <c r="N95" s="53">
        <f>ABS(TablaModelos[[#This Row],[B-S]]-TablaModelos[[#This Row],[JR]])</f>
        <v>3.7878513188095653E-2</v>
      </c>
      <c r="O95" s="53">
        <f>ABS(TablaModelos[[#This Row],[B-S]]-TablaModelos[[#This Row],[Binomial]])</f>
        <v>3.6077526129025372E-2</v>
      </c>
      <c r="AE95" s="48"/>
      <c r="AF95" s="48"/>
      <c r="AG95" s="48"/>
      <c r="AH95" s="48"/>
      <c r="AI95" s="48"/>
      <c r="AJ95" s="48"/>
      <c r="AK95" s="48"/>
    </row>
    <row r="96" spans="8:37" x14ac:dyDescent="0.25">
      <c r="H96">
        <v>95</v>
      </c>
      <c r="I96">
        <f t="shared" si="8"/>
        <v>13.145893900288087</v>
      </c>
      <c r="J96" s="53">
        <f t="shared" si="9"/>
        <v>13.184621305301013</v>
      </c>
      <c r="K96" s="53">
        <f t="shared" si="10"/>
        <v>13.178606787363117</v>
      </c>
      <c r="L96" s="53">
        <f t="shared" si="11"/>
        <v>13.136111912226088</v>
      </c>
      <c r="M96" s="53">
        <f>ABS(TablaModelos[[#This Row],[B-S]]-TablaModelos[[#This Row],[CRR]])</f>
        <v>3.8727405012926042E-2</v>
      </c>
      <c r="N96" s="53">
        <f>ABS(TablaModelos[[#This Row],[B-S]]-TablaModelos[[#This Row],[JR]])</f>
        <v>3.2712887075030395E-2</v>
      </c>
      <c r="O96" s="53">
        <f>ABS(TablaModelos[[#This Row],[B-S]]-TablaModelos[[#This Row],[Binomial]])</f>
        <v>9.7819880619987032E-3</v>
      </c>
      <c r="AE96" s="48"/>
      <c r="AF96" s="48"/>
      <c r="AG96" s="48"/>
      <c r="AH96" s="48"/>
      <c r="AI96" s="48"/>
      <c r="AJ96" s="48"/>
      <c r="AK96" s="48"/>
    </row>
    <row r="97" spans="8:37" x14ac:dyDescent="0.25">
      <c r="H97">
        <v>96</v>
      </c>
      <c r="I97">
        <f t="shared" si="8"/>
        <v>13.145893900288087</v>
      </c>
      <c r="J97" s="53">
        <f t="shared" si="9"/>
        <v>13.10538713390388</v>
      </c>
      <c r="K97" s="53">
        <f t="shared" si="10"/>
        <v>13.105763216089194</v>
      </c>
      <c r="L97" s="53">
        <f t="shared" si="11"/>
        <v>13.18078234998312</v>
      </c>
      <c r="M97" s="53">
        <f>ABS(TablaModelos[[#This Row],[B-S]]-TablaModelos[[#This Row],[CRR]])</f>
        <v>4.0506766384206472E-2</v>
      </c>
      <c r="N97" s="53">
        <f>ABS(TablaModelos[[#This Row],[B-S]]-TablaModelos[[#This Row],[JR]])</f>
        <v>4.0130684198892652E-2</v>
      </c>
      <c r="O97" s="53">
        <f>ABS(TablaModelos[[#This Row],[B-S]]-TablaModelos[[#This Row],[Binomial]])</f>
        <v>3.4888449695033685E-2</v>
      </c>
      <c r="AE97" s="48"/>
      <c r="AF97" s="48"/>
      <c r="AG97" s="48"/>
      <c r="AH97" s="48"/>
      <c r="AI97" s="48"/>
      <c r="AJ97" s="48"/>
      <c r="AK97" s="48"/>
    </row>
    <row r="98" spans="8:37" x14ac:dyDescent="0.25">
      <c r="H98">
        <v>97</v>
      </c>
      <c r="I98">
        <f t="shared" si="8"/>
        <v>13.145893900288087</v>
      </c>
      <c r="J98" s="53">
        <f t="shared" si="9"/>
        <v>13.183821862124239</v>
      </c>
      <c r="K98" s="53">
        <f t="shared" si="10"/>
        <v>13.178046473811108</v>
      </c>
      <c r="L98" s="53">
        <f t="shared" si="11"/>
        <v>13.137851523478178</v>
      </c>
      <c r="M98" s="53">
        <f>ABS(TablaModelos[[#This Row],[B-S]]-TablaModelos[[#This Row],[CRR]])</f>
        <v>3.792796183615188E-2</v>
      </c>
      <c r="N98" s="53">
        <f>ABS(TablaModelos[[#This Row],[B-S]]-TablaModelos[[#This Row],[JR]])</f>
        <v>3.2152573523021033E-2</v>
      </c>
      <c r="O98" s="53">
        <f>ABS(TablaModelos[[#This Row],[B-S]]-TablaModelos[[#This Row],[Binomial]])</f>
        <v>8.0423768099091575E-3</v>
      </c>
      <c r="AE98" s="48"/>
      <c r="AF98" s="48"/>
      <c r="AG98" s="48"/>
      <c r="AH98" s="48"/>
      <c r="AI98" s="48"/>
      <c r="AJ98" s="48"/>
      <c r="AK98" s="48"/>
    </row>
    <row r="99" spans="8:37" x14ac:dyDescent="0.25">
      <c r="H99">
        <v>98</v>
      </c>
      <c r="I99">
        <f t="shared" si="8"/>
        <v>13.145893900288087</v>
      </c>
      <c r="J99" s="53">
        <f t="shared" si="9"/>
        <v>13.106212720314753</v>
      </c>
      <c r="K99" s="53">
        <f t="shared" si="10"/>
        <v>13.103571361316346</v>
      </c>
      <c r="L99" s="53">
        <f t="shared" si="11"/>
        <v>13.179621000833212</v>
      </c>
      <c r="M99" s="53">
        <f>ABS(TablaModelos[[#This Row],[B-S]]-TablaModelos[[#This Row],[CRR]])</f>
        <v>3.9681179973333869E-2</v>
      </c>
      <c r="N99" s="53">
        <f>ABS(TablaModelos[[#This Row],[B-S]]-TablaModelos[[#This Row],[JR]])</f>
        <v>4.2322538971740542E-2</v>
      </c>
      <c r="O99" s="53">
        <f>ABS(TablaModelos[[#This Row],[B-S]]-TablaModelos[[#This Row],[Binomial]])</f>
        <v>3.3727100545124955E-2</v>
      </c>
      <c r="AE99" s="48"/>
      <c r="AF99" s="48"/>
      <c r="AG99" s="48"/>
      <c r="AH99" s="48"/>
      <c r="AI99" s="48"/>
      <c r="AJ99" s="48"/>
      <c r="AK99" s="48"/>
    </row>
    <row r="100" spans="8:37" x14ac:dyDescent="0.25">
      <c r="H100">
        <v>99</v>
      </c>
      <c r="I100">
        <f t="shared" si="8"/>
        <v>13.145893900288087</v>
      </c>
      <c r="J100" s="53">
        <f t="shared" si="9"/>
        <v>13.183054756339166</v>
      </c>
      <c r="K100" s="53">
        <f t="shared" si="10"/>
        <v>13.177445014368834</v>
      </c>
      <c r="L100" s="53">
        <f t="shared" si="11"/>
        <v>13.139481634937384</v>
      </c>
      <c r="M100" s="53">
        <f>ABS(TablaModelos[[#This Row],[B-S]]-TablaModelos[[#This Row],[CRR]])</f>
        <v>3.7160856051078994E-2</v>
      </c>
      <c r="N100" s="53">
        <f>ABS(TablaModelos[[#This Row],[B-S]]-TablaModelos[[#This Row],[JR]])</f>
        <v>3.1551114080746956E-2</v>
      </c>
      <c r="O100" s="53">
        <f>ABS(TablaModelos[[#This Row],[B-S]]-TablaModelos[[#This Row],[Binomial]])</f>
        <v>6.4122653507023841E-3</v>
      </c>
      <c r="AE100" s="48"/>
      <c r="AF100" s="48"/>
      <c r="AG100" s="48"/>
      <c r="AH100" s="48"/>
      <c r="AI100" s="48"/>
      <c r="AJ100" s="48"/>
      <c r="AK100" s="48"/>
    </row>
    <row r="101" spans="8:37" x14ac:dyDescent="0.25">
      <c r="H101">
        <v>100</v>
      </c>
      <c r="I101">
        <f t="shared" si="8"/>
        <v>13.145893900288087</v>
      </c>
      <c r="J101" s="53">
        <f t="shared" si="9"/>
        <v>13.107005326208016</v>
      </c>
      <c r="K101" s="53">
        <f t="shared" si="10"/>
        <v>13.101437150754172</v>
      </c>
      <c r="L101" s="53">
        <f t="shared" si="11"/>
        <v>13.178486338154698</v>
      </c>
      <c r="M101" s="53">
        <f>ABS(TablaModelos[[#This Row],[B-S]]-TablaModelos[[#This Row],[CRR]])</f>
        <v>3.8888574080070626E-2</v>
      </c>
      <c r="N101" s="53">
        <f>ABS(TablaModelos[[#This Row],[B-S]]-TablaModelos[[#This Row],[JR]])</f>
        <v>4.4456749533914319E-2</v>
      </c>
      <c r="O101" s="53">
        <f>ABS(TablaModelos[[#This Row],[B-S]]-TablaModelos[[#This Row],[Binomial]])</f>
        <v>3.259243786661159E-2</v>
      </c>
      <c r="AE101" s="48"/>
      <c r="AF101" s="48"/>
      <c r="AG101" s="48"/>
      <c r="AH101" s="48"/>
      <c r="AI101" s="48"/>
      <c r="AJ101" s="48"/>
      <c r="AK101" s="48"/>
    </row>
  </sheetData>
  <sheetProtection password="8683" sheet="1" formatCells="0" formatColumns="0" formatRows="0" insertColumns="0" insertRows="0" insertHyperlinks="0" deleteColumns="0" deleteRows="0" sort="0" autoFilter="0" pivotTables="0"/>
  <dataValidations count="1">
    <dataValidation type="list" allowBlank="1" showInputMessage="1" showErrorMessage="1" sqref="B1">
      <formula1>$P$1:$P$2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W46"/>
  <sheetViews>
    <sheetView zoomScaleNormal="100" workbookViewId="0">
      <selection activeCell="H20" sqref="H20"/>
    </sheetView>
  </sheetViews>
  <sheetFormatPr baseColWidth="10" defaultRowHeight="15" x14ac:dyDescent="0.25"/>
  <cols>
    <col min="1" max="1" width="9.28515625" customWidth="1"/>
    <col min="2" max="2" width="22" bestFit="1" customWidth="1"/>
    <col min="7" max="7" width="12.85546875" bestFit="1" customWidth="1"/>
    <col min="8" max="8" width="12.5703125" bestFit="1" customWidth="1"/>
  </cols>
  <sheetData>
    <row r="1" spans="2:23" ht="15" customHeight="1" x14ac:dyDescent="0.25">
      <c r="B1" s="56" t="s">
        <v>10</v>
      </c>
      <c r="C1" s="56"/>
      <c r="D1" s="56"/>
      <c r="E1" s="56"/>
      <c r="F1" s="56"/>
      <c r="G1" s="56"/>
      <c r="H1" s="56"/>
      <c r="I1" s="3"/>
      <c r="J1" s="3"/>
      <c r="K1" s="3"/>
      <c r="M1" s="1">
        <v>1</v>
      </c>
    </row>
    <row r="2" spans="2:23" ht="15" customHeight="1" x14ac:dyDescent="0.25">
      <c r="B2" s="56"/>
      <c r="C2" s="56"/>
      <c r="D2" s="56"/>
      <c r="E2" s="56"/>
      <c r="F2" s="56"/>
      <c r="G2" s="56"/>
      <c r="H2" s="56"/>
      <c r="I2" s="3"/>
      <c r="J2" s="3"/>
      <c r="K2" s="3"/>
      <c r="M2" s="1">
        <v>0</v>
      </c>
    </row>
    <row r="3" spans="2:23" x14ac:dyDescent="0.25">
      <c r="B3" s="2" t="s">
        <v>15</v>
      </c>
      <c r="C3" s="1">
        <v>1</v>
      </c>
      <c r="U3" t="s">
        <v>20</v>
      </c>
      <c r="V3" t="s">
        <v>19</v>
      </c>
    </row>
    <row r="4" spans="2:23" x14ac:dyDescent="0.25">
      <c r="B4" s="2" t="s">
        <v>11</v>
      </c>
      <c r="C4" s="1">
        <v>1</v>
      </c>
    </row>
    <row r="5" spans="2:23" ht="15.75" thickBot="1" x14ac:dyDescent="0.3">
      <c r="U5" t="s">
        <v>21</v>
      </c>
      <c r="V5" t="s">
        <v>22</v>
      </c>
    </row>
    <row r="6" spans="2:23" x14ac:dyDescent="0.25">
      <c r="B6" s="11" t="s">
        <v>0</v>
      </c>
      <c r="C6" s="12">
        <v>40</v>
      </c>
      <c r="F6" s="38" t="s">
        <v>16</v>
      </c>
      <c r="G6" s="26">
        <f>EXP(($C$8-$C$10-0.5*$C$9^2)*($C$11/$C$12)+$C$13)</f>
        <v>1.639291389208646</v>
      </c>
    </row>
    <row r="7" spans="2:23" x14ac:dyDescent="0.25">
      <c r="B7" s="13" t="s">
        <v>1</v>
      </c>
      <c r="C7" s="14">
        <v>41</v>
      </c>
      <c r="F7" s="38" t="s">
        <v>18</v>
      </c>
      <c r="G7" s="26">
        <f>EXP(($C$8-$C$10-0.5*$C$9^2)*($C$11/$C$12)-$C$13)</f>
        <v>0.70168964860634819</v>
      </c>
    </row>
    <row r="8" spans="2:23" x14ac:dyDescent="0.25">
      <c r="B8" s="13" t="s">
        <v>2</v>
      </c>
      <c r="C8" s="34">
        <v>0.08</v>
      </c>
      <c r="F8" s="47" t="s">
        <v>36</v>
      </c>
      <c r="G8" s="47">
        <f>(EXP(($C$8-$C$10)*$C$16)-G7)/(G6-G7)</f>
        <v>0.50322135929736322</v>
      </c>
    </row>
    <row r="9" spans="2:23" x14ac:dyDescent="0.25">
      <c r="B9" s="16" t="s">
        <v>5</v>
      </c>
      <c r="C9" s="15">
        <v>0.3</v>
      </c>
    </row>
    <row r="10" spans="2:23" x14ac:dyDescent="0.25">
      <c r="B10" s="16" t="s">
        <v>24</v>
      </c>
      <c r="C10" s="34">
        <v>0</v>
      </c>
      <c r="F10" s="38" t="s">
        <v>16</v>
      </c>
      <c r="G10" s="26">
        <f>EXP(($C$8-$C$10)*($C$16)+$C$13)</f>
        <v>1.7936704815714895</v>
      </c>
      <c r="V10" s="35" t="s">
        <v>31</v>
      </c>
      <c r="W10" t="s">
        <v>23</v>
      </c>
    </row>
    <row r="11" spans="2:23" x14ac:dyDescent="0.25">
      <c r="B11" s="13" t="s">
        <v>9</v>
      </c>
      <c r="C11" s="14">
        <v>100</v>
      </c>
      <c r="F11" s="38" t="s">
        <v>18</v>
      </c>
      <c r="G11" s="26">
        <f>EXP(($C$8-$C$10)*($C$16)-$C$13)</f>
        <v>0.76777076864721183</v>
      </c>
    </row>
    <row r="12" spans="2:23" x14ac:dyDescent="0.25">
      <c r="B12" s="13" t="s">
        <v>12</v>
      </c>
      <c r="C12" s="14">
        <v>50</v>
      </c>
      <c r="F12" s="47" t="s">
        <v>36</v>
      </c>
      <c r="G12" s="47">
        <f>(EXP(($C$8-$C$10)*$C$16)-G11)/(G10-G11)</f>
        <v>0.39549684753108649</v>
      </c>
      <c r="V12" t="s">
        <v>27</v>
      </c>
      <c r="W12" t="s">
        <v>26</v>
      </c>
    </row>
    <row r="13" spans="2:23" x14ac:dyDescent="0.25">
      <c r="B13" s="13" t="s">
        <v>4</v>
      </c>
      <c r="C13" s="17">
        <f>$C$9*SQRT($C$16)</f>
        <v>0.42426406871192851</v>
      </c>
      <c r="V13" t="s">
        <v>25</v>
      </c>
      <c r="W13" t="s">
        <v>28</v>
      </c>
    </row>
    <row r="14" spans="2:23" x14ac:dyDescent="0.25">
      <c r="B14" s="13" t="s">
        <v>37</v>
      </c>
      <c r="C14" s="26">
        <f>G10</f>
        <v>1.7936704815714895</v>
      </c>
      <c r="F14" s="38" t="s">
        <v>16</v>
      </c>
      <c r="G14" s="26">
        <f>EXP(($C$13))</f>
        <v>1.528465160323178</v>
      </c>
      <c r="V14" t="s">
        <v>29</v>
      </c>
      <c r="W14" t="s">
        <v>30</v>
      </c>
    </row>
    <row r="15" spans="2:23" x14ac:dyDescent="0.25">
      <c r="B15" s="13" t="s">
        <v>38</v>
      </c>
      <c r="C15" s="26">
        <f>G11</f>
        <v>0.76777076864721183</v>
      </c>
      <c r="F15" s="38" t="s">
        <v>18</v>
      </c>
      <c r="G15" s="26">
        <f>EXP((-$C$13))</f>
        <v>0.65425109185253549</v>
      </c>
    </row>
    <row r="16" spans="2:23" x14ac:dyDescent="0.25">
      <c r="B16" s="13" t="s">
        <v>3</v>
      </c>
      <c r="C16" s="27">
        <f>C11/C12</f>
        <v>2</v>
      </c>
      <c r="F16" s="47" t="s">
        <v>36</v>
      </c>
      <c r="G16" s="47">
        <f>(EXP(($C$8-$C$10)*$C$16)-G15)/(G14-G15)</f>
        <v>0.59397325880109919</v>
      </c>
    </row>
    <row r="18" spans="2:22" x14ac:dyDescent="0.25">
      <c r="G18" s="39" t="s">
        <v>16</v>
      </c>
      <c r="H18" s="39" t="s">
        <v>17</v>
      </c>
      <c r="I18" s="39" t="s">
        <v>18</v>
      </c>
    </row>
    <row r="19" spans="2:22" x14ac:dyDescent="0.25">
      <c r="G19" s="36">
        <f>C14</f>
        <v>1.7936704815714895</v>
      </c>
      <c r="H19" s="37">
        <f>EXP((C8-C10)*C16)</f>
        <v>1.1735108709918103</v>
      </c>
      <c r="I19" s="36">
        <f>C15</f>
        <v>0.76777076864721183</v>
      </c>
    </row>
    <row r="20" spans="2:22" x14ac:dyDescent="0.25">
      <c r="U20" t="s">
        <v>32</v>
      </c>
      <c r="V20" t="s">
        <v>33</v>
      </c>
    </row>
    <row r="22" spans="2:22" x14ac:dyDescent="0.25">
      <c r="B22" s="2" t="s">
        <v>8</v>
      </c>
      <c r="C22" s="28">
        <f>Payoff!C3</f>
        <v>40.987491882373327</v>
      </c>
      <c r="G22" s="26">
        <f>EXP(($C$8-$C$10)*($C$16)+$C$13)</f>
        <v>1.7936704815714895</v>
      </c>
    </row>
    <row r="23" spans="2:22" x14ac:dyDescent="0.25">
      <c r="B23" t="s">
        <v>13</v>
      </c>
      <c r="C23">
        <f>Delta!C3</f>
        <v>0.99998651630959767</v>
      </c>
      <c r="G23" s="26">
        <f>EXP(($C$8-$C$10)*($C$16)-$C$13)</f>
        <v>0.76777076864721183</v>
      </c>
    </row>
    <row r="24" spans="2:22" x14ac:dyDescent="0.25">
      <c r="B24" t="s">
        <v>14</v>
      </c>
      <c r="C24">
        <f>Bonds!C3</f>
        <v>-1.1955286320183511E-2</v>
      </c>
    </row>
    <row r="25" spans="2:22" x14ac:dyDescent="0.25">
      <c r="E25" s="42"/>
      <c r="F25" s="42"/>
      <c r="G25" s="42"/>
      <c r="H25" s="42"/>
      <c r="I25" s="42"/>
    </row>
    <row r="26" spans="2:22" x14ac:dyDescent="0.25">
      <c r="B26" s="2"/>
      <c r="E26" s="42"/>
      <c r="F26" s="42"/>
    </row>
    <row r="27" spans="2:22" x14ac:dyDescent="0.25">
      <c r="B27" s="2" t="s">
        <v>39</v>
      </c>
    </row>
    <row r="29" spans="2:22" x14ac:dyDescent="0.25">
      <c r="D29" s="40" t="s">
        <v>35</v>
      </c>
      <c r="E29" s="40"/>
    </row>
    <row r="30" spans="2:22" x14ac:dyDescent="0.25">
      <c r="D30" s="38" t="s">
        <v>36</v>
      </c>
      <c r="E30" s="38">
        <f>(EXP(($C$8-$C$10)*$C$16)-$C$15)/($C$14-$G$11)</f>
        <v>0.39549684753108649</v>
      </c>
    </row>
    <row r="31" spans="2:22" x14ac:dyDescent="0.25">
      <c r="D31" s="38" t="s">
        <v>34</v>
      </c>
      <c r="E31" s="38">
        <f>1-$E$30</f>
        <v>0.60450315246891351</v>
      </c>
      <c r="F31" s="4"/>
    </row>
    <row r="32" spans="2:22" x14ac:dyDescent="0.25">
      <c r="E32" s="4"/>
      <c r="F32" s="4"/>
    </row>
    <row r="33" spans="4:6" x14ac:dyDescent="0.25">
      <c r="E33" s="4"/>
      <c r="F33" s="4"/>
    </row>
    <row r="34" spans="4:6" x14ac:dyDescent="0.25">
      <c r="D34" s="40" t="s">
        <v>35</v>
      </c>
      <c r="E34" s="40"/>
      <c r="F34" s="4"/>
    </row>
    <row r="35" spans="4:6" x14ac:dyDescent="0.25">
      <c r="D35" s="41" t="s">
        <v>41</v>
      </c>
      <c r="E35" s="38">
        <v>0.05</v>
      </c>
      <c r="F35" s="4"/>
    </row>
    <row r="36" spans="4:6" x14ac:dyDescent="0.25">
      <c r="D36" s="41" t="s">
        <v>40</v>
      </c>
      <c r="E36" s="38">
        <f>LN(E42)</f>
        <v>9.9981963270937016E-2</v>
      </c>
      <c r="F36" s="4"/>
    </row>
    <row r="37" spans="4:6" x14ac:dyDescent="0.25">
      <c r="D37" s="38" t="s">
        <v>36</v>
      </c>
      <c r="E37" s="38">
        <f>(EXP(($E$35)*$C$16)-$G$11)/($G$10-$G$11)</f>
        <v>0.32888219499223076</v>
      </c>
      <c r="F37" s="4"/>
    </row>
    <row r="38" spans="4:6" x14ac:dyDescent="0.25">
      <c r="D38" s="38" t="s">
        <v>34</v>
      </c>
      <c r="E38" s="38">
        <f>1-$E$37</f>
        <v>0.6711178050077693</v>
      </c>
      <c r="F38" s="4"/>
    </row>
    <row r="39" spans="4:6" x14ac:dyDescent="0.25">
      <c r="E39" s="4"/>
      <c r="F39" s="4"/>
    </row>
    <row r="40" spans="4:6" x14ac:dyDescent="0.25">
      <c r="E40" s="4"/>
      <c r="F40" s="4"/>
    </row>
    <row r="41" spans="4:6" x14ac:dyDescent="0.25">
      <c r="E41" s="4"/>
      <c r="F41" s="4"/>
    </row>
    <row r="42" spans="4:6" x14ac:dyDescent="0.25">
      <c r="E42" s="4">
        <f>(($C$23*$C$7)*EXP($E$35*$C$16)+$C$24*EXP($C$8*$C$16))/($C$23*$C$7+$C$24)</f>
        <v>1.105150984586998</v>
      </c>
      <c r="F42" s="4"/>
    </row>
    <row r="43" spans="4:6" x14ac:dyDescent="0.25">
      <c r="E43" s="4"/>
      <c r="F43" s="4"/>
    </row>
    <row r="44" spans="4:6" x14ac:dyDescent="0.25">
      <c r="E44" s="4"/>
      <c r="F44" s="4"/>
    </row>
    <row r="45" spans="4:6" x14ac:dyDescent="0.25">
      <c r="F45" s="4"/>
    </row>
    <row r="46" spans="4:6" x14ac:dyDescent="0.25">
      <c r="F46" s="4"/>
    </row>
  </sheetData>
  <mergeCells count="1">
    <mergeCell ref="B1:H2"/>
  </mergeCells>
  <dataValidations count="1">
    <dataValidation type="list" allowBlank="1" showInputMessage="1" showErrorMessage="1" sqref="C3:C4">
      <formula1>$M$1:$M$2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2</xdr:col>
                    <xdr:colOff>676275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n">
                <anchor moveWithCells="1" sizeWithCells="1">
                  <from>
                    <xdr:col>9</xdr:col>
                    <xdr:colOff>85725</xdr:colOff>
                    <xdr:row>13</xdr:row>
                    <xdr:rowOff>28575</xdr:rowOff>
                  </from>
                  <to>
                    <xdr:col>10</xdr:col>
                    <xdr:colOff>371475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inomialT">
                <anchor moveWithCells="1" sizeWithCells="1">
                  <from>
                    <xdr:col>9</xdr:col>
                    <xdr:colOff>85725</xdr:colOff>
                    <xdr:row>9</xdr:row>
                    <xdr:rowOff>9525</xdr:rowOff>
                  </from>
                  <to>
                    <xdr:col>10</xdr:col>
                    <xdr:colOff>371475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arrow">
                <anchor moveWithCells="1" sizeWithCells="1">
                  <from>
                    <xdr:col>9</xdr:col>
                    <xdr:colOff>85725</xdr:colOff>
                    <xdr:row>4</xdr:row>
                    <xdr:rowOff>190500</xdr:rowOff>
                  </from>
                  <to>
                    <xdr:col>10</xdr:col>
                    <xdr:colOff>371475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A53"/>
  <sheetViews>
    <sheetView zoomScale="140" zoomScaleNormal="140" workbookViewId="0">
      <selection activeCell="BA53" sqref="BA53"/>
    </sheetView>
  </sheetViews>
  <sheetFormatPr baseColWidth="10" defaultRowHeight="15" x14ac:dyDescent="0.25"/>
  <cols>
    <col min="2" max="2" width="4.28515625" bestFit="1" customWidth="1"/>
    <col min="4" max="5" width="12" bestFit="1" customWidth="1"/>
  </cols>
  <sheetData>
    <row r="1" spans="1:53" x14ac:dyDescent="0.25">
      <c r="A1" t="s">
        <v>6</v>
      </c>
    </row>
    <row r="2" spans="1:53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  <c r="AI2">
        <v>32</v>
      </c>
      <c r="AJ2">
        <v>33</v>
      </c>
      <c r="AK2">
        <v>34</v>
      </c>
      <c r="AL2">
        <v>35</v>
      </c>
      <c r="AM2">
        <v>36</v>
      </c>
      <c r="AN2">
        <v>37</v>
      </c>
      <c r="AO2">
        <v>38</v>
      </c>
      <c r="AP2">
        <v>39</v>
      </c>
      <c r="AQ2">
        <v>40</v>
      </c>
      <c r="AR2">
        <v>41</v>
      </c>
      <c r="AS2">
        <v>42</v>
      </c>
      <c r="AT2">
        <v>43</v>
      </c>
      <c r="AU2">
        <v>44</v>
      </c>
      <c r="AV2">
        <v>45</v>
      </c>
      <c r="AW2">
        <v>46</v>
      </c>
      <c r="AX2">
        <v>47</v>
      </c>
      <c r="AY2">
        <v>48</v>
      </c>
      <c r="AZ2">
        <v>49</v>
      </c>
      <c r="BA2">
        <v>50</v>
      </c>
    </row>
    <row r="3" spans="1:53" x14ac:dyDescent="0.25">
      <c r="B3">
        <v>0</v>
      </c>
      <c r="C3" s="18">
        <f>Datos!C7</f>
        <v>41</v>
      </c>
      <c r="D3" s="18">
        <f>IF($B3&gt;D$2,0,$C$3*(Datos!$C$14)^(Stock!D$2-Stock!$B3)*Datos!$C$15^Stock!$B3)</f>
        <v>73.540489744431071</v>
      </c>
      <c r="E3" s="19">
        <f>IF($B3&gt;E$2,0,$C$3*(Datos!$C$14)^(Stock!E$2-Stock!$B3)*Datos!$C$15^Stock!$B3)</f>
        <v>131.90740565489685</v>
      </c>
      <c r="F3" s="19">
        <f>IF($B3&gt;F$2,0,$C$3*(Datos!$C$14)^(Stock!F$2-Stock!$B3)*Datos!$C$15^Stock!$B3)</f>
        <v>236.59841982386467</v>
      </c>
      <c r="G3" s="19">
        <f>IF($B3&gt;G$2,0,$C$3*(Datos!$C$14)^(Stock!G$2-Stock!$B3)*Datos!$C$15^Stock!$B3)</f>
        <v>424.37960162452481</v>
      </c>
      <c r="H3" s="19">
        <f>IF($B3&gt;H$2,0,$C$3*(Datos!$C$14)^(Stock!H$2-Stock!$B3)*Datos!$C$15^Stock!$B3)</f>
        <v>761.19716441497826</v>
      </c>
      <c r="I3" s="4">
        <f>IF($B3&gt;I$2,0,$C$3*(Datos!$C$14)^(Stock!I$2-Stock!$B3)*Datos!$C$15^Stock!$B3)</f>
        <v>1365.3368844670663</v>
      </c>
      <c r="J3" s="4">
        <f>IF($B3&gt;J$2,0,$C$3*(Datos!$C$14)^(Stock!J$2-Stock!$B3)*Datos!$C$15^Stock!$B3)</f>
        <v>2448.9644670693597</v>
      </c>
      <c r="K3" s="4">
        <f>IF($B3&gt;K$2,0,$C$3*(Datos!$C$14)^(Stock!K$2-Stock!$B3)*Datos!$C$15^Stock!$B3)</f>
        <v>4392.635274999765</v>
      </c>
      <c r="L3" s="4">
        <f>IF($B3&gt;L$2,0,$C$3*(Datos!$C$14)^(Stock!L$2-Stock!$B3)*Datos!$C$15^Stock!$B3)</f>
        <v>7878.9402290767403</v>
      </c>
      <c r="M3" s="4">
        <f>IF($B3&gt;M$2,0,$C$3*(Datos!$C$14)^(Stock!M$2-Stock!$B3)*Datos!$C$15^Stock!$B3)</f>
        <v>14132.222514961059</v>
      </c>
      <c r="N3" s="4">
        <f>IF($B3&gt;N$2,0,$C$3*(Datos!$C$14)^(Stock!N$2-Stock!$B3)*Datos!$C$15^Stock!$B3)</f>
        <v>25348.550364085648</v>
      </c>
      <c r="O3">
        <f>IF($B3&gt;O$2,0,$C$3*(Datos!$C$14)^(Stock!O$2-Stock!$B3)*Datos!$C$15^Stock!$B3)</f>
        <v>45466.946538688666</v>
      </c>
      <c r="P3">
        <f>IF($B3&gt;P$2,0,$C$3*(Datos!$C$14)^(Stock!P$2-Stock!$B3)*Datos!$C$15^Stock!$B3)</f>
        <v>81552.719893634858</v>
      </c>
      <c r="Q3">
        <f>IF($B3&gt;Q$2,0,$C$3*(Datos!$C$14)^(Stock!Q$2-Stock!$B3)*Datos!$C$15^Stock!$B3)</f>
        <v>146278.70636508081</v>
      </c>
      <c r="R3">
        <f>IF($B3&gt;R$2,0,$C$3*(Datos!$C$14)^(Stock!R$2-Stock!$B3)*Datos!$C$15^Stock!$B3)</f>
        <v>262375.79768950905</v>
      </c>
      <c r="S3">
        <f>IF($B3&gt;S$2,0,$C$3*(Datos!$C$14)^(Stock!S$2-Stock!$B3)*Datos!$C$15^Stock!$B3)</f>
        <v>470615.72339444543</v>
      </c>
      <c r="T3">
        <f>IF($B3&gt;T$2,0,$C$3*(Datos!$C$14)^(Stock!T$2-Stock!$B3)*Datos!$C$15^Stock!$B3)</f>
        <v>844129.53121602978</v>
      </c>
      <c r="U3">
        <f>IF($B3&gt;U$2,0,$C$3*(Datos!$C$14)^(Stock!U$2-Stock!$B3)*Datos!$C$15^Stock!$B3)</f>
        <v>1514090.2227649719</v>
      </c>
      <c r="V3">
        <f>IF($B3&gt;V$2,0,$C$3*(Datos!$C$14)^(Stock!V$2-Stock!$B3)*Datos!$C$15^Stock!$B3)</f>
        <v>2715778.9390095309</v>
      </c>
      <c r="W3">
        <f>IF($B3&gt;W$2,0,$C$3*(Datos!$C$14)^(Stock!W$2-Stock!$B3)*Datos!$C$15^Stock!$B3)</f>
        <v>4871212.5173749337</v>
      </c>
      <c r="X3">
        <f>IF($B3&gt;X$2,0,$C$3*(Datos!$C$14)^(Stock!X$2-Stock!$B3)*Datos!$C$15^Stock!$B3)</f>
        <v>8737350.1018769667</v>
      </c>
      <c r="Y3">
        <f>IF($B3&gt;Y$2,0,$C$3*(Datos!$C$14)^(Stock!Y$2-Stock!$B3)*Datos!$C$15^Stock!$B3)</f>
        <v>15671926.964892358</v>
      </c>
      <c r="Z3">
        <f>IF($B3&gt;Z$2,0,$C$3*(Datos!$C$14)^(Stock!Z$2-Stock!$B3)*Datos!$C$15^Stock!$B3)</f>
        <v>28110272.786271695</v>
      </c>
      <c r="AA3">
        <f>IF($B3&gt;AA$2,0,$C$3*(Datos!$C$14)^(Stock!AA$2-Stock!$B3)*Datos!$C$15^Stock!$B3)</f>
        <v>50420566.525657885</v>
      </c>
      <c r="AB3">
        <f>IF($B3&gt;AB$2,0,$C$3*(Datos!$C$14)^(Stock!AB$2-Stock!$B3)*Datos!$C$15^Stock!$B3)</f>
        <v>90437881.841184095</v>
      </c>
      <c r="AC3">
        <f>IF($B3&gt;AC$2,0,$C$3*(Datos!$C$14)^(Stock!AC$2-Stock!$B3)*Datos!$C$15^Stock!$B3)</f>
        <v>162215759.07438216</v>
      </c>
      <c r="AD3">
        <f>IF($B3&gt;AD$2,0,$C$3*(Datos!$C$14)^(Stock!AD$2-Stock!$B3)*Datos!$C$15^Stock!$B3)</f>
        <v>290961618.69743174</v>
      </c>
      <c r="AE3">
        <f>IF($B3&gt;AE$2,0,$C$3*(Datos!$C$14)^(Stock!AE$2-Stock!$B3)*Datos!$C$15^Stock!$B3)</f>
        <v>521889266.72784251</v>
      </c>
      <c r="AF3">
        <f>IF($B3&gt;AF$2,0,$C$3*(Datos!$C$14)^(Stock!AF$2-Stock!$B3)*Datos!$C$15^Stock!$B3)</f>
        <v>936097372.37872076</v>
      </c>
      <c r="AG3">
        <f>IF($B3&gt;AG$2,0,$C$3*(Datos!$C$14)^(Stock!AG$2-Stock!$B3)*Datos!$C$15^Stock!$B3)</f>
        <v>1679050224.7123458</v>
      </c>
      <c r="AH3">
        <f>IF($B3&gt;AH$2,0,$C$3*(Datos!$C$14)^(Stock!AH$2-Stock!$B3)*Datos!$C$15^Stock!$B3)</f>
        <v>3011662825.1425109</v>
      </c>
      <c r="AI3">
        <f>IF($B3&gt;AI$2,0,$C$3*(Datos!$C$14)^(Stock!AI$2-Stock!$B3)*Datos!$C$15^Stock!$B3)</f>
        <v>5401930709.9043217</v>
      </c>
      <c r="AJ3">
        <f>IF($B3&gt;AJ$2,0,$C$3*(Datos!$C$14)^(Stock!AJ$2-Stock!$B3)*Datos!$C$15^Stock!$B3)</f>
        <v>9689283657.8499031</v>
      </c>
      <c r="AK3">
        <f>IF($B3&gt;AK$2,0,$C$3*(Datos!$C$14)^(Stock!AK$2-Stock!$B3)*Datos!$C$15^Stock!$B3)</f>
        <v>17379382084.658398</v>
      </c>
      <c r="AL3">
        <f>IF($B3&gt;AL$2,0,$C$3*(Datos!$C$14)^(Stock!AL$2-Stock!$B3)*Datos!$C$15^Stock!$B3)</f>
        <v>31172884633.204147</v>
      </c>
      <c r="AM3">
        <f>IF($B3&gt;AM$2,0,$C$3*(Datos!$C$14)^(Stock!AM$2-Stock!$B3)*Datos!$C$15^Stock!$B3)</f>
        <v>55913882992.011765</v>
      </c>
      <c r="AN3">
        <f>IF($B3&gt;AN$2,0,$C$3*(Datos!$C$14)^(Stock!AN$2-Stock!$B3)*Datos!$C$15^Stock!$B3)</f>
        <v>100291081432.81364</v>
      </c>
      <c r="AO3">
        <f>IF($B3&gt;AO$2,0,$C$3*(Datos!$C$14)^(Stock!AO$2-Stock!$B3)*Datos!$C$15^Stock!$B3)</f>
        <v>179889152330.92032</v>
      </c>
      <c r="AP3">
        <f>IF($B3&gt;AP$2,0,$C$3*(Datos!$C$14)^(Stock!AP$2-Stock!$B3)*Datos!$C$15^Stock!$B3)</f>
        <v>322661862490.88892</v>
      </c>
      <c r="AQ3">
        <f>IF($B3&gt;AQ$2,0,$C$3*(Datos!$C$14)^(Stock!AQ$2-Stock!$B3)*Datos!$C$15^Stock!$B3)</f>
        <v>578749058278.7865</v>
      </c>
      <c r="AR3">
        <f>IF($B3&gt;AR$2,0,$C$3*(Datos!$C$14)^(Stock!AR$2-Stock!$B3)*Datos!$C$15^Stock!$B3)</f>
        <v>1038085102071.9569</v>
      </c>
      <c r="AS3">
        <f>IF($B3&gt;AS$2,0,$C$3*(Datos!$C$14)^(Stock!AS$2-Stock!$B3)*Datos!$C$15^Stock!$B3)</f>
        <v>1861982604945.5957</v>
      </c>
      <c r="AT3">
        <f>IF($B3&gt;AT$2,0,$C$3*(Datos!$C$14)^(Stock!AT$2-Stock!$B3)*Datos!$C$15^Stock!$B3)</f>
        <v>3339783235690.5034</v>
      </c>
      <c r="AU3">
        <f>IF($B3&gt;AU$2,0,$C$3*(Datos!$C$14)^(Stock!AU$2-Stock!$B3)*Datos!$C$15^Stock!$B3)</f>
        <v>5990470604705.3721</v>
      </c>
      <c r="AV3">
        <f>IF($B3&gt;AV$2,0,$C$3*(Datos!$C$14)^(Stock!AV$2-Stock!$B3)*Datos!$C$15^Stock!$B3)</f>
        <v>10744930294381.738</v>
      </c>
      <c r="AW3">
        <f>IF($B3&gt;AW$2,0,$C$3*(Datos!$C$14)^(Stock!AW$2-Stock!$B3)*Datos!$C$15^Stock!$B3)</f>
        <v>19272864295575.777</v>
      </c>
      <c r="AX3">
        <f>IF($B3&gt;AX$2,0,$C$3*(Datos!$C$14)^(Stock!AX$2-Stock!$B3)*Datos!$C$15^Stock!$B3)</f>
        <v>34569167782307.371</v>
      </c>
      <c r="AY3">
        <f>IF($B3&gt;AY$2,0,$C$3*(Datos!$C$14)^(Stock!AY$2-Stock!$B3)*Datos!$C$15^Stock!$B3)</f>
        <v>62005695823616.891</v>
      </c>
      <c r="AZ3">
        <f>IF($B3&gt;AZ$2,0,$C$3*(Datos!$C$14)^(Stock!AZ$2-Stock!$B3)*Datos!$C$15^Stock!$B3)</f>
        <v>111217786288122.2</v>
      </c>
      <c r="BA3">
        <f>IF($B3&gt;BA$2,0,$C$3*(Datos!$C$14)^(Stock!BA$2-Stock!$B3)*Datos!$C$15^Stock!$B3)</f>
        <v>199488060290731.12</v>
      </c>
    </row>
    <row r="4" spans="1:53" x14ac:dyDescent="0.25">
      <c r="B4">
        <v>1</v>
      </c>
      <c r="C4" s="20"/>
      <c r="D4" s="18">
        <f>IF($B4&gt;D$2,0,$C$3*(Datos!$C$14)^(Stock!D$2-Stock!$B4)*Datos!$C$15^Stock!$B4)</f>
        <v>31.478601514535686</v>
      </c>
      <c r="E4" s="19">
        <f>IF($B4&gt;E$2,0,$C$3*(Datos!$C$14)^(Stock!E$2-Stock!$B4)*Datos!$C$15^Stock!$B4)</f>
        <v>56.462238337774245</v>
      </c>
      <c r="F4" s="19">
        <f>IF($B4&gt;F$2,0,$C$3*(Datos!$C$14)^(Stock!F$2-Stock!$B4)*Datos!$C$15^Stock!$B4)</f>
        <v>101.27465022991973</v>
      </c>
      <c r="G4" s="19">
        <f>IF($B4&gt;G$2,0,$C$3*(Datos!$C$14)^(Stock!G$2-Stock!$B4)*Datos!$C$15^Stock!$B4)</f>
        <v>181.6533506488843</v>
      </c>
      <c r="H4" s="19">
        <f>IF($B4&gt;H$2,0,$C$3*(Datos!$C$14)^(Stock!H$2-Stock!$B4)*Datos!$C$15^Stock!$B4)</f>
        <v>325.82625293745895</v>
      </c>
      <c r="I4" s="4">
        <f>IF($B4&gt;I$2,0,$C$3*(Datos!$C$14)^(Stock!I$2-Stock!$B4)*Datos!$C$15^Stock!$B4)</f>
        <v>584.42493201496598</v>
      </c>
      <c r="J4" s="4">
        <f>IF($B4&gt;J$2,0,$C$3*(Datos!$C$14)^(Stock!J$2-Stock!$B4)*Datos!$C$15^Stock!$B4)</f>
        <v>1048.2657492496689</v>
      </c>
      <c r="K4" s="4">
        <f>IF($B4&gt;K$2,0,$C$3*(Datos!$C$14)^(Stock!K$2-Stock!$B4)*Datos!$C$15^Stock!$B4)</f>
        <v>1880.2433312715518</v>
      </c>
      <c r="L4" s="4">
        <f>IF($B4&gt;L$2,0,$C$3*(Datos!$C$14)^(Stock!L$2-Stock!$B4)*Datos!$C$15^Stock!$B4)</f>
        <v>3372.5369614734263</v>
      </c>
      <c r="M4" s="4">
        <f>IF($B4&gt;M$2,0,$C$3*(Datos!$C$14)^(Stock!M$2-Stock!$B4)*Datos!$C$15^Stock!$B4)</f>
        <v>6049.2199958036881</v>
      </c>
      <c r="N4" s="4">
        <f>IF($B4&gt;N$2,0,$C$3*(Datos!$C$14)^(Stock!N$2-Stock!$B4)*Datos!$C$15^Stock!$B4)</f>
        <v>10850.307343005084</v>
      </c>
      <c r="O4">
        <f>IF($B4&gt;O$2,0,$C$3*(Datos!$C$14)^(Stock!O$2-Stock!$B4)*Datos!$C$15^Stock!$B4)</f>
        <v>19461.875997126601</v>
      </c>
      <c r="P4">
        <f>IF($B4&gt;P$2,0,$C$3*(Datos!$C$14)^(Stock!P$2-Stock!$B4)*Datos!$C$15^Stock!$B4)</f>
        <v>34908.192492050686</v>
      </c>
      <c r="Q4">
        <f>IF($B4&gt;Q$2,0,$C$3*(Datos!$C$14)^(Stock!Q$2-Stock!$B4)*Datos!$C$15^Stock!$B4)</f>
        <v>62613.7944380068</v>
      </c>
      <c r="R4">
        <f>IF($B4&gt;R$2,0,$C$3*(Datos!$C$14)^(Stock!R$2-Stock!$B4)*Datos!$C$15^Stock!$B4)</f>
        <v>112308.5148226379</v>
      </c>
      <c r="S4">
        <f>IF($B4&gt;S$2,0,$C$3*(Datos!$C$14)^(Stock!S$2-Stock!$B4)*Datos!$C$15^Stock!$B4)</f>
        <v>201444.4678664997</v>
      </c>
      <c r="T4">
        <f>IF($B4&gt;T$2,0,$C$3*(Datos!$C$14)^(Stock!T$2-Stock!$B4)*Datos!$C$15^Stock!$B4)</f>
        <v>361324.99568801699</v>
      </c>
      <c r="U4">
        <f>IF($B4&gt;U$2,0,$C$3*(Datos!$C$14)^(Stock!U$2-Stock!$B4)*Datos!$C$15^Stock!$B4)</f>
        <v>648097.97901954176</v>
      </c>
      <c r="V4">
        <f>IF($B4&gt;V$2,0,$C$3*(Datos!$C$14)^(Stock!V$2-Stock!$B4)*Datos!$C$15^Stock!$B4)</f>
        <v>1162474.2141334906</v>
      </c>
      <c r="W4">
        <f>IF($B4&gt;W$2,0,$C$3*(Datos!$C$14)^(Stock!W$2-Stock!$B4)*Datos!$C$15^Stock!$B4)</f>
        <v>2085095.6834792569</v>
      </c>
      <c r="X4">
        <f>IF($B4&gt;X$2,0,$C$3*(Datos!$C$14)^(Stock!X$2-Stock!$B4)*Datos!$C$15^Stock!$B4)</f>
        <v>3739974.5787088727</v>
      </c>
      <c r="Y4">
        <f>IF($B4&gt;Y$2,0,$C$3*(Datos!$C$14)^(Stock!Y$2-Stock!$B4)*Datos!$C$15^Stock!$B4)</f>
        <v>6708282.0036578737</v>
      </c>
      <c r="Z4">
        <f>IF($B4&gt;Z$2,0,$C$3*(Datos!$C$14)^(Stock!Z$2-Stock!$B4)*Datos!$C$15^Stock!$B4)</f>
        <v>12032447.412018372</v>
      </c>
      <c r="AA4">
        <f>IF($B4&gt;AA$2,0,$C$3*(Datos!$C$14)^(Stock!AA$2-Stock!$B4)*Datos!$C$15^Stock!$B4)</f>
        <v>21582245.743998621</v>
      </c>
      <c r="AB4">
        <f>IF($B4&gt;AB$2,0,$C$3*(Datos!$C$14)^(Stock!AB$2-Stock!$B4)*Datos!$C$15^Stock!$B4)</f>
        <v>38711437.11703223</v>
      </c>
      <c r="AC4">
        <f>IF($B4&gt;AC$2,0,$C$3*(Datos!$C$14)^(Stock!AC$2-Stock!$B4)*Datos!$C$15^Stock!$B4)</f>
        <v>69435562.056031629</v>
      </c>
      <c r="AD4">
        <f>IF($B4&gt;AD$2,0,$C$3*(Datos!$C$14)^(Stock!AD$2-Stock!$B4)*Datos!$C$15^Stock!$B4)</f>
        <v>124544518.03122932</v>
      </c>
      <c r="AE4">
        <f>IF($B4&gt;AE$2,0,$C$3*(Datos!$C$14)^(Stock!AE$2-Stock!$B4)*Datos!$C$15^Stock!$B4)</f>
        <v>223391825.63416412</v>
      </c>
      <c r="AF4">
        <f>IF($B4&gt;AF$2,0,$C$3*(Datos!$C$14)^(Stock!AF$2-Stock!$B4)*Datos!$C$15^Stock!$B4)</f>
        <v>400691323.46436542</v>
      </c>
      <c r="AG4">
        <f>IF($B4&gt;AG$2,0,$C$3*(Datos!$C$14)^(Stock!AG$2-Stock!$B4)*Datos!$C$15^Stock!$B4)</f>
        <v>718708199.11984575</v>
      </c>
      <c r="AH4">
        <f>IF($B4&gt;AH$2,0,$C$3*(Datos!$C$14)^(Stock!AH$2-Stock!$B4)*Datos!$C$15^Stock!$B4)</f>
        <v>1289125681.6246715</v>
      </c>
      <c r="AI4">
        <f>IF($B4&gt;AI$2,0,$C$3*(Datos!$C$14)^(Stock!AI$2-Stock!$B4)*Datos!$C$15^Stock!$B4)</f>
        <v>2312266682.1658993</v>
      </c>
      <c r="AJ4">
        <f>IF($B4&gt;AJ$2,0,$C$3*(Datos!$C$14)^(Stock!AJ$2-Stock!$B4)*Datos!$C$15^Stock!$B4)</f>
        <v>4147444493.3222198</v>
      </c>
      <c r="AK4">
        <f>IF($B4&gt;AK$2,0,$C$3*(Datos!$C$14)^(Stock!AK$2-Stock!$B4)*Datos!$C$15^Stock!$B4)</f>
        <v>7439148761.6282883</v>
      </c>
      <c r="AL4">
        <f>IF($B4&gt;AL$2,0,$C$3*(Datos!$C$14)^(Stock!AL$2-Stock!$B4)*Datos!$C$15^Stock!$B4)</f>
        <v>13343381541.75176</v>
      </c>
      <c r="AM4">
        <f>IF($B4&gt;AM$2,0,$C$3*(Datos!$C$14)^(Stock!AM$2-Stock!$B4)*Datos!$C$15^Stock!$B4)</f>
        <v>23933629595.786007</v>
      </c>
      <c r="AN4">
        <f>IF($B4&gt;AN$2,0,$C$3*(Datos!$C$14)^(Stock!AN$2-Stock!$B4)*Datos!$C$15^Stock!$B4)</f>
        <v>42929044922.827133</v>
      </c>
      <c r="AO4">
        <f>IF($B4&gt;AO$2,0,$C$3*(Datos!$C$14)^(Stock!AO$2-Stock!$B4)*Datos!$C$15^Stock!$B4)</f>
        <v>77000560680.131439</v>
      </c>
      <c r="AP4">
        <f>IF($B4&gt;AP$2,0,$C$3*(Datos!$C$14)^(Stock!AP$2-Stock!$B4)*Datos!$C$15^Stock!$B4)</f>
        <v>138113632756.40607</v>
      </c>
      <c r="AQ4">
        <f>IF($B4&gt;AQ$2,0,$C$3*(Datos!$C$14)^(Stock!AQ$2-Stock!$B4)*Datos!$C$15^Stock!$B4)</f>
        <v>247730346177.77075</v>
      </c>
      <c r="AR4">
        <f>IF($B4&gt;AR$2,0,$C$3*(Datos!$C$14)^(Stock!AR$2-Stock!$B4)*Datos!$C$15^Stock!$B4)</f>
        <v>444346609328.55389</v>
      </c>
      <c r="AS4">
        <f>IF($B4&gt;AS$2,0,$C$3*(Datos!$C$14)^(Stock!AS$2-Stock!$B4)*Datos!$C$15^Stock!$B4)</f>
        <v>797011396739.00574</v>
      </c>
      <c r="AT4">
        <f>IF($B4&gt;AT$2,0,$C$3*(Datos!$C$14)^(Stock!AT$2-Stock!$B4)*Datos!$C$15^Stock!$B4)</f>
        <v>1429575815806.8179</v>
      </c>
      <c r="AU4">
        <f>IF($B4&gt;AU$2,0,$C$3*(Datos!$C$14)^(Stock!AU$2-Stock!$B4)*Datos!$C$15^Stock!$B4)</f>
        <v>2564187941981.1699</v>
      </c>
      <c r="AV4">
        <f>IF($B4&gt;AV$2,0,$C$3*(Datos!$C$14)^(Stock!AV$2-Stock!$B4)*Datos!$C$15^Stock!$B4)</f>
        <v>4599308220733.1709</v>
      </c>
      <c r="AW4">
        <f>IF($B4&gt;AW$2,0,$C$3*(Datos!$C$14)^(Stock!AW$2-Stock!$B4)*Datos!$C$15^Stock!$B4)</f>
        <v>8249643391178.1797</v>
      </c>
      <c r="AX4">
        <f>IF($B4&gt;AX$2,0,$C$3*(Datos!$C$14)^(Stock!AX$2-Stock!$B4)*Datos!$C$15^Stock!$B4)</f>
        <v>14797141834247.619</v>
      </c>
      <c r="AY4">
        <f>IF($B4&gt;AY$2,0,$C$3*(Datos!$C$14)^(Stock!AY$2-Stock!$B4)*Datos!$C$15^Stock!$B4)</f>
        <v>26541196519716.562</v>
      </c>
      <c r="AZ4">
        <f>IF($B4&gt;AZ$2,0,$C$3*(Datos!$C$14)^(Stock!AZ$2-Stock!$B4)*Datos!$C$15^Stock!$B4)</f>
        <v>47606160743003.555</v>
      </c>
      <c r="BA4">
        <f>IF($B4&gt;BA$2,0,$C$3*(Datos!$C$14)^(Stock!BA$2-Stock!$B4)*Datos!$C$15^Stock!$B4)</f>
        <v>85389765265672.922</v>
      </c>
    </row>
    <row r="5" spans="1:53" x14ac:dyDescent="0.25">
      <c r="B5">
        <v>2</v>
      </c>
      <c r="C5" s="20"/>
      <c r="D5" s="19">
        <f>IF($B5&gt;D$2,0,$C$3*(Datos!$C$14)^(Stock!D$2-Stock!$B5)*Datos!$C$15^Stock!$B5)</f>
        <v>0</v>
      </c>
      <c r="E5" s="19">
        <f>IF($B5&gt;E$2,0,$C$3*(Datos!$C$14)^(Stock!E$2-Stock!$B5)*Datos!$C$15^Stock!$B5)</f>
        <v>24.168350080754351</v>
      </c>
      <c r="F5" s="19">
        <f>IF($B5&gt;F$2,0,$C$3*(Datos!$C$14)^(Stock!F$2-Stock!$B5)*Datos!$C$15^Stock!$B5)</f>
        <v>43.350056128135002</v>
      </c>
      <c r="G5" s="19">
        <f>IF($B5&gt;G$2,0,$C$3*(Datos!$C$14)^(Stock!G$2-Stock!$B5)*Datos!$C$15^Stock!$B5)</f>
        <v>77.755716051503001</v>
      </c>
      <c r="H5" s="19">
        <f>IF($B5&gt;H$2,0,$C$3*(Datos!$C$14)^(Stock!H$2-Stock!$B5)*Datos!$C$15^Stock!$B5)</f>
        <v>139.46813265503539</v>
      </c>
      <c r="I5" s="4">
        <f>IF($B5&gt;I$2,0,$C$3*(Datos!$C$14)^(Stock!I$2-Stock!$B5)*Datos!$C$15^Stock!$B5)</f>
        <v>250.15987266323373</v>
      </c>
      <c r="J5" s="4">
        <f>IF($B5&gt;J$2,0,$C$3*(Datos!$C$14)^(Stock!J$2-Stock!$B5)*Datos!$C$15^Stock!$B5)</f>
        <v>448.70437926972494</v>
      </c>
      <c r="K5" s="4">
        <f>IF($B5&gt;K$2,0,$C$3*(Datos!$C$14)^(Stock!K$2-Stock!$B5)*Datos!$C$15^Stock!$B5)</f>
        <v>804.82780004796371</v>
      </c>
      <c r="L5" s="4">
        <f>IF($B5&gt;L$2,0,$C$3*(Datos!$C$14)^(Stock!L$2-Stock!$B5)*Datos!$C$15^Stock!$B5)</f>
        <v>1443.5958676941534</v>
      </c>
      <c r="M5" s="4">
        <f>IF($B5&gt;M$2,0,$C$3*(Datos!$C$14)^(Stock!M$2-Stock!$B5)*Datos!$C$15^Stock!$B5)</f>
        <v>2589.3352952015848</v>
      </c>
      <c r="N5" s="4">
        <f>IF($B5&gt;N$2,0,$C$3*(Datos!$C$14)^(Stock!N$2-Stock!$B5)*Datos!$C$15^Stock!$B5)</f>
        <v>4644.4142858942814</v>
      </c>
      <c r="O5">
        <f>IF($B5&gt;O$2,0,$C$3*(Datos!$C$14)^(Stock!O$2-Stock!$B5)*Datos!$C$15^Stock!$B5)</f>
        <v>8330.5488087975009</v>
      </c>
      <c r="P5">
        <f>IF($B5&gt;P$2,0,$C$3*(Datos!$C$14)^(Stock!P$2-Stock!$B5)*Datos!$C$15^Stock!$B5)</f>
        <v>14942.259493630612</v>
      </c>
      <c r="Q5">
        <f>IF($B5&gt;Q$2,0,$C$3*(Datos!$C$14)^(Stock!Q$2-Stock!$B5)*Datos!$C$15^Stock!$B5)</f>
        <v>26801.489781706583</v>
      </c>
      <c r="R5">
        <f>IF($B5&gt;R$2,0,$C$3*(Datos!$C$14)^(Stock!R$2-Stock!$B5)*Datos!$C$15^Stock!$B5)</f>
        <v>48073.041083586999</v>
      </c>
      <c r="S5">
        <f>IF($B5&gt;S$2,0,$C$3*(Datos!$C$14)^(Stock!S$2-Stock!$B5)*Datos!$C$15^Stock!$B5)</f>
        <v>86227.194751003481</v>
      </c>
      <c r="T5">
        <f>IF($B5&gt;T$2,0,$C$3*(Datos!$C$14)^(Stock!T$2-Stock!$B5)*Datos!$C$15^Stock!$B5)</f>
        <v>154663.17393359105</v>
      </c>
      <c r="U5">
        <f>IF($B5&gt;U$2,0,$C$3*(Datos!$C$14)^(Stock!U$2-Stock!$B5)*Datos!$C$15^Stock!$B5)</f>
        <v>277414.76967083931</v>
      </c>
      <c r="V5">
        <f>IF($B5&gt;V$2,0,$C$3*(Datos!$C$14)^(Stock!V$2-Stock!$B5)*Datos!$C$15^Stock!$B5)</f>
        <v>497590.68351053819</v>
      </c>
      <c r="W5">
        <f>IF($B5&gt;W$2,0,$C$3*(Datos!$C$14)^(Stock!W$2-Stock!$B5)*Datos!$C$15^Stock!$B5)</f>
        <v>892513.72091783362</v>
      </c>
      <c r="X5">
        <f>IF($B5&gt;X$2,0,$C$3*(Datos!$C$14)^(Stock!X$2-Stock!$B5)*Datos!$C$15^Stock!$B5)</f>
        <v>1600875.5156078527</v>
      </c>
      <c r="Y5">
        <f>IF($B5&gt;Y$2,0,$C$3*(Datos!$C$14)^(Stock!Y$2-Stock!$B5)*Datos!$C$15^Stock!$B5)</f>
        <v>2871443.1570163434</v>
      </c>
      <c r="Z5">
        <f>IF($B5&gt;Z$2,0,$C$3*(Datos!$C$14)^(Stock!Z$2-Stock!$B5)*Datos!$C$15^Stock!$B5)</f>
        <v>5150422.8302506637</v>
      </c>
      <c r="AA5">
        <f>IF($B5&gt;AA$2,0,$C$3*(Datos!$C$14)^(Stock!AA$2-Stock!$B5)*Datos!$C$15^Stock!$B5)</f>
        <v>9238161.3982324991</v>
      </c>
      <c r="AB5">
        <f>IF($B5&gt;AB$2,0,$C$3*(Datos!$C$14)^(Stock!AB$2-Stock!$B5)*Datos!$C$15^Stock!$B5)</f>
        <v>16570217.404002838</v>
      </c>
      <c r="AC5">
        <f>IF($B5&gt;AC$2,0,$C$3*(Datos!$C$14)^(Stock!AC$2-Stock!$B5)*Datos!$C$15^Stock!$B5)</f>
        <v>29721509.830782045</v>
      </c>
      <c r="AD5">
        <f>IF($B5&gt;AD$2,0,$C$3*(Datos!$C$14)^(Stock!AD$2-Stock!$B5)*Datos!$C$15^Stock!$B5)</f>
        <v>53310594.851210587</v>
      </c>
      <c r="AE5">
        <f>IF($B5&gt;AE$2,0,$C$3*(Datos!$C$14)^(Stock!AE$2-Stock!$B5)*Datos!$C$15^Stock!$B5)</f>
        <v>95621640.339633465</v>
      </c>
      <c r="AF5">
        <f>IF($B5&gt;AF$2,0,$C$3*(Datos!$C$14)^(Stock!AF$2-Stock!$B5)*Datos!$C$15^Stock!$B5)</f>
        <v>171513713.67664611</v>
      </c>
      <c r="AG5">
        <f>IF($B5&gt;AG$2,0,$C$3*(Datos!$C$14)^(Stock!AG$2-Stock!$B5)*Datos!$C$15^Stock!$B5)</f>
        <v>307639085.40650439</v>
      </c>
      <c r="AH5">
        <f>IF($B5&gt;AH$2,0,$C$3*(Datos!$C$14)^(Stock!AH$2-Stock!$B5)*Datos!$C$15^Stock!$B5)</f>
        <v>551803146.47129738</v>
      </c>
      <c r="AI5">
        <f>IF($B5&gt;AI$2,0,$C$3*(Datos!$C$14)^(Stock!AI$2-Stock!$B5)*Datos!$C$15^Stock!$B5)</f>
        <v>989753015.463835</v>
      </c>
      <c r="AJ5">
        <f>IF($B5&gt;AJ$2,0,$C$3*(Datos!$C$14)^(Stock!AJ$2-Stock!$B5)*Datos!$C$15^Stock!$B5)</f>
        <v>1775290767.8838506</v>
      </c>
      <c r="AK5">
        <f>IF($B5&gt;AK$2,0,$C$3*(Datos!$C$14)^(Stock!AK$2-Stock!$B5)*Datos!$C$15^Stock!$B5)</f>
        <v>3184286646.5596466</v>
      </c>
      <c r="AL5">
        <f>IF($B5&gt;AL$2,0,$C$3*(Datos!$C$14)^(Stock!AL$2-Stock!$B5)*Datos!$C$15^Stock!$B5)</f>
        <v>5711560962.7963047</v>
      </c>
      <c r="AM5">
        <f>IF($B5&gt;AM$2,0,$C$3*(Datos!$C$14)^(Stock!AM$2-Stock!$B5)*Datos!$C$15^Stock!$B5)</f>
        <v>10244658302.663769</v>
      </c>
      <c r="AN5">
        <f>IF($B5&gt;AN$2,0,$C$3*(Datos!$C$14)^(Stock!AN$2-Stock!$B5)*Datos!$C$15^Stock!$B5)</f>
        <v>18375541191.274281</v>
      </c>
      <c r="AO5">
        <f>IF($B5&gt;AO$2,0,$C$3*(Datos!$C$14)^(Stock!AO$2-Stock!$B5)*Datos!$C$15^Stock!$B5)</f>
        <v>32959665817.689678</v>
      </c>
      <c r="AP5">
        <f>IF($B5&gt;AP$2,0,$C$3*(Datos!$C$14)^(Stock!AP$2-Stock!$B5)*Datos!$C$15^Stock!$B5)</f>
        <v>59118779659.650795</v>
      </c>
      <c r="AQ5">
        <f>IF($B5&gt;AQ$2,0,$C$3*(Datos!$C$14)^(Stock!AQ$2-Stock!$B5)*Datos!$C$15^Stock!$B5)</f>
        <v>106039609982.04463</v>
      </c>
      <c r="AR5">
        <f>IF($B5&gt;AR$2,0,$C$3*(Datos!$C$14)^(Stock!AR$2-Stock!$B5)*Datos!$C$15^Stock!$B5)</f>
        <v>190200118302.14694</v>
      </c>
      <c r="AS5">
        <f>IF($B5&gt;AS$2,0,$C$3*(Datos!$C$14)^(Stock!AS$2-Stock!$B5)*Datos!$C$15^Stock!$B5)</f>
        <v>341156337789.96619</v>
      </c>
      <c r="AT5">
        <f>IF($B5&gt;AT$2,0,$C$3*(Datos!$C$14)^(Stock!AT$2-Stock!$B5)*Datos!$C$15^Stock!$B5)</f>
        <v>611922052694.89429</v>
      </c>
      <c r="AU5">
        <f>IF($B5&gt;AU$2,0,$C$3*(Datos!$C$14)^(Stock!AU$2-Stock!$B5)*Datos!$C$15^Stock!$B5)</f>
        <v>1097586522941.4655</v>
      </c>
      <c r="AV5">
        <f>IF($B5&gt;AV$2,0,$C$3*(Datos!$C$14)^(Stock!AV$2-Stock!$B5)*Datos!$C$15^Stock!$B5)</f>
        <v>1968708547170.7952</v>
      </c>
      <c r="AW5">
        <f>IF($B5&gt;AW$2,0,$C$3*(Datos!$C$14)^(Stock!AW$2-Stock!$B5)*Datos!$C$15^Stock!$B5)</f>
        <v>3531214407877.7471</v>
      </c>
      <c r="AX5">
        <f>IF($B5&gt;AX$2,0,$C$3*(Datos!$C$14)^(Stock!AX$2-Stock!$B5)*Datos!$C$15^Stock!$B5)</f>
        <v>6333835047510.2617</v>
      </c>
      <c r="AY5">
        <f>IF($B5&gt;AY$2,0,$C$3*(Datos!$C$14)^(Stock!AY$2-Stock!$B5)*Datos!$C$15^Stock!$B5)</f>
        <v>11360812959862.109</v>
      </c>
      <c r="AZ5">
        <f>IF($B5&gt;AZ$2,0,$C$3*(Datos!$C$14)^(Stock!AZ$2-Stock!$B5)*Datos!$C$15^Stock!$B5)</f>
        <v>20377554852759.488</v>
      </c>
      <c r="BA5">
        <f>IF($B5&gt;BA$2,0,$C$3*(Datos!$C$14)^(Stock!BA$2-Stock!$B5)*Datos!$C$15^Stock!$B5)</f>
        <v>36550618625998.562</v>
      </c>
    </row>
    <row r="6" spans="1:53" x14ac:dyDescent="0.25">
      <c r="B6">
        <v>3</v>
      </c>
      <c r="C6" s="20"/>
      <c r="D6" s="19">
        <f>IF($B6&gt;D$2,0,$C$3*(Datos!$C$14)^(Stock!D$2-Stock!$B6)*Datos!$C$15^Stock!$B6)</f>
        <v>0</v>
      </c>
      <c r="E6" s="19">
        <f>IF($B6&gt;E$2,0,$C$3*(Datos!$C$14)^(Stock!E$2-Stock!$B6)*Datos!$C$15^Stock!$B6)</f>
        <v>0</v>
      </c>
      <c r="F6" s="19">
        <f>IF($B6&gt;F$2,0,$C$3*(Datos!$C$14)^(Stock!F$2-Stock!$B6)*Datos!$C$15^Stock!$B6)</f>
        <v>18.55575271843567</v>
      </c>
      <c r="G6" s="19">
        <f>IF($B6&gt;G$2,0,$C$3*(Datos!$C$14)^(Stock!G$2-Stock!$B6)*Datos!$C$15^Stock!$B6)</f>
        <v>33.282905914397986</v>
      </c>
      <c r="H6" s="19">
        <f>IF($B6&gt;H$2,0,$C$3*(Datos!$C$14)^(Stock!H$2-Stock!$B6)*Datos!$C$15^Stock!$B6)</f>
        <v>59.698565879576805</v>
      </c>
      <c r="I6" s="4">
        <f>IF($B6&gt;I$2,0,$C$3*(Datos!$C$14)^(Stock!I$2-Stock!$B6)*Datos!$C$15^Stock!$B6)</f>
        <v>107.07955541034784</v>
      </c>
      <c r="J6" s="4">
        <f>IF($B6&gt;J$2,0,$C$3*(Datos!$C$14)^(Stock!J$2-Stock!$B6)*Datos!$C$15^Stock!$B6)</f>
        <v>192.0654377193396</v>
      </c>
      <c r="K6" s="4">
        <f>IF($B6&gt;K$2,0,$C$3*(Datos!$C$14)^(Stock!K$2-Stock!$B6)*Datos!$C$15^Stock!$B6)</f>
        <v>344.50210616728674</v>
      </c>
      <c r="L6" s="4">
        <f>IF($B6&gt;L$2,0,$C$3*(Datos!$C$14)^(Stock!L$2-Stock!$B6)*Datos!$C$15^Stock!$B6)</f>
        <v>617.92325867146963</v>
      </c>
      <c r="M6" s="4">
        <f>IF($B6&gt;M$2,0,$C$3*(Datos!$C$14)^(Stock!M$2-Stock!$B6)*Datos!$C$15^Stock!$B6)</f>
        <v>1108.3507089554789</v>
      </c>
      <c r="N6" s="4">
        <f>IF($B6&gt;N$2,0,$C$3*(Datos!$C$14)^(Stock!N$2-Stock!$B6)*Datos!$C$15^Stock!$B6)</f>
        <v>1988.0159498822759</v>
      </c>
      <c r="O6">
        <f>IF($B6&gt;O$2,0,$C$3*(Datos!$C$14)^(Stock!O$2-Stock!$B6)*Datos!$C$15^Stock!$B6)</f>
        <v>3565.8455261971435</v>
      </c>
      <c r="P6">
        <f>IF($B6&gt;P$2,0,$C$3*(Datos!$C$14)^(Stock!P$2-Stock!$B6)*Datos!$C$15^Stock!$B6)</f>
        <v>6395.9518621835723</v>
      </c>
      <c r="Q6">
        <f>IF($B6&gt;Q$2,0,$C$3*(Datos!$C$14)^(Stock!Q$2-Stock!$B6)*Datos!$C$15^Stock!$B6)</f>
        <v>11472.230056750872</v>
      </c>
      <c r="R6">
        <f>IF($B6&gt;R$2,0,$C$3*(Datos!$C$14)^(Stock!R$2-Stock!$B6)*Datos!$C$15^Stock!$B6)</f>
        <v>20577.400410591257</v>
      </c>
      <c r="S6">
        <f>IF($B6&gt;S$2,0,$C$3*(Datos!$C$14)^(Stock!S$2-Stock!$B6)*Datos!$C$15^Stock!$B6)</f>
        <v>36909.075703954579</v>
      </c>
      <c r="T6">
        <f>IF($B6&gt;T$2,0,$C$3*(Datos!$C$14)^(Stock!T$2-Stock!$B6)*Datos!$C$15^Stock!$B6)</f>
        <v>66202.719592270776</v>
      </c>
      <c r="U6">
        <f>IF($B6&gt;U$2,0,$C$3*(Datos!$C$14)^(Stock!U$2-Stock!$B6)*Datos!$C$15^Stock!$B6)</f>
        <v>118745.86393241062</v>
      </c>
      <c r="V6">
        <f>IF($B6&gt;V$2,0,$C$3*(Datos!$C$14)^(Stock!V$2-Stock!$B6)*Datos!$C$15^Stock!$B6)</f>
        <v>212990.95094426954</v>
      </c>
      <c r="W6">
        <f>IF($B6&gt;W$2,0,$C$3*(Datos!$C$14)^(Stock!W$2-Stock!$B6)*Datos!$C$15^Stock!$B6)</f>
        <v>382035.58155057742</v>
      </c>
      <c r="X6">
        <f>IF($B6&gt;X$2,0,$C$3*(Datos!$C$14)^(Stock!X$2-Stock!$B6)*Datos!$C$15^Stock!$B6)</f>
        <v>685245.9455372683</v>
      </c>
      <c r="Y6">
        <f>IF($B6&gt;Y$2,0,$C$3*(Datos!$C$14)^(Stock!Y$2-Stock!$B6)*Datos!$C$15^Stock!$B6)</f>
        <v>1229105.4251267426</v>
      </c>
      <c r="Z6">
        <f>IF($B6&gt;Z$2,0,$C$3*(Datos!$C$14)^(Stock!Z$2-Stock!$B6)*Datos!$C$15^Stock!$B6)</f>
        <v>2204610.1197892143</v>
      </c>
      <c r="AA6">
        <f>IF($B6&gt;AA$2,0,$C$3*(Datos!$C$14)^(Stock!AA$2-Stock!$B6)*Datos!$C$15^Stock!$B6)</f>
        <v>3954344.0952397003</v>
      </c>
      <c r="AB6">
        <f>IF($B6&gt;AB$2,0,$C$3*(Datos!$C$14)^(Stock!AB$2-Stock!$B6)*Datos!$C$15^Stock!$B6)</f>
        <v>7092790.2776079671</v>
      </c>
      <c r="AC6">
        <f>IF($B6&gt;AC$2,0,$C$3*(Datos!$C$14)^(Stock!AC$2-Stock!$B6)*Datos!$C$15^Stock!$B6)</f>
        <v>12722128.552922666</v>
      </c>
      <c r="AD6">
        <f>IF($B6&gt;AD$2,0,$C$3*(Datos!$C$14)^(Stock!AD$2-Stock!$B6)*Datos!$C$15^Stock!$B6)</f>
        <v>22819306.448135193</v>
      </c>
      <c r="AE6">
        <f>IF($B6&gt;AE$2,0,$C$3*(Datos!$C$14)^(Stock!AE$2-Stock!$B6)*Datos!$C$15^Stock!$B6)</f>
        <v>40930316.385954045</v>
      </c>
      <c r="AF6">
        <f>IF($B6&gt;AF$2,0,$C$3*(Datos!$C$14)^(Stock!AF$2-Stock!$B6)*Datos!$C$15^Stock!$B6)</f>
        <v>73415500.302867621</v>
      </c>
      <c r="AG6">
        <f>IF($B6&gt;AG$2,0,$C$3*(Datos!$C$14)^(Stock!AG$2-Stock!$B6)*Datos!$C$15^Stock!$B6)</f>
        <v>131683215.78305639</v>
      </c>
      <c r="AH6">
        <f>IF($B6&gt;AH$2,0,$C$3*(Datos!$C$14)^(Stock!AH$2-Stock!$B6)*Datos!$C$15^Stock!$B6)</f>
        <v>236196297.06847712</v>
      </c>
      <c r="AI6">
        <f>IF($B6&gt;AI$2,0,$C$3*(Datos!$C$14)^(Stock!AI$2-Stock!$B6)*Datos!$C$15^Stock!$B6)</f>
        <v>423658325.90821797</v>
      </c>
      <c r="AJ6">
        <f>IF($B6&gt;AJ$2,0,$C$3*(Datos!$C$14)^(Stock!AJ$2-Stock!$B6)*Datos!$C$15^Stock!$B6)</f>
        <v>759903433.45356429</v>
      </c>
      <c r="AK6">
        <f>IF($B6&gt;AK$2,0,$C$3*(Datos!$C$14)^(Stock!AK$2-Stock!$B6)*Datos!$C$15^Stock!$B6)</f>
        <v>1363016357.4304829</v>
      </c>
      <c r="AL6">
        <f>IF($B6&gt;AL$2,0,$C$3*(Datos!$C$14)^(Stock!AL$2-Stock!$B6)*Datos!$C$15^Stock!$B6)</f>
        <v>2444802206.2221527</v>
      </c>
      <c r="AM6">
        <f>IF($B6&gt;AM$2,0,$C$3*(Datos!$C$14)^(Stock!AM$2-Stock!$B6)*Datos!$C$15^Stock!$B6)</f>
        <v>4385169550.5815287</v>
      </c>
      <c r="AN6">
        <f>IF($B6&gt;AN$2,0,$C$3*(Datos!$C$14)^(Stock!AN$2-Stock!$B6)*Datos!$C$15^Stock!$B6)</f>
        <v>7865549179.5642014</v>
      </c>
      <c r="AO6">
        <f>IF($B6&gt;AO$2,0,$C$3*(Datos!$C$14)^(Stock!AO$2-Stock!$B6)*Datos!$C$15^Stock!$B6)</f>
        <v>14108203384.733156</v>
      </c>
      <c r="AP6">
        <f>IF($B6&gt;AP$2,0,$C$3*(Datos!$C$14)^(Stock!AP$2-Stock!$B6)*Datos!$C$15^Stock!$B6)</f>
        <v>25305467959.202839</v>
      </c>
      <c r="AQ6">
        <f>IF($B6&gt;AQ$2,0,$C$3*(Datos!$C$14)^(Stock!AQ$2-Stock!$B6)*Datos!$C$15^Stock!$B6)</f>
        <v>45389670900.775246</v>
      </c>
      <c r="AR6">
        <f>IF($B6&gt;AR$2,0,$C$3*(Datos!$C$14)^(Stock!AR$2-Stock!$B6)*Datos!$C$15^Stock!$B6)</f>
        <v>81414112862.964951</v>
      </c>
      <c r="AS6">
        <f>IF($B6&gt;AS$2,0,$C$3*(Datos!$C$14)^(Stock!AS$2-Stock!$B6)*Datos!$C$15^Stock!$B6)</f>
        <v>146030091025.62997</v>
      </c>
      <c r="AT6">
        <f>IF($B6&gt;AT$2,0,$C$3*(Datos!$C$14)^(Stock!AT$2-Stock!$B6)*Datos!$C$15^Stock!$B6)</f>
        <v>261929863693.87018</v>
      </c>
      <c r="AU6">
        <f>IF($B6&gt;AU$2,0,$C$3*(Datos!$C$14)^(Stock!AU$2-Stock!$B6)*Datos!$C$15^Stock!$B6)</f>
        <v>469815864749.73865</v>
      </c>
      <c r="AV6">
        <f>IF($B6&gt;AV$2,0,$C$3*(Datos!$C$14)^(Stock!AV$2-Stock!$B6)*Datos!$C$15^Stock!$B6)</f>
        <v>842694848375.58948</v>
      </c>
      <c r="AW6">
        <f>IF($B6&gt;AW$2,0,$C$3*(Datos!$C$14)^(Stock!AW$2-Stock!$B6)*Datos!$C$15^Stock!$B6)</f>
        <v>1511516874503.657</v>
      </c>
      <c r="AX6">
        <f>IF($B6&gt;AX$2,0,$C$3*(Datos!$C$14)^(Stock!AX$2-Stock!$B6)*Datos!$C$15^Stock!$B6)</f>
        <v>2711163200194.4067</v>
      </c>
      <c r="AY6">
        <f>IF($B6&gt;AY$2,0,$C$3*(Datos!$C$14)^(Stock!AY$2-Stock!$B6)*Datos!$C$15^Stock!$B6)</f>
        <v>4862933402911.6035</v>
      </c>
      <c r="AZ6">
        <f>IF($B6&gt;AZ$2,0,$C$3*(Datos!$C$14)^(Stock!AZ$2-Stock!$B6)*Datos!$C$15^Stock!$B6)</f>
        <v>8722500098650.5371</v>
      </c>
      <c r="BA6">
        <f>IF($B6&gt;BA$2,0,$C$3*(Datos!$C$14)^(Stock!BA$2-Stock!$B6)*Datos!$C$15^Stock!$B6)</f>
        <v>15645290952453.873</v>
      </c>
    </row>
    <row r="7" spans="1:53" x14ac:dyDescent="0.25">
      <c r="B7">
        <v>4</v>
      </c>
      <c r="C7" s="20"/>
      <c r="D7" s="19">
        <f>IF($B7&gt;D$2,0,$C$3*(Datos!$C$14)^(Stock!D$2-Stock!$B7)*Datos!$C$15^Stock!$B7)</f>
        <v>0</v>
      </c>
      <c r="E7" s="19">
        <f>IF($B7&gt;E$2,0,$C$3*(Datos!$C$14)^(Stock!E$2-Stock!$B7)*Datos!$C$15^Stock!$B7)</f>
        <v>0</v>
      </c>
      <c r="F7" s="19">
        <f>IF($B7&gt;F$2,0,$C$3*(Datos!$C$14)^(Stock!F$2-Stock!$B7)*Datos!$C$15^Stock!$B7)</f>
        <v>0</v>
      </c>
      <c r="G7" s="19">
        <f>IF($B7&gt;G$2,0,$C$3*(Datos!$C$14)^(Stock!G$2-Stock!$B7)*Datos!$C$15^Stock!$B7)</f>
        <v>14.246564527460947</v>
      </c>
      <c r="H7" s="19">
        <f>IF($B7&gt;H$2,0,$C$3*(Datos!$C$14)^(Stock!H$2-Stock!$B7)*Datos!$C$15^Stock!$B7)</f>
        <v>25.553642256710177</v>
      </c>
      <c r="I7" s="4">
        <f>IF($B7&gt;I$2,0,$C$3*(Datos!$C$14)^(Stock!I$2-Stock!$B7)*Datos!$C$15^Stock!$B7)</f>
        <v>45.834813812498901</v>
      </c>
      <c r="J7" s="4">
        <f>IF($B7&gt;J$2,0,$C$3*(Datos!$C$14)^(Stock!J$2-Stock!$B7)*Datos!$C$15^Stock!$B7)</f>
        <v>82.212552563804465</v>
      </c>
      <c r="K7" s="4">
        <f>IF($B7&gt;K$2,0,$C$3*(Datos!$C$14)^(Stock!K$2-Stock!$B7)*Datos!$C$15^Stock!$B7)</f>
        <v>147.46222874834055</v>
      </c>
      <c r="L7" s="4">
        <f>IF($B7&gt;L$2,0,$C$3*(Datos!$C$14)^(Stock!L$2-Stock!$B7)*Datos!$C$15^Stock!$B7)</f>
        <v>264.49864685264117</v>
      </c>
      <c r="M7" s="4">
        <f>IF($B7&gt;M$2,0,$C$3*(Datos!$C$14)^(Stock!M$2-Stock!$B7)*Datos!$C$15^Stock!$B7)</f>
        <v>474.4234152751842</v>
      </c>
      <c r="N7" s="4">
        <f>IF($B7&gt;N$2,0,$C$3*(Datos!$C$14)^(Stock!N$2-Stock!$B7)*Datos!$C$15^Stock!$B7)</f>
        <v>850.95927574543032</v>
      </c>
      <c r="O7">
        <f>IF($B7&gt;O$2,0,$C$3*(Datos!$C$14)^(Stock!O$2-Stock!$B7)*Datos!$C$15^Stock!$B7)</f>
        <v>1526.3405339240319</v>
      </c>
      <c r="P7">
        <f>IF($B7&gt;P$2,0,$C$3*(Datos!$C$14)^(Stock!P$2-Stock!$B7)*Datos!$C$15^Stock!$B7)</f>
        <v>2737.751960525603</v>
      </c>
      <c r="Q7">
        <f>IF($B7&gt;Q$2,0,$C$3*(Datos!$C$14)^(Stock!Q$2-Stock!$B7)*Datos!$C$15^Stock!$B7)</f>
        <v>4910.6248774592477</v>
      </c>
      <c r="R7">
        <f>IF($B7&gt;R$2,0,$C$3*(Datos!$C$14)^(Stock!R$2-Stock!$B7)*Datos!$C$15^Stock!$B7)</f>
        <v>8808.0428887692651</v>
      </c>
      <c r="S7">
        <f>IF($B7&gt;S$2,0,$C$3*(Datos!$C$14)^(Stock!S$2-Stock!$B7)*Datos!$C$15^Stock!$B7)</f>
        <v>15798.726530001102</v>
      </c>
      <c r="T7">
        <f>IF($B7&gt;T$2,0,$C$3*(Datos!$C$14)^(Stock!T$2-Stock!$B7)*Datos!$C$15^Stock!$B7)</f>
        <v>28337.709423283341</v>
      </c>
      <c r="U7">
        <f>IF($B7&gt;U$2,0,$C$3*(Datos!$C$14)^(Stock!U$2-Stock!$B7)*Datos!$C$15^Stock!$B7)</f>
        <v>50828.512907893564</v>
      </c>
      <c r="V7">
        <f>IF($B7&gt;V$2,0,$C$3*(Datos!$C$14)^(Stock!V$2-Stock!$B7)*Datos!$C$15^Stock!$B7)</f>
        <v>91169.603225064129</v>
      </c>
      <c r="W7">
        <f>IF($B7&gt;W$2,0,$C$3*(Datos!$C$14)^(Stock!W$2-Stock!$B7)*Datos!$C$15^Stock!$B7)</f>
        <v>163528.22612138241</v>
      </c>
      <c r="X7">
        <f>IF($B7&gt;X$2,0,$C$3*(Datos!$C$14)^(Stock!X$2-Stock!$B7)*Datos!$C$15^Stock!$B7)</f>
        <v>293315.75209767139</v>
      </c>
      <c r="Y7">
        <f>IF($B7&gt;Y$2,0,$C$3*(Datos!$C$14)^(Stock!Y$2-Stock!$B7)*Datos!$C$15^Stock!$B7)</f>
        <v>526111.80631753395</v>
      </c>
      <c r="Z7">
        <f>IF($B7&gt;Z$2,0,$C$3*(Datos!$C$14)^(Stock!Z$2-Stock!$B7)*Datos!$C$15^Stock!$B7)</f>
        <v>943671.21699801728</v>
      </c>
      <c r="AA7">
        <f>IF($B7&gt;AA$2,0,$C$3*(Datos!$C$14)^(Stock!AA$2-Stock!$B7)*Datos!$C$15^Stock!$B7)</f>
        <v>1692635.2062379871</v>
      </c>
      <c r="AB7">
        <f>IF($B7&gt;AB$2,0,$C$3*(Datos!$C$14)^(Stock!AB$2-Stock!$B7)*Datos!$C$15^Stock!$B7)</f>
        <v>3036029.8054977483</v>
      </c>
      <c r="AC7">
        <f>IF($B7&gt;AC$2,0,$C$3*(Datos!$C$14)^(Stock!AC$2-Stock!$B7)*Datos!$C$15^Stock!$B7)</f>
        <v>5445637.0432925401</v>
      </c>
      <c r="AD7">
        <f>IF($B7&gt;AD$2,0,$C$3*(Datos!$C$14)^(Stock!AD$2-Stock!$B7)*Datos!$C$15^Stock!$B7)</f>
        <v>9767678.4179060757</v>
      </c>
      <c r="AE7">
        <f>IF($B7&gt;AE$2,0,$C$3*(Datos!$C$14)^(Stock!AE$2-Stock!$B7)*Datos!$C$15^Stock!$B7)</f>
        <v>17519996.451681037</v>
      </c>
      <c r="AF7">
        <f>IF($B7&gt;AF$2,0,$C$3*(Datos!$C$14)^(Stock!AF$2-Stock!$B7)*Datos!$C$15^Stock!$B7)</f>
        <v>31425100.472617507</v>
      </c>
      <c r="AG7">
        <f>IF($B7&gt;AG$2,0,$C$3*(Datos!$C$14)^(Stock!AG$2-Stock!$B7)*Datos!$C$15^Stock!$B7)</f>
        <v>56366275.098152295</v>
      </c>
      <c r="AH7">
        <f>IF($B7&gt;AH$2,0,$C$3*(Datos!$C$14)^(Stock!AH$2-Stock!$B7)*Datos!$C$15^Stock!$B7)</f>
        <v>101102523.79969387</v>
      </c>
      <c r="AI7">
        <f>IF($B7&gt;AI$2,0,$C$3*(Datos!$C$14)^(Stock!AI$2-Stock!$B7)*Datos!$C$15^Stock!$B7)</f>
        <v>181344612.5518899</v>
      </c>
      <c r="AJ7">
        <f>IF($B7&gt;AJ$2,0,$C$3*(Datos!$C$14)^(Stock!AJ$2-Stock!$B7)*Datos!$C$15^Stock!$B7)</f>
        <v>325272478.52634352</v>
      </c>
      <c r="AK7">
        <f>IF($B7&gt;AK$2,0,$C$3*(Datos!$C$14)^(Stock!AK$2-Stock!$B7)*Datos!$C$15^Stock!$B7)</f>
        <v>583431643.20029843</v>
      </c>
      <c r="AL7">
        <f>IF($B7&gt;AL$2,0,$C$3*(Datos!$C$14)^(Stock!AL$2-Stock!$B7)*Datos!$C$15^Stock!$B7)</f>
        <v>1046484116.4231248</v>
      </c>
      <c r="AM7">
        <f>IF($B7&gt;AM$2,0,$C$3*(Datos!$C$14)^(Stock!AM$2-Stock!$B7)*Datos!$C$15^Stock!$B7)</f>
        <v>1877047669.0615814</v>
      </c>
      <c r="AN7">
        <f>IF($B7&gt;AN$2,0,$C$3*(Datos!$C$14)^(Stock!AN$2-Stock!$B7)*Datos!$C$15^Stock!$B7)</f>
        <v>3366804996.4983287</v>
      </c>
      <c r="AO7">
        <f>IF($B7&gt;AO$2,0,$C$3*(Datos!$C$14)^(Stock!AO$2-Stock!$B7)*Datos!$C$15^Stock!$B7)</f>
        <v>6038938739.4264536</v>
      </c>
      <c r="AP7">
        <f>IF($B7&gt;AP$2,0,$C$3*(Datos!$C$14)^(Stock!AP$2-Stock!$B7)*Datos!$C$15^Stock!$B7)</f>
        <v>10831866156.927773</v>
      </c>
      <c r="AQ7">
        <f>IF($B7&gt;AQ$2,0,$C$3*(Datos!$C$14)^(Stock!AQ$2-Stock!$B7)*Datos!$C$15^Stock!$B7)</f>
        <v>19428798586.014553</v>
      </c>
      <c r="AR7">
        <f>IF($B7&gt;AR$2,0,$C$3*(Datos!$C$14)^(Stock!AR$2-Stock!$B7)*Datos!$C$15^Stock!$B7)</f>
        <v>34848862516.132195</v>
      </c>
      <c r="AS7">
        <f>IF($B7&gt;AS$2,0,$C$3*(Datos!$C$14)^(Stock!AS$2-Stock!$B7)*Datos!$C$15^Stock!$B7)</f>
        <v>62507376011.529465</v>
      </c>
      <c r="AT7">
        <f>IF($B7&gt;AT$2,0,$C$3*(Datos!$C$14)^(Stock!AT$2-Stock!$B7)*Datos!$C$15^Stock!$B7)</f>
        <v>112117635232.37024</v>
      </c>
      <c r="AU7">
        <f>IF($B7&gt;AU$2,0,$C$3*(Datos!$C$14)^(Stock!AU$2-Stock!$B7)*Datos!$C$15^Stock!$B7)</f>
        <v>201102092779.90213</v>
      </c>
      <c r="AV7">
        <f>IF($B7&gt;AV$2,0,$C$3*(Datos!$C$14)^(Stock!AV$2-Stock!$B7)*Datos!$C$15^Stock!$B7)</f>
        <v>360710887601.5614</v>
      </c>
      <c r="AW7">
        <f>IF($B7&gt;AW$2,0,$C$3*(Datos!$C$14)^(Stock!AW$2-Stock!$B7)*Datos!$C$15^Stock!$B7)</f>
        <v>646996471472.37207</v>
      </c>
      <c r="AX7">
        <f>IF($B7&gt;AX$2,0,$C$3*(Datos!$C$14)^(Stock!AX$2-Stock!$B7)*Datos!$C$15^Stock!$B7)</f>
        <v>1160498472560.9041</v>
      </c>
      <c r="AY7">
        <f>IF($B7&gt;AY$2,0,$C$3*(Datos!$C$14)^(Stock!AY$2-Stock!$B7)*Datos!$C$15^Stock!$B7)</f>
        <v>2081551854141.2947</v>
      </c>
      <c r="AZ7">
        <f>IF($B7&gt;AZ$2,0,$C$3*(Datos!$C$14)^(Stock!AZ$2-Stock!$B7)*Datos!$C$15^Stock!$B7)</f>
        <v>3733618116633.6436</v>
      </c>
      <c r="BA7">
        <f>IF($B7&gt;BA$2,0,$C$3*(Datos!$C$14)^(Stock!BA$2-Stock!$B7)*Datos!$C$15^Stock!$B7)</f>
        <v>6696880605266.3047</v>
      </c>
    </row>
    <row r="8" spans="1:53" x14ac:dyDescent="0.25">
      <c r="B8">
        <v>5</v>
      </c>
      <c r="C8" s="20"/>
      <c r="D8" s="19">
        <f>IF($B8&gt;D$2,0,$C$3*(Datos!$C$14)^(Stock!D$2-Stock!$B8)*Datos!$C$15^Stock!$B8)</f>
        <v>0</v>
      </c>
      <c r="E8" s="19">
        <f>IF($B8&gt;E$2,0,$C$3*(Datos!$C$14)^(Stock!E$2-Stock!$B8)*Datos!$C$15^Stock!$B8)</f>
        <v>0</v>
      </c>
      <c r="F8" s="19">
        <f>IF($B8&gt;F$2,0,$C$3*(Datos!$C$14)^(Stock!F$2-Stock!$B8)*Datos!$C$15^Stock!$B8)</f>
        <v>0</v>
      </c>
      <c r="G8" s="19">
        <f>IF($B8&gt;G$2,0,$C$3*(Datos!$C$14)^(Stock!G$2-Stock!$B8)*Datos!$C$15^Stock!$B8)</f>
        <v>0</v>
      </c>
      <c r="H8" s="19">
        <f>IF($B8&gt;H$2,0,$C$3*(Datos!$C$14)^(Stock!H$2-Stock!$B8)*Datos!$C$15^Stock!$B8)</f>
        <v>10.938095797830792</v>
      </c>
      <c r="I8" s="4">
        <f>IF($B8&gt;I$2,0,$C$3*(Datos!$C$14)^(Stock!I$2-Stock!$B8)*Datos!$C$15^Stock!$B8)</f>
        <v>19.619339557170242</v>
      </c>
      <c r="J8" s="4">
        <f>IF($B8&gt;J$2,0,$C$3*(Datos!$C$14)^(Stock!J$2-Stock!$B8)*Datos!$C$15^Stock!$B8)</f>
        <v>35.19063023162412</v>
      </c>
      <c r="K8" s="4">
        <f>IF($B8&gt;K$2,0,$C$3*(Datos!$C$14)^(Stock!K$2-Stock!$B8)*Datos!$C$15^Stock!$B8)</f>
        <v>63.120394674361464</v>
      </c>
      <c r="L8" s="4">
        <f>IF($B8&gt;L$2,0,$C$3*(Datos!$C$14)^(Stock!L$2-Stock!$B8)*Datos!$C$15^Stock!$B8)</f>
        <v>113.21718871254441</v>
      </c>
      <c r="M8" s="4">
        <f>IF($B8&gt;M$2,0,$C$3*(Datos!$C$14)^(Stock!M$2-Stock!$B8)*Datos!$C$15^Stock!$B8)</f>
        <v>203.07432940019973</v>
      </c>
      <c r="N8">
        <f>IF($B8&gt;N$2,0,$C$3*(Datos!$C$14)^(Stock!N$2-Stock!$B8)*Datos!$C$15^Stock!$B8)</f>
        <v>364.24843021006353</v>
      </c>
      <c r="O8">
        <f>IF($B8&gt;O$2,0,$C$3*(Datos!$C$14)^(Stock!O$2-Stock!$B8)*Datos!$C$15^Stock!$B8)</f>
        <v>653.3416572265437</v>
      </c>
      <c r="P8">
        <f>IF($B8&gt;P$2,0,$C$3*(Datos!$C$14)^(Stock!P$2-Stock!$B8)*Datos!$C$15^Stock!$B8)</f>
        <v>1171.8796449482497</v>
      </c>
      <c r="Q8">
        <f>IF($B8&gt;Q$2,0,$C$3*(Datos!$C$14)^(Stock!Q$2-Stock!$B8)*Datos!$C$15^Stock!$B8)</f>
        <v>2101.9659270981533</v>
      </c>
      <c r="R8">
        <f>IF($B8&gt;R$2,0,$C$3*(Datos!$C$14)^(Stock!R$2-Stock!$B8)*Datos!$C$15^Stock!$B8)</f>
        <v>3770.2342367050069</v>
      </c>
      <c r="S8">
        <f>IF($B8&gt;S$2,0,$C$3*(Datos!$C$14)^(Stock!S$2-Stock!$B8)*Datos!$C$15^Stock!$B8)</f>
        <v>6762.557858987986</v>
      </c>
      <c r="T8">
        <f>IF($B8&gt;T$2,0,$C$3*(Datos!$C$14)^(Stock!T$2-Stock!$B8)*Datos!$C$15^Stock!$B8)</f>
        <v>12129.800411586044</v>
      </c>
      <c r="U8">
        <f>IF($B8&gt;U$2,0,$C$3*(Datos!$C$14)^(Stock!U$2-Stock!$B8)*Datos!$C$15^Stock!$B8)</f>
        <v>21756.864945615587</v>
      </c>
      <c r="V8">
        <f>IF($B8&gt;V$2,0,$C$3*(Datos!$C$14)^(Stock!V$2-Stock!$B8)*Datos!$C$15^Stock!$B8)</f>
        <v>39024.646424488164</v>
      </c>
      <c r="W8">
        <f>IF($B8&gt;W$2,0,$C$3*(Datos!$C$14)^(Stock!W$2-Stock!$B8)*Datos!$C$15^Stock!$B8)</f>
        <v>69997.356345368811</v>
      </c>
      <c r="X8">
        <f>IF($B8&gt;X$2,0,$C$3*(Datos!$C$14)^(Stock!X$2-Stock!$B8)*Datos!$C$15^Stock!$B8)</f>
        <v>125552.19186472884</v>
      </c>
      <c r="Y8">
        <f>IF($B8&gt;Y$2,0,$C$3*(Datos!$C$14)^(Stock!Y$2-Stock!$B8)*Datos!$C$15^Stock!$B8)</f>
        <v>225199.26044436419</v>
      </c>
      <c r="Z8">
        <f>IF($B8&gt;Z$2,0,$C$3*(Datos!$C$14)^(Stock!Z$2-Stock!$B8)*Datos!$C$15^Stock!$B8)</f>
        <v>403933.26593078603</v>
      </c>
      <c r="AA8">
        <f>IF($B8&gt;AA$2,0,$C$3*(Datos!$C$14)^(Stock!AA$2-Stock!$B8)*Datos!$C$15^Stock!$B8)</f>
        <v>724523.17562481749</v>
      </c>
      <c r="AB8">
        <f>IF($B8&gt;AB$2,0,$C$3*(Datos!$C$14)^(Stock!AB$2-Stock!$B8)*Datos!$C$15^Stock!$B8)</f>
        <v>1299555.8333326713</v>
      </c>
      <c r="AC8">
        <f>IF($B8&gt;AC$2,0,$C$3*(Datos!$C$14)^(Stock!AC$2-Stock!$B8)*Datos!$C$15^Stock!$B8)</f>
        <v>2330974.9374028514</v>
      </c>
      <c r="AD8">
        <f>IF($B8&gt;AD$2,0,$C$3*(Datos!$C$14)^(Stock!AD$2-Stock!$B8)*Datos!$C$15^Stock!$B8)</f>
        <v>4181000.9385024435</v>
      </c>
      <c r="AE8">
        <f>IF($B8&gt;AE$2,0,$C$3*(Datos!$C$14)^(Stock!AE$2-Stock!$B8)*Datos!$C$15^Stock!$B8)</f>
        <v>7499337.9668145301</v>
      </c>
      <c r="AF8">
        <f>IF($B8&gt;AF$2,0,$C$3*(Datos!$C$14)^(Stock!AF$2-Stock!$B8)*Datos!$C$15^Stock!$B8)</f>
        <v>13451341.142403573</v>
      </c>
      <c r="AG8">
        <f>IF($B8&gt;AG$2,0,$C$3*(Datos!$C$14)^(Stock!AG$2-Stock!$B8)*Datos!$C$15^Stock!$B8)</f>
        <v>24127273.544677403</v>
      </c>
      <c r="AH8">
        <f>IF($B8&gt;AH$2,0,$C$3*(Datos!$C$14)^(Stock!AH$2-Stock!$B8)*Datos!$C$15^Stock!$B8)</f>
        <v>43276378.357888579</v>
      </c>
      <c r="AI8">
        <f>IF($B8&gt;AI$2,0,$C$3*(Datos!$C$14)^(Stock!AI$2-Stock!$B8)*Datos!$C$15^Stock!$B8)</f>
        <v>77623562.409863994</v>
      </c>
      <c r="AJ8">
        <f>IF($B8&gt;AJ$2,0,$C$3*(Datos!$C$14)^(Stock!AJ$2-Stock!$B8)*Datos!$C$15^Stock!$B8)</f>
        <v>139231092.56899533</v>
      </c>
      <c r="AK8">
        <f>IF($B8&gt;AK$2,0,$C$3*(Datos!$C$14)^(Stock!AK$2-Stock!$B8)*Datos!$C$15^Stock!$B8)</f>
        <v>249734700.85795444</v>
      </c>
      <c r="AL8">
        <f>IF($B8&gt;AL$2,0,$C$3*(Datos!$C$14)^(Stock!AL$2-Stock!$B8)*Datos!$C$15^Stock!$B8)</f>
        <v>447941761.15299898</v>
      </c>
      <c r="AM8">
        <f>IF($B8&gt;AM$2,0,$C$3*(Datos!$C$14)^(Stock!AM$2-Stock!$B8)*Datos!$C$15^Stock!$B8)</f>
        <v>803459914.44328082</v>
      </c>
      <c r="AN8">
        <f>IF($B8&gt;AN$2,0,$C$3*(Datos!$C$14)^(Stock!AN$2-Stock!$B8)*Datos!$C$15^Stock!$B8)</f>
        <v>1441142331.6628675</v>
      </c>
      <c r="AO8">
        <f>IF($B8&gt;AO$2,0,$C$3*(Datos!$C$14)^(Stock!AO$2-Stock!$B8)*Datos!$C$15^Stock!$B8)</f>
        <v>2584934460.0467949</v>
      </c>
      <c r="AP8">
        <f>IF($B8&gt;AP$2,0,$C$3*(Datos!$C$14)^(Stock!AP$2-Stock!$B8)*Datos!$C$15^Stock!$B8)</f>
        <v>4636520637.7828732</v>
      </c>
      <c r="AQ8">
        <f>IF($B8&gt;AQ$2,0,$C$3*(Datos!$C$14)^(Stock!AQ$2-Stock!$B8)*Datos!$C$15^Stock!$B8)</f>
        <v>8316390205.1881552</v>
      </c>
      <c r="AR8">
        <f>IF($B8&gt;AR$2,0,$C$3*(Datos!$C$14)^(Stock!AR$2-Stock!$B8)*Datos!$C$15^Stock!$B8)</f>
        <v>14916863624.276257</v>
      </c>
      <c r="AS8">
        <f>IF($B8&gt;AS$2,0,$C$3*(Datos!$C$14)^(Stock!AS$2-Stock!$B8)*Datos!$C$15^Stock!$B8)</f>
        <v>26755937960.491825</v>
      </c>
      <c r="AT8">
        <f>IF($B8&gt;AT$2,0,$C$3*(Datos!$C$14)^(Stock!AT$2-Stock!$B8)*Datos!$C$15^Stock!$B8)</f>
        <v>47991336126.492264</v>
      </c>
      <c r="AU8">
        <f>IF($B8&gt;AU$2,0,$C$3*(Datos!$C$14)^(Stock!AU$2-Stock!$B8)*Datos!$C$15^Stock!$B8)</f>
        <v>86080642981.264618</v>
      </c>
      <c r="AV8">
        <f>IF($B8&gt;AV$2,0,$C$3*(Datos!$C$14)^(Stock!AV$2-Stock!$B8)*Datos!$C$15^Stock!$B8)</f>
        <v>154400308350.18839</v>
      </c>
      <c r="AW8">
        <f>IF($B8&gt;AW$2,0,$C$3*(Datos!$C$14)^(Stock!AW$2-Stock!$B8)*Datos!$C$15^Stock!$B8)</f>
        <v>276943275433.2688</v>
      </c>
      <c r="AX8">
        <f>IF($B8&gt;AX$2,0,$C$3*(Datos!$C$14)^(Stock!AX$2-Stock!$B8)*Datos!$C$15^Stock!$B8)</f>
        <v>496744978214.37689</v>
      </c>
      <c r="AY8">
        <f>IF($B8&gt;AY$2,0,$C$3*(Datos!$C$14)^(Stock!AY$2-Stock!$B8)*Datos!$C$15^Stock!$B8)</f>
        <v>890996804292.00061</v>
      </c>
      <c r="AZ8">
        <f>IF($B8&gt;AZ$2,0,$C$3*(Datos!$C$14)^(Stock!AZ$2-Stock!$B8)*Datos!$C$15^Stock!$B8)</f>
        <v>1598154667033.0908</v>
      </c>
      <c r="BA8">
        <f>IF($B8&gt;BA$2,0,$C$3*(Datos!$C$14)^(Stock!BA$2-Stock!$B8)*Datos!$C$15^Stock!$B8)</f>
        <v>2866562851242.9678</v>
      </c>
    </row>
    <row r="9" spans="1:53" x14ac:dyDescent="0.25">
      <c r="B9">
        <v>6</v>
      </c>
      <c r="C9" s="20"/>
      <c r="D9" s="19">
        <f>IF($B9&gt;D$2,0,$C$3*(Datos!$C$14)^(Stock!D$2-Stock!$B9)*Datos!$C$15^Stock!$B9)</f>
        <v>0</v>
      </c>
      <c r="E9" s="19">
        <f>IF($B9&gt;E$2,0,$C$3*(Datos!$C$14)^(Stock!E$2-Stock!$B9)*Datos!$C$15^Stock!$B9)</f>
        <v>0</v>
      </c>
      <c r="F9" s="19">
        <f>IF($B9&gt;F$2,0,$C$3*(Datos!$C$14)^(Stock!F$2-Stock!$B9)*Datos!$C$15^Stock!$B9)</f>
        <v>0</v>
      </c>
      <c r="G9" s="19">
        <f>IF($B9&gt;G$2,0,$C$3*(Datos!$C$14)^(Stock!G$2-Stock!$B9)*Datos!$C$15^Stock!$B9)</f>
        <v>0</v>
      </c>
      <c r="H9" s="19">
        <f>IF($B9&gt;H$2,0,$C$3*(Datos!$C$14)^(Stock!H$2-Stock!$B9)*Datos!$C$15^Stock!$B9)</f>
        <v>0</v>
      </c>
      <c r="I9" s="4">
        <f>IF($B9&gt;I$2,0,$C$3*(Datos!$C$14)^(Stock!I$2-Stock!$B9)*Datos!$C$15^Stock!$B9)</f>
        <v>8.3979502182373853</v>
      </c>
      <c r="J9" s="4">
        <f>IF($B9&gt;J$2,0,$C$3*(Datos!$C$14)^(Stock!J$2-Stock!$B9)*Datos!$C$15^Stock!$B9)</f>
        <v>15.063155412159247</v>
      </c>
      <c r="K9" s="4">
        <f>IF($B9&gt;K$2,0,$C$3*(Datos!$C$14)^(Stock!K$2-Stock!$B9)*Datos!$C$15^Stock!$B9)</f>
        <v>27.01833722211386</v>
      </c>
      <c r="L9" s="4">
        <f>IF($B9&gt;L$2,0,$C$3*(Datos!$C$14)^(Stock!L$2-Stock!$B9)*Datos!$C$15^Stock!$B9)</f>
        <v>48.461993936449872</v>
      </c>
      <c r="M9" s="4">
        <f>IF($B9&gt;M$2,0,$C$3*(Datos!$C$14)^(Stock!M$2-Stock!$B9)*Datos!$C$15^Stock!$B9)</f>
        <v>86.924848001906653</v>
      </c>
      <c r="N9">
        <f>IF($B9&gt;N$2,0,$C$3*(Datos!$C$14)^(Stock!N$2-Stock!$B9)*Datos!$C$15^Stock!$B9)</f>
        <v>155.91453397610843</v>
      </c>
      <c r="O9">
        <f>IF($B9&gt;O$2,0,$C$3*(Datos!$C$14)^(Stock!O$2-Stock!$B9)*Datos!$C$15^Stock!$B9)</f>
        <v>279.65929724092075</v>
      </c>
      <c r="P9">
        <f>IF($B9&gt;P$2,0,$C$3*(Datos!$C$14)^(Stock!P$2-Stock!$B9)*Datos!$C$15^Stock!$B9)</f>
        <v>501.61662635806664</v>
      </c>
      <c r="Q9">
        <f>IF($B9&gt;Q$2,0,$C$3*(Datos!$C$14)^(Stock!Q$2-Stock!$B9)*Datos!$C$15^Stock!$B9)</f>
        <v>899.73493576393935</v>
      </c>
      <c r="R9">
        <f>IF($B9&gt;R$2,0,$C$3*(Datos!$C$14)^(Stock!R$2-Stock!$B9)*Datos!$C$15^Stock!$B9)</f>
        <v>1613.8279955183982</v>
      </c>
      <c r="S9">
        <f>IF($B9&gt;S$2,0,$C$3*(Datos!$C$14)^(Stock!S$2-Stock!$B9)*Datos!$C$15^Stock!$B9)</f>
        <v>2894.6756378950367</v>
      </c>
      <c r="T9">
        <f>IF($B9&gt;T$2,0,$C$3*(Datos!$C$14)^(Stock!T$2-Stock!$B9)*Datos!$C$15^Stock!$B9)</f>
        <v>5192.0942454164497</v>
      </c>
      <c r="U9">
        <f>IF($B9&gt;U$2,0,$C$3*(Datos!$C$14)^(Stock!U$2-Stock!$B9)*Datos!$C$15^Stock!$B9)</f>
        <v>9312.9061855406835</v>
      </c>
      <c r="V9">
        <f>IF($B9&gt;V$2,0,$C$3*(Datos!$C$14)^(Stock!V$2-Stock!$B9)*Datos!$C$15^Stock!$B9)</f>
        <v>16704.284922648858</v>
      </c>
      <c r="W9">
        <f>IF($B9&gt;W$2,0,$C$3*(Datos!$C$14)^(Stock!W$2-Stock!$B9)*Datos!$C$15^Stock!$B9)</f>
        <v>29961.982781514947</v>
      </c>
      <c r="X9">
        <f>IF($B9&gt;X$2,0,$C$3*(Datos!$C$14)^(Stock!X$2-Stock!$B9)*Datos!$C$15^Stock!$B9)</f>
        <v>53741.924084556602</v>
      </c>
      <c r="Y9">
        <f>IF($B9&gt;Y$2,0,$C$3*(Datos!$C$14)^(Stock!Y$2-Stock!$B9)*Datos!$C$15^Stock!$B9)</f>
        <v>96395.302853325076</v>
      </c>
      <c r="Z9">
        <f>IF($B9&gt;Z$2,0,$C$3*(Datos!$C$14)^(Stock!Z$2-Stock!$B9)*Datos!$C$15^Stock!$B9)</f>
        <v>172901.40929015315</v>
      </c>
      <c r="AA9">
        <f>IF($B9&gt;AA$2,0,$C$3*(Datos!$C$14)^(Stock!AA$2-Stock!$B9)*Datos!$C$15^Stock!$B9)</f>
        <v>310128.15406585822</v>
      </c>
      <c r="AB9">
        <f>IF($B9&gt;AB$2,0,$C$3*(Datos!$C$14)^(Stock!AB$2-Stock!$B9)*Datos!$C$15^Stock!$B9)</f>
        <v>556267.71545218502</v>
      </c>
      <c r="AC9">
        <f>IF($B9&gt;AC$2,0,$C$3*(Datos!$C$14)^(Stock!AC$2-Stock!$B9)*Datos!$C$15^Stock!$B9)</f>
        <v>997760.9810577929</v>
      </c>
      <c r="AD9">
        <f>IF($B9&gt;AD$2,0,$C$3*(Datos!$C$14)^(Stock!AD$2-Stock!$B9)*Datos!$C$15^Stock!$B9)</f>
        <v>1789654.4193871736</v>
      </c>
      <c r="AE9">
        <f>IF($B9&gt;AE$2,0,$C$3*(Datos!$C$14)^(Stock!AE$2-Stock!$B9)*Datos!$C$15^Stock!$B9)</f>
        <v>3210050.304268735</v>
      </c>
      <c r="AF9">
        <f>IF($B9&gt;AF$2,0,$C$3*(Datos!$C$14)^(Stock!AF$2-Stock!$B9)*Datos!$C$15^Stock!$B9)</f>
        <v>5757772.4751264099</v>
      </c>
      <c r="AG9">
        <f>IF($B9&gt;AG$2,0,$C$3*(Datos!$C$14)^(Stock!AG$2-Stock!$B9)*Datos!$C$15^Stock!$B9)</f>
        <v>10327546.528239055</v>
      </c>
      <c r="AH9">
        <f>IF($B9&gt;AH$2,0,$C$3*(Datos!$C$14)^(Stock!AH$2-Stock!$B9)*Datos!$C$15^Stock!$B9)</f>
        <v>18524215.354758509</v>
      </c>
      <c r="AI9">
        <f>IF($B9&gt;AI$2,0,$C$3*(Datos!$C$14)^(Stock!AI$2-Stock!$B9)*Datos!$C$15^Stock!$B9)</f>
        <v>33226338.276103679</v>
      </c>
      <c r="AJ9">
        <f>IF($B9&gt;AJ$2,0,$C$3*(Datos!$C$14)^(Stock!AJ$2-Stock!$B9)*Datos!$C$15^Stock!$B9)</f>
        <v>59597102.176556095</v>
      </c>
      <c r="AK9">
        <f>IF($B9&gt;AK$2,0,$C$3*(Datos!$C$14)^(Stock!AK$2-Stock!$B9)*Datos!$C$15^Stock!$B9)</f>
        <v>106897562.96128863</v>
      </c>
      <c r="AL9">
        <f>IF($B9&gt;AL$2,0,$C$3*(Datos!$C$14)^(Stock!AL$2-Stock!$B9)*Datos!$C$15^Stock!$B9)</f>
        <v>191739003.2355932</v>
      </c>
      <c r="AM9">
        <f>IF($B9&gt;AM$2,0,$C$3*(Datos!$C$14)^(Stock!AM$2-Stock!$B9)*Datos!$C$15^Stock!$B9)</f>
        <v>343916590.26962382</v>
      </c>
      <c r="AN9">
        <f>IF($B9&gt;AN$2,0,$C$3*(Datos!$C$14)^(Stock!AN$2-Stock!$B9)*Datos!$C$15^Stock!$B9)</f>
        <v>616873036.08934069</v>
      </c>
      <c r="AO9">
        <f>IF($B9&gt;AO$2,0,$C$3*(Datos!$C$14)^(Stock!AO$2-Stock!$B9)*Datos!$C$15^Stock!$B9)</f>
        <v>1106466955.710835</v>
      </c>
      <c r="AP9">
        <f>IF($B9&gt;AP$2,0,$C$3*(Datos!$C$14)^(Stock!AP$2-Stock!$B9)*Datos!$C$15^Stock!$B9)</f>
        <v>1984637117.2927933</v>
      </c>
      <c r="AQ9">
        <f>IF($B9&gt;AQ$2,0,$C$3*(Datos!$C$14)^(Stock!AQ$2-Stock!$B9)*Datos!$C$15^Stock!$B9)</f>
        <v>3559785013.9192171</v>
      </c>
      <c r="AR9">
        <f>IF($B9&gt;AR$2,0,$C$3*(Datos!$C$14)^(Stock!AR$2-Stock!$B9)*Datos!$C$15^Stock!$B9)</f>
        <v>6385081300.2074537</v>
      </c>
      <c r="AS9">
        <f>IF($B9&gt;AS$2,0,$C$3*(Datos!$C$14)^(Stock!AS$2-Stock!$B9)*Datos!$C$15^Stock!$B9)</f>
        <v>11452731850.616215</v>
      </c>
      <c r="AT9">
        <f>IF($B9&gt;AT$2,0,$C$3*(Datos!$C$14)^(Stock!AT$2-Stock!$B9)*Datos!$C$15^Stock!$B9)</f>
        <v>20542427053.803921</v>
      </c>
      <c r="AU9">
        <f>IF($B9&gt;AU$2,0,$C$3*(Datos!$C$14)^(Stock!AU$2-Stock!$B9)*Datos!$C$15^Stock!$B9)</f>
        <v>36846345026.243675</v>
      </c>
      <c r="AV9">
        <f>IF($B9&gt;AV$2,0,$C$3*(Datos!$C$14)^(Stock!AV$2-Stock!$B9)*Datos!$C$15^Stock!$B9)</f>
        <v>66090201427.37175</v>
      </c>
      <c r="AW9">
        <f>IF($B9&gt;AW$2,0,$C$3*(Datos!$C$14)^(Stock!AW$2-Stock!$B9)*Datos!$C$15^Stock!$B9)</f>
        <v>118544043421.39064</v>
      </c>
      <c r="AX9">
        <f>IF($B9&gt;AX$2,0,$C$3*(Datos!$C$14)^(Stock!AX$2-Stock!$B9)*Datos!$C$15^Stock!$B9)</f>
        <v>212628951451.0773</v>
      </c>
      <c r="AY9">
        <f>IF($B9&gt;AY$2,0,$C$3*(Datos!$C$14)^(Stock!AY$2-Stock!$B9)*Datos!$C$15^Stock!$B9)</f>
        <v>381386273745.29468</v>
      </c>
      <c r="AZ9">
        <f>IF($B9&gt;AZ$2,0,$C$3*(Datos!$C$14)^(Stock!AZ$2-Stock!$B9)*Datos!$C$15^Stock!$B9)</f>
        <v>684081301293.47864</v>
      </c>
      <c r="BA9">
        <f>IF($B9&gt;BA$2,0,$C$3*(Datos!$C$14)^(Stock!BA$2-Stock!$B9)*Datos!$C$15^Stock!$B9)</f>
        <v>1227016437125.125</v>
      </c>
    </row>
    <row r="10" spans="1:53" x14ac:dyDescent="0.25">
      <c r="B10">
        <v>7</v>
      </c>
      <c r="D10" s="4">
        <f>IF($B10&gt;D$2,0,$C$3*(Datos!$C$14)^(Stock!D$2-Stock!$B10)*Datos!$C$15^Stock!$B10)</f>
        <v>0</v>
      </c>
      <c r="E10" s="4">
        <f>IF($B10&gt;E$2,0,$C$3*(Datos!$C$14)^(Stock!E$2-Stock!$B10)*Datos!$C$15^Stock!$B10)</f>
        <v>0</v>
      </c>
      <c r="F10" s="4">
        <f>IF($B10&gt;F$2,0,$C$3*(Datos!$C$14)^(Stock!F$2-Stock!$B10)*Datos!$C$15^Stock!$B10)</f>
        <v>0</v>
      </c>
      <c r="G10" s="4">
        <f>IF($B10&gt;G$2,0,$C$3*(Datos!$C$14)^(Stock!G$2-Stock!$B10)*Datos!$C$15^Stock!$B10)</f>
        <v>0</v>
      </c>
      <c r="H10" s="4">
        <f>IF($B10&gt;H$2,0,$C$3*(Datos!$C$14)^(Stock!H$2-Stock!$B10)*Datos!$C$15^Stock!$B10)</f>
        <v>0</v>
      </c>
      <c r="I10" s="4">
        <f>IF($B10&gt;I$2,0,$C$3*(Datos!$C$14)^(Stock!I$2-Stock!$B10)*Datos!$C$15^Stock!$B10)</f>
        <v>0</v>
      </c>
      <c r="J10" s="4">
        <f>IF($B10&gt;J$2,0,$C$3*(Datos!$C$14)^(Stock!J$2-Stock!$B10)*Datos!$C$15^Stock!$B10)</f>
        <v>6.4477006941171382</v>
      </c>
      <c r="K10" s="4">
        <f>IF($B10&gt;K$2,0,$C$3*(Datos!$C$14)^(Stock!K$2-Stock!$B10)*Datos!$C$15^Stock!$B10)</f>
        <v>11.565050409045915</v>
      </c>
      <c r="L10" s="4">
        <f>IF($B10&gt;L$2,0,$C$3*(Datos!$C$14)^(Stock!L$2-Stock!$B10)*Datos!$C$15^Stock!$B10)</f>
        <v>20.743889536591936</v>
      </c>
      <c r="M10" s="4">
        <f>IF($B10&gt;M$2,0,$C$3*(Datos!$C$14)^(Stock!M$2-Stock!$B10)*Datos!$C$15^Stock!$B10)</f>
        <v>37.20770233476464</v>
      </c>
      <c r="N10">
        <f>IF($B10&gt;N$2,0,$C$3*(Datos!$C$14)^(Stock!N$2-Stock!$B10)*Datos!$C$15^Stock!$B10)</f>
        <v>66.738357364965935</v>
      </c>
      <c r="O10">
        <f>IF($B10&gt;O$2,0,$C$3*(Datos!$C$14)^(Stock!O$2-Stock!$B10)*Datos!$C$15^Stock!$B10)</f>
        <v>119.7066215941086</v>
      </c>
      <c r="P10">
        <f>IF($B10&gt;P$2,0,$C$3*(Datos!$C$14)^(Stock!P$2-Stock!$B10)*Datos!$C$15^Stock!$B10)</f>
        <v>214.71423360200083</v>
      </c>
      <c r="Q10">
        <f>IF($B10&gt;Q$2,0,$C$3*(Datos!$C$14)^(Stock!Q$2-Stock!$B10)*Datos!$C$15^Stock!$B10)</f>
        <v>385.12658278515408</v>
      </c>
      <c r="R10">
        <f>IF($B10&gt;R$2,0,$C$3*(Datos!$C$14)^(Stock!R$2-Stock!$B10)*Datos!$C$15^Stock!$B10)</f>
        <v>690.79018321022954</v>
      </c>
      <c r="S10">
        <f>IF($B10&gt;S$2,0,$C$3*(Datos!$C$14)^(Stock!S$2-Stock!$B10)*Datos!$C$15^Stock!$B10)</f>
        <v>1239.0499605835498</v>
      </c>
      <c r="T10">
        <f>IF($B10&gt;T$2,0,$C$3*(Datos!$C$14)^(Stock!T$2-Stock!$B10)*Datos!$C$15^Stock!$B10)</f>
        <v>2222.447339491031</v>
      </c>
      <c r="U10">
        <f>IF($B10&gt;U$2,0,$C$3*(Datos!$C$14)^(Stock!U$2-Stock!$B10)*Datos!$C$15^Stock!$B10)</f>
        <v>3986.3381896921528</v>
      </c>
      <c r="V10">
        <f>IF($B10&gt;V$2,0,$C$3*(Datos!$C$14)^(Stock!V$2-Stock!$B10)*Datos!$C$15^Stock!$B10)</f>
        <v>7150.1771404119445</v>
      </c>
      <c r="W10">
        <f>IF($B10&gt;W$2,0,$C$3*(Datos!$C$14)^(Stock!W$2-Stock!$B10)*Datos!$C$15^Stock!$B10)</f>
        <v>12825.061674764147</v>
      </c>
      <c r="X10">
        <f>IF($B10&gt;X$2,0,$C$3*(Datos!$C$14)^(Stock!X$2-Stock!$B10)*Datos!$C$15^Stock!$B10)</f>
        <v>23003.934550358259</v>
      </c>
      <c r="Y10">
        <f>IF($B10&gt;Y$2,0,$C$3*(Datos!$C$14)^(Stock!Y$2-Stock!$B10)*Datos!$C$15^Stock!$B10)</f>
        <v>41261.478362980131</v>
      </c>
      <c r="Z10">
        <f>IF($B10&gt;Z$2,0,$C$3*(Datos!$C$14)^(Stock!Z$2-Stock!$B10)*Datos!$C$15^Stock!$B10)</f>
        <v>74009.495765678163</v>
      </c>
      <c r="AA10">
        <f>IF($B10&gt;AA$2,0,$C$3*(Datos!$C$14)^(Stock!AA$2-Stock!$B10)*Datos!$C$15^Stock!$B10)</f>
        <v>132748.64791088706</v>
      </c>
      <c r="AB10">
        <f>IF($B10&gt;AB$2,0,$C$3*(Datos!$C$14)^(Stock!AB$2-Stock!$B10)*Datos!$C$15^Stock!$B10)</f>
        <v>238107.33122628491</v>
      </c>
      <c r="AC10">
        <f>IF($B10&gt;AC$2,0,$C$3*(Datos!$C$14)^(Stock!AC$2-Stock!$B10)*Datos!$C$15^Stock!$B10)</f>
        <v>427086.09146635263</v>
      </c>
      <c r="AD10">
        <f>IF($B10&gt;AD$2,0,$C$3*(Datos!$C$14)^(Stock!AD$2-Stock!$B10)*Datos!$C$15^Stock!$B10)</f>
        <v>766051.71535293781</v>
      </c>
      <c r="AE10">
        <f>IF($B10&gt;AE$2,0,$C$3*(Datos!$C$14)^(Stock!AE$2-Stock!$B10)*Datos!$C$15^Stock!$B10)</f>
        <v>1374044.3491857699</v>
      </c>
      <c r="AF10">
        <f>IF($B10&gt;AF$2,0,$C$3*(Datos!$C$14)^(Stock!AF$2-Stock!$B10)*Datos!$C$15^Stock!$B10)</f>
        <v>2464582.789504623</v>
      </c>
      <c r="AG10">
        <f>IF($B10&gt;AG$2,0,$C$3*(Datos!$C$14)^(Stock!AG$2-Stock!$B10)*Datos!$C$15^Stock!$B10)</f>
        <v>4420649.3989235638</v>
      </c>
      <c r="AH10">
        <f>IF($B10&gt;AH$2,0,$C$3*(Datos!$C$14)^(Stock!AH$2-Stock!$B10)*Datos!$C$15^Stock!$B10)</f>
        <v>7929188.3362259436</v>
      </c>
      <c r="AI10">
        <f>IF($B10&gt;AI$2,0,$C$3*(Datos!$C$14)^(Stock!AI$2-Stock!$B10)*Datos!$C$15^Stock!$B10)</f>
        <v>14222351.061509425</v>
      </c>
      <c r="AJ10">
        <f>IF($B10&gt;AJ$2,0,$C$3*(Datos!$C$14)^(Stock!AJ$2-Stock!$B10)*Datos!$C$15^Stock!$B10)</f>
        <v>25510211.277576398</v>
      </c>
      <c r="AK10">
        <f>IF($B10&gt;AK$2,0,$C$3*(Datos!$C$14)^(Stock!AK$2-Stock!$B10)*Datos!$C$15^Stock!$B10)</f>
        <v>45756912.947240897</v>
      </c>
      <c r="AL10">
        <f>IF($B10&gt;AL$2,0,$C$3*(Datos!$C$14)^(Stock!AL$2-Stock!$B10)*Datos!$C$15^Stock!$B10)</f>
        <v>82072824.0813023</v>
      </c>
      <c r="AM10">
        <f>IF($B10&gt;AM$2,0,$C$3*(Datos!$C$14)^(Stock!AM$2-Stock!$B10)*Datos!$C$15^Stock!$B10)</f>
        <v>147211601.89384162</v>
      </c>
      <c r="AN10">
        <f>IF($B10&gt;AN$2,0,$C$3*(Datos!$C$14)^(Stock!AN$2-Stock!$B10)*Datos!$C$15^Stock!$B10)</f>
        <v>264049104.8618373</v>
      </c>
      <c r="AO10">
        <f>IF($B10&gt;AO$2,0,$C$3*(Datos!$C$14)^(Stock!AO$2-Stock!$B10)*Datos!$C$15^Stock!$B10)</f>
        <v>473617085.07605243</v>
      </c>
      <c r="AP10">
        <f>IF($B10&gt;AP$2,0,$C$3*(Datos!$C$14)^(Stock!AP$2-Stock!$B10)*Datos!$C$15^Stock!$B10)</f>
        <v>849512985.06884825</v>
      </c>
      <c r="AQ10">
        <f>IF($B10&gt;AQ$2,0,$C$3*(Datos!$C$14)^(Stock!AQ$2-Stock!$B10)*Datos!$C$15^Stock!$B10)</f>
        <v>1523746365.0296748</v>
      </c>
      <c r="AR10">
        <f>IF($B10&gt;AR$2,0,$C$3*(Datos!$C$14)^(Stock!AR$2-Stock!$B10)*Datos!$C$15^Stock!$B10)</f>
        <v>2733098876.3555832</v>
      </c>
      <c r="AS10">
        <f>IF($B10&gt;AS$2,0,$C$3*(Datos!$C$14)^(Stock!AS$2-Stock!$B10)*Datos!$C$15^Stock!$B10)</f>
        <v>4902278777.7352161</v>
      </c>
      <c r="AT10">
        <f>IF($B10&gt;AT$2,0,$C$3*(Datos!$C$14)^(Stock!AT$2-Stock!$B10)*Datos!$C$15^Stock!$B10)</f>
        <v>8793072736.0580177</v>
      </c>
      <c r="AU10">
        <f>IF($B10&gt;AU$2,0,$C$3*(Datos!$C$14)^(Stock!AU$2-Stock!$B10)*Datos!$C$15^Stock!$B10)</f>
        <v>15771875008.978317</v>
      </c>
      <c r="AV10">
        <f>IF($B10&gt;AV$2,0,$C$3*(Datos!$C$14)^(Stock!AV$2-Stock!$B10)*Datos!$C$15^Stock!$B10)</f>
        <v>28289546642.639477</v>
      </c>
      <c r="AW10">
        <f>IF($B10&gt;AW$2,0,$C$3*(Datos!$C$14)^(Stock!AW$2-Stock!$B10)*Datos!$C$15^Stock!$B10)</f>
        <v>50742124749.942268</v>
      </c>
      <c r="AX10">
        <f>IF($B10&gt;AX$2,0,$C$3*(Datos!$C$14)^(Stock!AX$2-Stock!$B10)*Datos!$C$15^Stock!$B10)</f>
        <v>91014651336.18956</v>
      </c>
      <c r="AY10">
        <f>IF($B10&gt;AY$2,0,$C$3*(Datos!$C$14)^(Stock!AY$2-Stock!$B10)*Datos!$C$15^Stock!$B10)</f>
        <v>163250293492.24432</v>
      </c>
      <c r="AZ10">
        <f>IF($B10&gt;AZ$2,0,$C$3*(Datos!$C$14)^(Stock!AZ$2-Stock!$B10)*Datos!$C$15^Stock!$B10)</f>
        <v>292817232544.92084</v>
      </c>
      <c r="BA10">
        <f>IF($B10&gt;BA$2,0,$C$3*(Datos!$C$14)^(Stock!BA$2-Stock!$B10)*Datos!$C$15^Stock!$B10)</f>
        <v>525217626511.27905</v>
      </c>
    </row>
    <row r="11" spans="1:53" x14ac:dyDescent="0.25">
      <c r="B11">
        <v>8</v>
      </c>
      <c r="D11" s="4">
        <f>IF($B11&gt;D$2,0,$C$3*(Datos!$C$14)^(Stock!D$2-Stock!$B11)*Datos!$C$15^Stock!$B11)</f>
        <v>0</v>
      </c>
      <c r="E11" s="4">
        <f>IF($B11&gt;E$2,0,$C$3*(Datos!$C$14)^(Stock!E$2-Stock!$B11)*Datos!$C$15^Stock!$B11)</f>
        <v>0</v>
      </c>
      <c r="F11" s="4">
        <f>IF($B11&gt;F$2,0,$C$3*(Datos!$C$14)^(Stock!F$2-Stock!$B11)*Datos!$C$15^Stock!$B11)</f>
        <v>0</v>
      </c>
      <c r="G11" s="4">
        <f>IF($B11&gt;G$2,0,$C$3*(Datos!$C$14)^(Stock!G$2-Stock!$B11)*Datos!$C$15^Stock!$B11)</f>
        <v>0</v>
      </c>
      <c r="H11" s="4">
        <f>IF($B11&gt;H$2,0,$C$3*(Datos!$C$14)^(Stock!H$2-Stock!$B11)*Datos!$C$15^Stock!$B11)</f>
        <v>0</v>
      </c>
      <c r="I11" s="4">
        <f>IF($B11&gt;I$2,0,$C$3*(Datos!$C$14)^(Stock!I$2-Stock!$B11)*Datos!$C$15^Stock!$B11)</f>
        <v>0</v>
      </c>
      <c r="J11" s="4">
        <f>IF($B11&gt;J$2,0,$C$3*(Datos!$C$14)^(Stock!J$2-Stock!$B11)*Datos!$C$15^Stock!$B11)</f>
        <v>0</v>
      </c>
      <c r="K11" s="4">
        <f>IF($B11&gt;K$2,0,$C$3*(Datos!$C$14)^(Stock!K$2-Stock!$B11)*Datos!$C$15^Stock!$B11)</f>
        <v>4.9503561179294762</v>
      </c>
      <c r="L11" s="4">
        <f>IF($B11&gt;L$2,0,$C$3*(Datos!$C$14)^(Stock!L$2-Stock!$B11)*Datos!$C$15^Stock!$B11)</f>
        <v>8.8793076419969328</v>
      </c>
      <c r="M11" s="4">
        <f>IF($B11&gt;M$2,0,$C$3*(Datos!$C$14)^(Stock!M$2-Stock!$B11)*Datos!$C$15^Stock!$B11)</f>
        <v>15.926552014242045</v>
      </c>
      <c r="N11">
        <f>IF($B11&gt;N$2,0,$C$3*(Datos!$C$14)^(Stock!N$2-Stock!$B11)*Datos!$C$15^Stock!$B11)</f>
        <v>28.566986221158906</v>
      </c>
      <c r="O11">
        <f>IF($B11&gt;O$2,0,$C$3*(Datos!$C$14)^(Stock!O$2-Stock!$B11)*Datos!$C$15^Stock!$B11)</f>
        <v>51.239759932352207</v>
      </c>
      <c r="P11">
        <f>IF($B11&gt;P$2,0,$C$3*(Datos!$C$14)^(Stock!P$2-Stock!$B11)*Datos!$C$15^Stock!$B11)</f>
        <v>91.907244873469693</v>
      </c>
      <c r="Q11">
        <f>IF($B11&gt;Q$2,0,$C$3*(Datos!$C$14)^(Stock!Q$2-Stock!$B11)*Datos!$C$15^Stock!$B11)</f>
        <v>164.85131217210517</v>
      </c>
      <c r="R11">
        <f>IF($B11&gt;R$2,0,$C$3*(Datos!$C$14)^(Stock!R$2-Stock!$B11)*Datos!$C$15^Stock!$B11)</f>
        <v>295.68893249143184</v>
      </c>
      <c r="S11">
        <f>IF($B11&gt;S$2,0,$C$3*(Datos!$C$14)^(Stock!S$2-Stock!$B11)*Datos!$C$15^Stock!$B11)</f>
        <v>530.36850993726625</v>
      </c>
      <c r="T11">
        <f>IF($B11&gt;T$2,0,$C$3*(Datos!$C$14)^(Stock!T$2-Stock!$B11)*Datos!$C$15^Stock!$B11)</f>
        <v>951.30634062952959</v>
      </c>
      <c r="U11">
        <f>IF($B11&gt;U$2,0,$C$3*(Datos!$C$14)^(Stock!U$2-Stock!$B11)*Datos!$C$15^Stock!$B11)</f>
        <v>1706.3301021189798</v>
      </c>
      <c r="V11">
        <f>IF($B11&gt;V$2,0,$C$3*(Datos!$C$14)^(Stock!V$2-Stock!$B11)*Datos!$C$15^Stock!$B11)</f>
        <v>3060.5939359876793</v>
      </c>
      <c r="W11">
        <f>IF($B11&gt;W$2,0,$C$3*(Datos!$C$14)^(Stock!W$2-Stock!$B11)*Datos!$C$15^Stock!$B11)</f>
        <v>5489.6969990578018</v>
      </c>
      <c r="X11">
        <f>IF($B11&gt;X$2,0,$C$3*(Datos!$C$14)^(Stock!X$2-Stock!$B11)*Datos!$C$15^Stock!$B11)</f>
        <v>9846.707459981566</v>
      </c>
      <c r="Y11">
        <f>IF($B11&gt;Y$2,0,$C$3*(Datos!$C$14)^(Stock!Y$2-Stock!$B11)*Datos!$C$15^Stock!$B11)</f>
        <v>17661.748511638714</v>
      </c>
      <c r="Z11">
        <f>IF($B11&gt;Z$2,0,$C$3*(Datos!$C$14)^(Stock!Z$2-Stock!$B11)*Datos!$C$15^Stock!$B11)</f>
        <v>31679.356958265555</v>
      </c>
      <c r="AA11">
        <f>IF($B11&gt;AA$2,0,$C$3*(Datos!$C$14)^(Stock!AA$2-Stock!$B11)*Datos!$C$15^Stock!$B11)</f>
        <v>56822.327451207297</v>
      </c>
      <c r="AB11">
        <f>IF($B11&gt;AB$2,0,$C$3*(Datos!$C$14)^(Stock!AB$2-Stock!$B11)*Datos!$C$15^Stock!$B11)</f>
        <v>101920.53144341985</v>
      </c>
      <c r="AC11">
        <f>IF($B11&gt;AC$2,0,$C$3*(Datos!$C$14)^(Stock!AC$2-Stock!$B11)*Datos!$C$15^Stock!$B11)</f>
        <v>182811.84871614104</v>
      </c>
      <c r="AD11">
        <f>IF($B11&gt;AD$2,0,$C$3*(Datos!$C$14)^(Stock!AD$2-Stock!$B11)*Datos!$C$15^Stock!$B11)</f>
        <v>327904.21672365494</v>
      </c>
      <c r="AE11">
        <f>IF($B11&gt;AE$2,0,$C$3*(Datos!$C$14)^(Stock!AE$2-Stock!$B11)*Datos!$C$15^Stock!$B11)</f>
        <v>588152.11432004021</v>
      </c>
      <c r="AF11">
        <f>IF($B11&gt;AF$2,0,$C$3*(Datos!$C$14)^(Stock!AF$2-Stock!$B11)*Datos!$C$15^Stock!$B11)</f>
        <v>1054951.0861297166</v>
      </c>
      <c r="AG11">
        <f>IF($B11&gt;AG$2,0,$C$3*(Datos!$C$14)^(Stock!AG$2-Stock!$B11)*Datos!$C$15^Stock!$B11)</f>
        <v>1892234.6226926539</v>
      </c>
      <c r="AH11">
        <f>IF($B11&gt;AH$2,0,$C$3*(Datos!$C$14)^(Stock!AH$2-Stock!$B11)*Datos!$C$15^Stock!$B11)</f>
        <v>3394045.3869313793</v>
      </c>
      <c r="AI11">
        <f>IF($B11&gt;AI$2,0,$C$3*(Datos!$C$14)^(Stock!AI$2-Stock!$B11)*Datos!$C$15^Stock!$B11)</f>
        <v>6087799.0236526998</v>
      </c>
      <c r="AJ11">
        <f>IF($B11&gt;AJ$2,0,$C$3*(Datos!$C$14)^(Stock!AJ$2-Stock!$B11)*Datos!$C$15^Stock!$B11)</f>
        <v>10919505.406465581</v>
      </c>
      <c r="AK11">
        <f>IF($B11&gt;AK$2,0,$C$3*(Datos!$C$14)^(Stock!AK$2-Stock!$B11)*Datos!$C$15^Stock!$B11)</f>
        <v>19585994.520937603</v>
      </c>
      <c r="AL11">
        <f>IF($B11&gt;AL$2,0,$C$3*(Datos!$C$14)^(Stock!AL$2-Stock!$B11)*Datos!$C$15^Stock!$B11)</f>
        <v>35130820.224426702</v>
      </c>
      <c r="AM11">
        <f>IF($B11&gt;AM$2,0,$C$3*(Datos!$C$14)^(Stock!AM$2-Stock!$B11)*Datos!$C$15^Stock!$B11)</f>
        <v>63013115.229948863</v>
      </c>
      <c r="AN11">
        <f>IF($B11&gt;AN$2,0,$C$3*(Datos!$C$14)^(Stock!AN$2-Stock!$B11)*Datos!$C$15^Stock!$B11)</f>
        <v>113024764.73982213</v>
      </c>
      <c r="AO11">
        <f>IF($B11&gt;AO$2,0,$C$3*(Datos!$C$14)^(Stock!AO$2-Stock!$B11)*Datos!$C$15^Stock!$B11)</f>
        <v>202729184.20038107</v>
      </c>
      <c r="AP11">
        <f>IF($B11&gt;AP$2,0,$C$3*(Datos!$C$14)^(Stock!AP$2-Stock!$B11)*Datos!$C$15^Stock!$B11)</f>
        <v>363629353.45329267</v>
      </c>
      <c r="AQ11">
        <f>IF($B11&gt;AQ$2,0,$C$3*(Datos!$C$14)^(Stock!AQ$2-Stock!$B11)*Datos!$C$15^Stock!$B11)</f>
        <v>652231237.52209699</v>
      </c>
      <c r="AR11">
        <f>IF($B11&gt;AR$2,0,$C$3*(Datos!$C$14)^(Stock!AR$2-Stock!$B11)*Datos!$C$15^Stock!$B11)</f>
        <v>1169887917.9022284</v>
      </c>
      <c r="AS11">
        <f>IF($B11&gt;AS$2,0,$C$3*(Datos!$C$14)^(Stock!AS$2-Stock!$B11)*Datos!$C$15^Stock!$B11)</f>
        <v>2098393425.088357</v>
      </c>
      <c r="AT11">
        <f>IF($B11&gt;AT$2,0,$C$3*(Datos!$C$14)^(Stock!AT$2-Stock!$B11)*Datos!$C$15^Stock!$B11)</f>
        <v>3763826345.3046808</v>
      </c>
      <c r="AU11">
        <f>IF($B11&gt;AU$2,0,$C$3*(Datos!$C$14)^(Stock!AU$2-Stock!$B11)*Datos!$C$15^Stock!$B11)</f>
        <v>6751064213.3341055</v>
      </c>
      <c r="AV11">
        <f>IF($B11&gt;AV$2,0,$C$3*(Datos!$C$14)^(Stock!AV$2-Stock!$B11)*Datos!$C$15^Stock!$B11)</f>
        <v>12109184598.651033</v>
      </c>
      <c r="AW11">
        <f>IF($B11&gt;AW$2,0,$C$3*(Datos!$C$14)^(Stock!AW$2-Stock!$B11)*Datos!$C$15^Stock!$B11)</f>
        <v>21719886970.500462</v>
      </c>
      <c r="AX11">
        <f>IF($B11&gt;AX$2,0,$C$3*(Datos!$C$14)^(Stock!AX$2-Stock!$B11)*Datos!$C$15^Stock!$B11)</f>
        <v>38958320122.055885</v>
      </c>
      <c r="AY11">
        <f>IF($B11&gt;AY$2,0,$C$3*(Datos!$C$14)^(Stock!AY$2-Stock!$B11)*Datos!$C$15^Stock!$B11)</f>
        <v>69878388814.544235</v>
      </c>
      <c r="AZ11">
        <f>IF($B11&gt;AZ$2,0,$C$3*(Datos!$C$14)^(Stock!AZ$2-Stock!$B11)*Datos!$C$15^Stock!$B11)</f>
        <v>125338803316.42334</v>
      </c>
      <c r="BA11">
        <f>IF($B11&gt;BA$2,0,$C$3*(Datos!$C$14)^(Stock!BA$2-Stock!$B11)*Datos!$C$15^Stock!$B11)</f>
        <v>224816511704.16324</v>
      </c>
    </row>
    <row r="12" spans="1:53" x14ac:dyDescent="0.25">
      <c r="B12">
        <v>9</v>
      </c>
      <c r="D12" s="4">
        <f>IF($B12&gt;D$2,0,$C$3*(Datos!$C$14)^(Stock!D$2-Stock!$B12)*Datos!$C$15^Stock!$B12)</f>
        <v>0</v>
      </c>
      <c r="E12" s="4">
        <f>IF($B12&gt;E$2,0,$C$3*(Datos!$C$14)^(Stock!E$2-Stock!$B12)*Datos!$C$15^Stock!$B12)</f>
        <v>0</v>
      </c>
      <c r="F12" s="4">
        <f>IF($B12&gt;F$2,0,$C$3*(Datos!$C$14)^(Stock!F$2-Stock!$B12)*Datos!$C$15^Stock!$B12)</f>
        <v>0</v>
      </c>
      <c r="G12" s="4">
        <f>IF($B12&gt;G$2,0,$C$3*(Datos!$C$14)^(Stock!G$2-Stock!$B12)*Datos!$C$15^Stock!$B12)</f>
        <v>0</v>
      </c>
      <c r="H12" s="4">
        <f>IF($B12&gt;H$2,0,$C$3*(Datos!$C$14)^(Stock!H$2-Stock!$B12)*Datos!$C$15^Stock!$B12)</f>
        <v>0</v>
      </c>
      <c r="I12" s="4">
        <f>IF($B12&gt;I$2,0,$C$3*(Datos!$C$14)^(Stock!I$2-Stock!$B12)*Datos!$C$15^Stock!$B12)</f>
        <v>0</v>
      </c>
      <c r="J12" s="4">
        <f>IF($B12&gt;J$2,0,$C$3*(Datos!$C$14)^(Stock!J$2-Stock!$B12)*Datos!$C$15^Stock!$B12)</f>
        <v>0</v>
      </c>
      <c r="K12" s="4">
        <f>IF($B12&gt;K$2,0,$C$3*(Datos!$C$14)^(Stock!K$2-Stock!$B12)*Datos!$C$15^Stock!$B12)</f>
        <v>0</v>
      </c>
      <c r="L12" s="4">
        <f>IF($B12&gt;L$2,0,$C$3*(Datos!$C$14)^(Stock!L$2-Stock!$B12)*Datos!$C$15^Stock!$B12)</f>
        <v>3.8007387217401414</v>
      </c>
      <c r="M12" s="4">
        <f>IF($B12&gt;M$2,0,$C$3*(Datos!$C$14)^(Stock!M$2-Stock!$B12)*Datos!$C$15^Stock!$B12)</f>
        <v>6.8172728533510476</v>
      </c>
      <c r="N12">
        <f>IF($B12&gt;N$2,0,$C$3*(Datos!$C$14)^(Stock!N$2-Stock!$B12)*Datos!$C$15^Stock!$B12)</f>
        <v>12.227941081874414</v>
      </c>
      <c r="O12">
        <f>IF($B12&gt;O$2,0,$C$3*(Datos!$C$14)^(Stock!O$2-Stock!$B12)*Datos!$C$15^Stock!$B12)</f>
        <v>21.932896968953482</v>
      </c>
      <c r="P12">
        <f>IF($B12&gt;P$2,0,$C$3*(Datos!$C$14)^(Stock!P$2-Stock!$B12)*Datos!$C$15^Stock!$B12)</f>
        <v>39.340389868560656</v>
      </c>
      <c r="Q12">
        <f>IF($B12&gt;Q$2,0,$C$3*(Datos!$C$14)^(Stock!Q$2-Stock!$B12)*Datos!$C$15^Stock!$B12)</f>
        <v>70.563696040751339</v>
      </c>
      <c r="R12">
        <f>IF($B12&gt;R$2,0,$C$3*(Datos!$C$14)^(Stock!R$2-Stock!$B12)*Datos!$C$15^Stock!$B12)</f>
        <v>126.56801865887866</v>
      </c>
      <c r="S12">
        <f>IF($B12&gt;S$2,0,$C$3*(Datos!$C$14)^(Stock!S$2-Stock!$B12)*Datos!$C$15^Stock!$B12)</f>
        <v>227.02131897942013</v>
      </c>
      <c r="T12">
        <f>IF($B12&gt;T$2,0,$C$3*(Datos!$C$14)^(Stock!T$2-Stock!$B12)*Datos!$C$15^Stock!$B12)</f>
        <v>407.2014385408113</v>
      </c>
      <c r="U12">
        <f>IF($B12&gt;U$2,0,$C$3*(Datos!$C$14)^(Stock!U$2-Stock!$B12)*Datos!$C$15^Stock!$B12)</f>
        <v>730.38520036410023</v>
      </c>
      <c r="V12">
        <f>IF($B12&gt;V$2,0,$C$3*(Datos!$C$14)^(Stock!V$2-Stock!$B12)*Datos!$C$15^Stock!$B12)</f>
        <v>1310.0703740697645</v>
      </c>
      <c r="W12">
        <f>IF($B12&gt;W$2,0,$C$3*(Datos!$C$14)^(Stock!W$2-Stock!$B12)*Datos!$C$15^Stock!$B12)</f>
        <v>2349.8345587502558</v>
      </c>
      <c r="X12">
        <f>IF($B12&gt;X$2,0,$C$3*(Datos!$C$14)^(Stock!X$2-Stock!$B12)*Datos!$C$15^Stock!$B12)</f>
        <v>4214.8288846068999</v>
      </c>
      <c r="Y12">
        <f>IF($B12&gt;Y$2,0,$C$3*(Datos!$C$14)^(Stock!Y$2-Stock!$B12)*Datos!$C$15^Stock!$B12)</f>
        <v>7560.0141551942825</v>
      </c>
      <c r="Z12">
        <f>IF($B12&gt;Z$2,0,$C$3*(Datos!$C$14)^(Stock!Z$2-Stock!$B12)*Datos!$C$15^Stock!$B12)</f>
        <v>13560.174230434604</v>
      </c>
      <c r="AA12">
        <f>IF($B12&gt;AA$2,0,$C$3*(Datos!$C$14)^(Stock!AA$2-Stock!$B12)*Datos!$C$15^Stock!$B12)</f>
        <v>24322.484242096943</v>
      </c>
      <c r="AB12">
        <f>IF($B12&gt;AB$2,0,$C$3*(Datos!$C$14)^(Stock!AB$2-Stock!$B12)*Datos!$C$15^Stock!$B12)</f>
        <v>43626.522023536992</v>
      </c>
      <c r="AC12">
        <f>IF($B12&gt;AC$2,0,$C$3*(Datos!$C$14)^(Stock!AC$2-Stock!$B12)*Datos!$C$15^Stock!$B12)</f>
        <v>78251.604767246783</v>
      </c>
      <c r="AD12">
        <f>IF($B12&gt;AD$2,0,$C$3*(Datos!$C$14)^(Stock!AD$2-Stock!$B12)*Datos!$C$15^Stock!$B12)</f>
        <v>140357.59360660941</v>
      </c>
      <c r="AE12">
        <f>IF($B12&gt;AE$2,0,$C$3*(Datos!$C$14)^(Stock!AE$2-Stock!$B12)*Datos!$C$15^Stock!$B12)</f>
        <v>251755.27251658251</v>
      </c>
      <c r="AF12">
        <f>IF($B12&gt;AF$2,0,$C$3*(Datos!$C$14)^(Stock!AF$2-Stock!$B12)*Datos!$C$15^Stock!$B12)</f>
        <v>451566.00089298008</v>
      </c>
      <c r="AG12">
        <f>IF($B12&gt;AG$2,0,$C$3*(Datos!$C$14)^(Stock!AG$2-Stock!$B12)*Datos!$C$15^Stock!$B12)</f>
        <v>809960.60628302337</v>
      </c>
      <c r="AH12">
        <f>IF($B12&gt;AH$2,0,$C$3*(Datos!$C$14)^(Stock!AH$2-Stock!$B12)*Datos!$C$15^Stock!$B12)</f>
        <v>1452802.4307256057</v>
      </c>
      <c r="AI12">
        <f>IF($B12&gt;AI$2,0,$C$3*(Datos!$C$14)^(Stock!AI$2-Stock!$B12)*Datos!$C$15^Stock!$B12)</f>
        <v>2605848.8355478286</v>
      </c>
      <c r="AJ12">
        <f>IF($B12&gt;AJ$2,0,$C$3*(Datos!$C$14)^(Stock!AJ$2-Stock!$B12)*Datos!$C$15^Stock!$B12)</f>
        <v>4674034.135759579</v>
      </c>
      <c r="AK12">
        <f>IF($B12&gt;AK$2,0,$C$3*(Datos!$C$14)^(Stock!AK$2-Stock!$B12)*Datos!$C$15^Stock!$B12)</f>
        <v>8383677.0591694638</v>
      </c>
      <c r="AL12">
        <f>IF($B12&gt;AL$2,0,$C$3*(Datos!$C$14)^(Stock!AL$2-Stock!$B12)*Datos!$C$15^Stock!$B12)</f>
        <v>15037554.068060342</v>
      </c>
      <c r="AM12">
        <f>IF($B12&gt;AM$2,0,$C$3*(Datos!$C$14)^(Stock!AM$2-Stock!$B12)*Datos!$C$15^Stock!$B12)</f>
        <v>26972416.846915103</v>
      </c>
      <c r="AN12">
        <f>IF($B12&gt;AN$2,0,$C$3*(Datos!$C$14)^(Stock!AN$2-Stock!$B12)*Datos!$C$15^Stock!$B12)</f>
        <v>48379627.914953172</v>
      </c>
      <c r="AO12">
        <f>IF($B12&gt;AO$2,0,$C$3*(Datos!$C$14)^(Stock!AO$2-Stock!$B12)*Datos!$C$15^Stock!$B12)</f>
        <v>86777110.50046353</v>
      </c>
      <c r="AP12">
        <f>IF($B12&gt;AP$2,0,$C$3*(Datos!$C$14)^(Stock!AP$2-Stock!$B12)*Datos!$C$15^Stock!$B12)</f>
        <v>155649541.58074874</v>
      </c>
      <c r="AQ12">
        <f>IF($B12&gt;AQ$2,0,$C$3*(Datos!$C$14)^(Stock!AQ$2-Stock!$B12)*Datos!$C$15^Stock!$B12)</f>
        <v>279183988.20352316</v>
      </c>
      <c r="AR12">
        <f>IF($B12&gt;AR$2,0,$C$3*(Datos!$C$14)^(Stock!AR$2-Stock!$B12)*Datos!$C$15^Stock!$B12)</f>
        <v>500764078.5680626</v>
      </c>
      <c r="AS12">
        <f>IF($B12&gt;AS$2,0,$C$3*(Datos!$C$14)^(Stock!AS$2-Stock!$B12)*Datos!$C$15^Stock!$B12)</f>
        <v>898205745.95888007</v>
      </c>
      <c r="AT12">
        <f>IF($B12&gt;AT$2,0,$C$3*(Datos!$C$14)^(Stock!AT$2-Stock!$B12)*Datos!$C$15^Stock!$B12)</f>
        <v>1611085132.9043434</v>
      </c>
      <c r="AU12">
        <f>IF($B12&gt;AU$2,0,$C$3*(Datos!$C$14)^(Stock!AU$2-Stock!$B12)*Datos!$C$15^Stock!$B12)</f>
        <v>2889755846.1892009</v>
      </c>
      <c r="AV12">
        <f>IF($B12&gt;AV$2,0,$C$3*(Datos!$C$14)^(Stock!AV$2-Stock!$B12)*Datos!$C$15^Stock!$B12)</f>
        <v>5183269760.2582111</v>
      </c>
      <c r="AW12">
        <f>IF($B12&gt;AW$2,0,$C$3*(Datos!$C$14)^(Stock!AW$2-Stock!$B12)*Datos!$C$15^Stock!$B12)</f>
        <v>9297077966.997282</v>
      </c>
      <c r="AX12">
        <f>IF($B12&gt;AX$2,0,$C$3*(Datos!$C$14)^(Stock!AX$2-Stock!$B12)*Datos!$C$15^Stock!$B12)</f>
        <v>16675894314.2717</v>
      </c>
      <c r="AY12">
        <f>IF($B12&gt;AY$2,0,$C$3*(Datos!$C$14)^(Stock!AY$2-Stock!$B12)*Datos!$C$15^Stock!$B12)</f>
        <v>29911059385.314987</v>
      </c>
      <c r="AZ12">
        <f>IF($B12&gt;AZ$2,0,$C$3*(Datos!$C$14)^(Stock!AZ$2-Stock!$B12)*Datos!$C$15^Stock!$B12)</f>
        <v>53650584291.971359</v>
      </c>
      <c r="BA12">
        <f>IF($B12&gt;BA$2,0,$C$3*(Datos!$C$14)^(Stock!BA$2-Stock!$B12)*Datos!$C$15^Stock!$B12)</f>
        <v>96231469363.572052</v>
      </c>
    </row>
    <row r="13" spans="1:53" x14ac:dyDescent="0.25">
      <c r="B13">
        <v>10</v>
      </c>
      <c r="D13" s="4">
        <f>IF($B13&gt;D$2,0,$C$3*(Datos!$C$14)^(Stock!D$2-Stock!$B13)*Datos!$C$15^Stock!$B13)</f>
        <v>0</v>
      </c>
      <c r="E13" s="4">
        <f>IF($B13&gt;E$2,0,$C$3*(Datos!$C$14)^(Stock!E$2-Stock!$B13)*Datos!$C$15^Stock!$B13)</f>
        <v>0</v>
      </c>
      <c r="F13" s="4">
        <f>IF($B13&gt;F$2,0,$C$3*(Datos!$C$14)^(Stock!F$2-Stock!$B13)*Datos!$C$15^Stock!$B13)</f>
        <v>0</v>
      </c>
      <c r="G13" s="4">
        <f>IF($B13&gt;G$2,0,$C$3*(Datos!$C$14)^(Stock!G$2-Stock!$B13)*Datos!$C$15^Stock!$B13)</f>
        <v>0</v>
      </c>
      <c r="H13" s="4">
        <f>IF($B13&gt;H$2,0,$C$3*(Datos!$C$14)^(Stock!H$2-Stock!$B13)*Datos!$C$15^Stock!$B13)</f>
        <v>0</v>
      </c>
      <c r="I13" s="4">
        <f>IF($B13&gt;I$2,0,$C$3*(Datos!$C$14)^(Stock!I$2-Stock!$B13)*Datos!$C$15^Stock!$B13)</f>
        <v>0</v>
      </c>
      <c r="J13" s="4">
        <f>IF($B13&gt;J$2,0,$C$3*(Datos!$C$14)^(Stock!J$2-Stock!$B13)*Datos!$C$15^Stock!$B13)</f>
        <v>0</v>
      </c>
      <c r="K13" s="4">
        <f>IF($B13&gt;K$2,0,$C$3*(Datos!$C$14)^(Stock!K$2-Stock!$B13)*Datos!$C$15^Stock!$B13)</f>
        <v>0</v>
      </c>
      <c r="L13" s="4">
        <f>IF($B13&gt;L$2,0,$C$3*(Datos!$C$14)^(Stock!L$2-Stock!$B13)*Datos!$C$15^Stock!$B13)</f>
        <v>0</v>
      </c>
      <c r="M13" s="4">
        <f>IF($B13&gt;M$2,0,$C$3*(Datos!$C$14)^(Stock!M$2-Stock!$B13)*Datos!$C$15^Stock!$B13)</f>
        <v>2.91809608981765</v>
      </c>
      <c r="N13">
        <f>IF($B13&gt;N$2,0,$C$3*(Datos!$C$14)^(Stock!N$2-Stock!$B13)*Datos!$C$15^Stock!$B13)</f>
        <v>5.2341028186951055</v>
      </c>
      <c r="O13">
        <f>IF($B13&gt;O$2,0,$C$3*(Datos!$C$14)^(Stock!O$2-Stock!$B13)*Datos!$C$15^Stock!$B13)</f>
        <v>9.3882557234035389</v>
      </c>
      <c r="P13">
        <f>IF($B13&gt;P$2,0,$C$3*(Datos!$C$14)^(Stock!P$2-Stock!$B13)*Datos!$C$15^Stock!$B13)</f>
        <v>16.839437164513519</v>
      </c>
      <c r="Q13">
        <f>IF($B13&gt;Q$2,0,$C$3*(Datos!$C$14)^(Stock!Q$2-Stock!$B13)*Datos!$C$15^Stock!$B13)</f>
        <v>30.204401368265803</v>
      </c>
      <c r="R13">
        <f>IF($B13&gt;R$2,0,$C$3*(Datos!$C$14)^(Stock!R$2-Stock!$B13)*Datos!$C$15^Stock!$B13)</f>
        <v>54.176743147795882</v>
      </c>
      <c r="S13">
        <f>IF($B13&gt;S$2,0,$C$3*(Datos!$C$14)^(Stock!S$2-Stock!$B13)*Datos!$C$15^Stock!$B13)</f>
        <v>97.175224971881931</v>
      </c>
      <c r="T13">
        <f>IF($B13&gt;T$2,0,$C$3*(Datos!$C$14)^(Stock!T$2-Stock!$B13)*Datos!$C$15^Stock!$B13)</f>
        <v>174.30033257213327</v>
      </c>
      <c r="U13">
        <f>IF($B13&gt;U$2,0,$C$3*(Datos!$C$14)^(Stock!U$2-Stock!$B13)*Datos!$C$15^Stock!$B13)</f>
        <v>312.63736146272907</v>
      </c>
      <c r="V13">
        <f>IF($B13&gt;V$2,0,$C$3*(Datos!$C$14)^(Stock!V$2-Stock!$B13)*Datos!$C$15^Stock!$B13)</f>
        <v>560.76840669209309</v>
      </c>
      <c r="W13">
        <f>IF($B13&gt;W$2,0,$C$3*(Datos!$C$14)^(Stock!W$2-Stock!$B13)*Datos!$C$15^Stock!$B13)</f>
        <v>1005.8337380814835</v>
      </c>
      <c r="X13">
        <f>IF($B13&gt;X$2,0,$C$3*(Datos!$C$14)^(Stock!X$2-Stock!$B13)*Datos!$C$15^Stock!$B13)</f>
        <v>1804.134285365466</v>
      </c>
      <c r="Y13">
        <f>IF($B13&gt;Y$2,0,$C$3*(Datos!$C$14)^(Stock!Y$2-Stock!$B13)*Datos!$C$15^Stock!$B13)</f>
        <v>3236.0224124511105</v>
      </c>
      <c r="Z13">
        <f>IF($B13&gt;Z$2,0,$C$3*(Datos!$C$14)^(Stock!Z$2-Stock!$B13)*Datos!$C$15^Stock!$B13)</f>
        <v>5804.3578789173162</v>
      </c>
      <c r="AA13">
        <f>IF($B13&gt;AA$2,0,$C$3*(Datos!$C$14)^(Stock!AA$2-Stock!$B13)*Datos!$C$15^Stock!$B13)</f>
        <v>10411.105391890891</v>
      </c>
      <c r="AB13">
        <f>IF($B13&gt;AB$2,0,$C$3*(Datos!$C$14)^(Stock!AB$2-Stock!$B13)*Datos!$C$15^Stock!$B13)</f>
        <v>18674.092421964469</v>
      </c>
      <c r="AC13">
        <f>IF($B13&gt;AC$2,0,$C$3*(Datos!$C$14)^(Stock!AC$2-Stock!$B13)*Datos!$C$15^Stock!$B13)</f>
        <v>33495.168347415514</v>
      </c>
      <c r="AD13">
        <f>IF($B13&gt;AD$2,0,$C$3*(Datos!$C$14)^(Stock!AD$2-Stock!$B13)*Datos!$C$15^Stock!$B13)</f>
        <v>60079.294740026889</v>
      </c>
      <c r="AE13">
        <f>IF($B13&gt;AE$2,0,$C$3*(Datos!$C$14)^(Stock!AE$2-Stock!$B13)*Datos!$C$15^Stock!$B13)</f>
        <v>107762.4575288195</v>
      </c>
      <c r="AF13">
        <f>IF($B13&gt;AF$2,0,$C$3*(Datos!$C$14)^(Stock!AF$2-Stock!$B13)*Datos!$C$15^Stock!$B13)</f>
        <v>193290.33909104485</v>
      </c>
      <c r="AG13">
        <f>IF($B13&gt;AG$2,0,$C$3*(Datos!$C$14)^(Stock!AG$2-Stock!$B13)*Datos!$C$15^Stock!$B13)</f>
        <v>346699.17560055089</v>
      </c>
      <c r="AH13">
        <f>IF($B13&gt;AH$2,0,$C$3*(Datos!$C$14)^(Stock!AH$2-Stock!$B13)*Datos!$C$15^Stock!$B13)</f>
        <v>621864.07725987863</v>
      </c>
      <c r="AI13">
        <f>IF($B13&gt;AI$2,0,$C$3*(Datos!$C$14)^(Stock!AI$2-Stock!$B13)*Datos!$C$15^Stock!$B13)</f>
        <v>1115419.2389307362</v>
      </c>
      <c r="AJ13">
        <f>IF($B13&gt;AJ$2,0,$C$3*(Datos!$C$14)^(Stock!AJ$2-Stock!$B13)*Datos!$C$15^Stock!$B13)</f>
        <v>2000694.5634469984</v>
      </c>
      <c r="AK13">
        <f>IF($B13&gt;AK$2,0,$C$3*(Datos!$C$14)^(Stock!AK$2-Stock!$B13)*Datos!$C$15^Stock!$B13)</f>
        <v>3588586.7810954386</v>
      </c>
      <c r="AL13">
        <f>IF($B13&gt;AL$2,0,$C$3*(Datos!$C$14)^(Stock!AL$2-Stock!$B13)*Datos!$C$15^Stock!$B13)</f>
        <v>6436742.1798085356</v>
      </c>
      <c r="AM13">
        <f>IF($B13&gt;AM$2,0,$C$3*(Datos!$C$14)^(Stock!AM$2-Stock!$B13)*Datos!$C$15^Stock!$B13)</f>
        <v>11545394.445408696</v>
      </c>
      <c r="AN13">
        <f>IF($B13&gt;AN$2,0,$C$3*(Datos!$C$14)^(Stock!AN$2-Stock!$B13)*Datos!$C$15^Stock!$B13)</f>
        <v>20708633.214829016</v>
      </c>
      <c r="AO13">
        <f>IF($B13&gt;AO$2,0,$C$3*(Datos!$C$14)^(Stock!AO$2-Stock!$B13)*Datos!$C$15^Stock!$B13)</f>
        <v>37144464.111129709</v>
      </c>
      <c r="AP13">
        <f>IF($B13&gt;AP$2,0,$C$3*(Datos!$C$14)^(Stock!AP$2-Stock!$B13)*Datos!$C$15^Stock!$B13)</f>
        <v>66624928.829924926</v>
      </c>
      <c r="AQ13">
        <f>IF($B13&gt;AQ$2,0,$C$3*(Datos!$C$14)^(Stock!AQ$2-Stock!$B13)*Datos!$C$15^Stock!$B13)</f>
        <v>119503168.17903765</v>
      </c>
      <c r="AR13">
        <f>IF($B13&gt;AR$2,0,$C$3*(Datos!$C$14)^(Stock!AR$2-Stock!$B13)*Datos!$C$15^Stock!$B13)</f>
        <v>214349305.21701312</v>
      </c>
      <c r="AS13">
        <f>IF($B13&gt;AS$2,0,$C$3*(Datos!$C$14)^(Stock!AS$2-Stock!$B13)*Datos!$C$15^Stock!$B13)</f>
        <v>384472021.51311427</v>
      </c>
      <c r="AT13">
        <f>IF($B13&gt;AT$2,0,$C$3*(Datos!$C$14)^(Stock!AT$2-Stock!$B13)*Datos!$C$15^Stock!$B13)</f>
        <v>689616115.97819173</v>
      </c>
      <c r="AU13">
        <f>IF($B13&gt;AU$2,0,$C$3*(Datos!$C$14)^(Stock!AU$2-Stock!$B13)*Datos!$C$15^Stock!$B13)</f>
        <v>1236944070.8460631</v>
      </c>
      <c r="AV13">
        <f>IF($B13&gt;AV$2,0,$C$3*(Datos!$C$14)^(Stock!AV$2-Stock!$B13)*Datos!$C$15^Stock!$B13)</f>
        <v>2218670067.2314568</v>
      </c>
      <c r="AW13">
        <f>IF($B13&gt;AW$2,0,$C$3*(Datos!$C$14)^(Stock!AW$2-Stock!$B13)*Datos!$C$15^Stock!$B13)</f>
        <v>3979563007.9392962</v>
      </c>
      <c r="AX13">
        <f>IF($B13&gt;AX$2,0,$C$3*(Datos!$C$14)^(Stock!AX$2-Stock!$B13)*Datos!$C$15^Stock!$B13)</f>
        <v>7138024696.8945618</v>
      </c>
      <c r="AY13">
        <f>IF($B13&gt;AY$2,0,$C$3*(Datos!$C$14)^(Stock!AY$2-Stock!$B13)*Datos!$C$15^Stock!$B13)</f>
        <v>12803264195.548054</v>
      </c>
      <c r="AZ13">
        <f>IF($B13&gt;AZ$2,0,$C$3*(Datos!$C$14)^(Stock!AZ$2-Stock!$B13)*Datos!$C$15^Stock!$B13)</f>
        <v>22964837055.315689</v>
      </c>
      <c r="BA13">
        <f>IF($B13&gt;BA$2,0,$C$3*(Datos!$C$14)^(Stock!BA$2-Stock!$B13)*Datos!$C$15^Stock!$B13)</f>
        <v>41191350340.21888</v>
      </c>
    </row>
    <row r="14" spans="1:53" x14ac:dyDescent="0.25">
      <c r="B14">
        <v>11</v>
      </c>
      <c r="D14">
        <f>IF($B14&gt;D$2,0,$C$3*(Datos!$C$14)^(Stock!D$2-Stock!$B14)*Datos!$C$15^Stock!$B14)</f>
        <v>0</v>
      </c>
      <c r="E14">
        <f>IF($B14&gt;E$2,0,$C$3*(Datos!$C$14)^(Stock!E$2-Stock!$B14)*Datos!$C$15^Stock!$B14)</f>
        <v>0</v>
      </c>
      <c r="F14">
        <f>IF($B14&gt;F$2,0,$C$3*(Datos!$C$14)^(Stock!F$2-Stock!$B14)*Datos!$C$15^Stock!$B14)</f>
        <v>0</v>
      </c>
      <c r="G14">
        <f>IF($B14&gt;G$2,0,$C$3*(Datos!$C$14)^(Stock!G$2-Stock!$B14)*Datos!$C$15^Stock!$B14)</f>
        <v>0</v>
      </c>
      <c r="H14">
        <f>IF($B14&gt;H$2,0,$C$3*(Datos!$C$14)^(Stock!H$2-Stock!$B14)*Datos!$C$15^Stock!$B14)</f>
        <v>0</v>
      </c>
      <c r="I14">
        <f>IF($B14&gt;I$2,0,$C$3*(Datos!$C$14)^(Stock!I$2-Stock!$B14)*Datos!$C$15^Stock!$B14)</f>
        <v>0</v>
      </c>
      <c r="J14">
        <f>IF($B14&gt;J$2,0,$C$3*(Datos!$C$14)^(Stock!J$2-Stock!$B14)*Datos!$C$15^Stock!$B14)</f>
        <v>0</v>
      </c>
      <c r="K14">
        <f>IF($B14&gt;K$2,0,$C$3*(Datos!$C$14)^(Stock!K$2-Stock!$B14)*Datos!$C$15^Stock!$B14)</f>
        <v>0</v>
      </c>
      <c r="L14">
        <f>IF($B14&gt;L$2,0,$C$3*(Datos!$C$14)^(Stock!L$2-Stock!$B14)*Datos!$C$15^Stock!$B14)</f>
        <v>0</v>
      </c>
      <c r="M14">
        <f>IF($B14&gt;M$2,0,$C$3*(Datos!$C$14)^(Stock!M$2-Stock!$B14)*Datos!$C$15^Stock!$B14)</f>
        <v>0</v>
      </c>
      <c r="N14">
        <f>IF($B14&gt;N$2,0,$C$3*(Datos!$C$14)^(Stock!N$2-Stock!$B14)*Datos!$C$15^Stock!$B14)</f>
        <v>2.2404288778657206</v>
      </c>
      <c r="O14">
        <f>IF($B14&gt;O$2,0,$C$3*(Datos!$C$14)^(Stock!O$2-Stock!$B14)*Datos!$C$15^Stock!$B14)</f>
        <v>4.0185911442880791</v>
      </c>
      <c r="P14">
        <f>IF($B14&gt;P$2,0,$C$3*(Datos!$C$14)^(Stock!P$2-Stock!$B14)*Datos!$C$15^Stock!$B14)</f>
        <v>7.2080283130141209</v>
      </c>
      <c r="Q14">
        <f>IF($B14&gt;Q$2,0,$C$3*(Datos!$C$14)^(Stock!Q$2-Stock!$B14)*Datos!$C$15^Stock!$B14)</f>
        <v>12.92882761538497</v>
      </c>
      <c r="R14">
        <f>IF($B14&gt;R$2,0,$C$3*(Datos!$C$14)^(Stock!R$2-Stock!$B14)*Datos!$C$15^Stock!$B14)</f>
        <v>23.190056455042331</v>
      </c>
      <c r="S14">
        <f>IF($B14&gt;S$2,0,$C$3*(Datos!$C$14)^(Stock!S$2-Stock!$B14)*Datos!$C$15^Stock!$B14)</f>
        <v>41.595319729385807</v>
      </c>
      <c r="T14">
        <f>IF($B14&gt;T$2,0,$C$3*(Datos!$C$14)^(Stock!T$2-Stock!$B14)*Datos!$C$15^Stock!$B14)</f>
        <v>74.608297170127514</v>
      </c>
      <c r="U14">
        <f>IF($B14&gt;U$2,0,$C$3*(Datos!$C$14)^(Stock!U$2-Stock!$B14)*Datos!$C$15^Stock!$B14)</f>
        <v>133.82270031437142</v>
      </c>
      <c r="V14">
        <f>IF($B14&gt;V$2,0,$C$3*(Datos!$C$14)^(Stock!V$2-Stock!$B14)*Datos!$C$15^Stock!$B14)</f>
        <v>240.03382731807571</v>
      </c>
      <c r="W14">
        <f>IF($B14&gt;W$2,0,$C$3*(Datos!$C$14)^(Stock!W$2-Stock!$B14)*Datos!$C$15^Stock!$B14)</f>
        <v>430.54159063906059</v>
      </c>
      <c r="X14">
        <f>IF($B14&gt;X$2,0,$C$3*(Datos!$C$14)^(Stock!X$2-Stock!$B14)*Datos!$C$15^Stock!$B14)</f>
        <v>772.24974221811885</v>
      </c>
      <c r="Y14">
        <f>IF($B14&gt;Y$2,0,$C$3*(Datos!$C$14)^(Stock!Y$2-Stock!$B14)*Datos!$C$15^Stock!$B14)</f>
        <v>1385.1615670178319</v>
      </c>
      <c r="Z14">
        <f>IF($B14&gt;Z$2,0,$C$3*(Datos!$C$14)^(Stock!Z$2-Stock!$B14)*Datos!$C$15^Stock!$B14)</f>
        <v>2484.5234149671942</v>
      </c>
      <c r="AA14">
        <f>IF($B14&gt;AA$2,0,$C$3*(Datos!$C$14)^(Stock!AA$2-Stock!$B14)*Datos!$C$15^Stock!$B14)</f>
        <v>4456.4163101998483</v>
      </c>
      <c r="AB14">
        <f>IF($B14&gt;AB$2,0,$C$3*(Datos!$C$14)^(Stock!AB$2-Stock!$B14)*Datos!$C$15^Stock!$B14)</f>
        <v>7993.3423891992006</v>
      </c>
      <c r="AC14">
        <f>IF($B14&gt;AC$2,0,$C$3*(Datos!$C$14)^(Stock!AC$2-Stock!$B14)*Datos!$C$15^Stock!$B14)</f>
        <v>14337.422292600733</v>
      </c>
      <c r="AD14">
        <f>IF($B14&gt;AD$2,0,$C$3*(Datos!$C$14)^(Stock!AD$2-Stock!$B14)*Datos!$C$15^Stock!$B14)</f>
        <v>25716.61114806297</v>
      </c>
      <c r="AE14">
        <f>IF($B14&gt;AE$2,0,$C$3*(Datos!$C$14)^(Stock!AE$2-Stock!$B14)*Datos!$C$15^Stock!$B14)</f>
        <v>46127.126302332836</v>
      </c>
      <c r="AF14">
        <f>IF($B14&gt;AF$2,0,$C$3*(Datos!$C$14)^(Stock!AF$2-Stock!$B14)*Datos!$C$15^Stock!$B14)</f>
        <v>82736.86484821426</v>
      </c>
      <c r="AG14">
        <f>IF($B14&gt;AG$2,0,$C$3*(Datos!$C$14)^(Stock!AG$2-Stock!$B14)*Datos!$C$15^Stock!$B14)</f>
        <v>148402.67221601171</v>
      </c>
      <c r="AH14">
        <f>IF($B14&gt;AH$2,0,$C$3*(Datos!$C$14)^(Stock!AH$2-Stock!$B14)*Datos!$C$15^Stock!$B14)</f>
        <v>266185.49254018959</v>
      </c>
      <c r="AI14">
        <f>IF($B14&gt;AI$2,0,$C$3*(Datos!$C$14)^(Stock!AI$2-Stock!$B14)*Datos!$C$15^Stock!$B14)</f>
        <v>477449.06059190613</v>
      </c>
      <c r="AJ14">
        <f>IF($B14&gt;AJ$2,0,$C$3*(Datos!$C$14)^(Stock!AJ$2-Stock!$B14)*Datos!$C$15^Stock!$B14)</f>
        <v>856386.28643773927</v>
      </c>
      <c r="AK14">
        <f>IF($B14&gt;AK$2,0,$C$3*(Datos!$C$14)^(Stock!AK$2-Stock!$B14)*Datos!$C$15^Stock!$B14)</f>
        <v>1536074.8028059998</v>
      </c>
      <c r="AL14">
        <f>IF($B14&gt;AL$2,0,$C$3*(Datos!$C$14)^(Stock!AL$2-Stock!$B14)*Datos!$C$15^Stock!$B14)</f>
        <v>2755212.0312788682</v>
      </c>
      <c r="AM14">
        <f>IF($B14&gt;AM$2,0,$C$3*(Datos!$C$14)^(Stock!AM$2-Stock!$B14)*Datos!$C$15^Stock!$B14)</f>
        <v>4941942.490975529</v>
      </c>
      <c r="AN14">
        <f>IF($B14&gt;AN$2,0,$C$3*(Datos!$C$14)^(Stock!AN$2-Stock!$B14)*Datos!$C$15^Stock!$B14)</f>
        <v>8864216.3676866852</v>
      </c>
      <c r="AO14">
        <f>IF($B14&gt;AO$2,0,$C$3*(Datos!$C$14)^(Stock!AO$2-Stock!$B14)*Datos!$C$15^Stock!$B14)</f>
        <v>15899483.240982454</v>
      </c>
      <c r="AP14">
        <f>IF($B14&gt;AP$2,0,$C$3*(Datos!$C$14)^(Stock!AP$2-Stock!$B14)*Datos!$C$15^Stock!$B14)</f>
        <v>28518433.761590827</v>
      </c>
      <c r="AQ14">
        <f>IF($B14&gt;AQ$2,0,$C$3*(Datos!$C$14)^(Stock!AQ$2-Stock!$B14)*Datos!$C$15^Stock!$B14)</f>
        <v>51152672.818817243</v>
      </c>
      <c r="AR14">
        <f>IF($B14&gt;AR$2,0,$C$3*(Datos!$C$14)^(Stock!AR$2-Stock!$B14)*Datos!$C$15^Stock!$B14)</f>
        <v>91751039.288596749</v>
      </c>
      <c r="AS14">
        <f>IF($B14&gt;AS$2,0,$C$3*(Datos!$C$14)^(Stock!AS$2-Stock!$B14)*Datos!$C$15^Stock!$B14)</f>
        <v>164571130.82546198</v>
      </c>
      <c r="AT14">
        <f>IF($B14&gt;AT$2,0,$C$3*(Datos!$C$14)^(Stock!AT$2-Stock!$B14)*Datos!$C$15^Stock!$B14)</f>
        <v>295186379.48047107</v>
      </c>
      <c r="AU14">
        <f>IF($B14&gt;AU$2,0,$C$3*(Datos!$C$14)^(Stock!AU$2-Stock!$B14)*Datos!$C$15^Stock!$B14)</f>
        <v>529467095.43608105</v>
      </c>
      <c r="AV14">
        <f>IF($B14&gt;AV$2,0,$C$3*(Datos!$C$14)^(Stock!AV$2-Stock!$B14)*Datos!$C$15^Stock!$B14)</f>
        <v>949689500.04709315</v>
      </c>
      <c r="AW14">
        <f>IF($B14&gt;AW$2,0,$C$3*(Datos!$C$14)^(Stock!AW$2-Stock!$B14)*Datos!$C$15^Stock!$B14)</f>
        <v>1703430022.8928568</v>
      </c>
      <c r="AX14">
        <f>IF($B14&gt;AX$2,0,$C$3*(Datos!$C$14)^(Stock!AX$2-Stock!$B14)*Datos!$C$15^Stock!$B14)</f>
        <v>3055392149.4855638</v>
      </c>
      <c r="AY14">
        <f>IF($B14&gt;AY$2,0,$C$3*(Datos!$C$14)^(Stock!AY$2-Stock!$B14)*Datos!$C$15^Stock!$B14)</f>
        <v>5480366708.1575184</v>
      </c>
      <c r="AZ14">
        <f>IF($B14&gt;AZ$2,0,$C$3*(Datos!$C$14)^(Stock!AZ$2-Stock!$B14)*Datos!$C$15^Stock!$B14)</f>
        <v>9829971992.6092548</v>
      </c>
      <c r="BA14">
        <f>IF($B14&gt;BA$2,0,$C$3*(Datos!$C$14)^(Stock!BA$2-Stock!$B14)*Datos!$C$15^Stock!$B14)</f>
        <v>17631730597.817699</v>
      </c>
    </row>
    <row r="15" spans="1:53" x14ac:dyDescent="0.25">
      <c r="B15">
        <v>12</v>
      </c>
      <c r="D15">
        <f>IF($B15&gt;D$2,0,$C$3*(Datos!$C$14)^(Stock!D$2-Stock!$B15)*Datos!$C$15^Stock!$B15)</f>
        <v>0</v>
      </c>
      <c r="E15">
        <f>IF($B15&gt;E$2,0,$C$3*(Datos!$C$14)^(Stock!E$2-Stock!$B15)*Datos!$C$15^Stock!$B15)</f>
        <v>0</v>
      </c>
      <c r="F15">
        <f>IF($B15&gt;F$2,0,$C$3*(Datos!$C$14)^(Stock!F$2-Stock!$B15)*Datos!$C$15^Stock!$B15)</f>
        <v>0</v>
      </c>
      <c r="G15">
        <f>IF($B15&gt;G$2,0,$C$3*(Datos!$C$14)^(Stock!G$2-Stock!$B15)*Datos!$C$15^Stock!$B15)</f>
        <v>0</v>
      </c>
      <c r="H15">
        <f>IF($B15&gt;H$2,0,$C$3*(Datos!$C$14)^(Stock!H$2-Stock!$B15)*Datos!$C$15^Stock!$B15)</f>
        <v>0</v>
      </c>
      <c r="I15">
        <f>IF($B15&gt;I$2,0,$C$3*(Datos!$C$14)^(Stock!I$2-Stock!$B15)*Datos!$C$15^Stock!$B15)</f>
        <v>0</v>
      </c>
      <c r="J15">
        <f>IF($B15&gt;J$2,0,$C$3*(Datos!$C$14)^(Stock!J$2-Stock!$B15)*Datos!$C$15^Stock!$B15)</f>
        <v>0</v>
      </c>
      <c r="K15">
        <f>IF($B15&gt;K$2,0,$C$3*(Datos!$C$14)^(Stock!K$2-Stock!$B15)*Datos!$C$15^Stock!$B15)</f>
        <v>0</v>
      </c>
      <c r="L15">
        <f>IF($B15&gt;L$2,0,$C$3*(Datos!$C$14)^(Stock!L$2-Stock!$B15)*Datos!$C$15^Stock!$B15)</f>
        <v>0</v>
      </c>
      <c r="M15">
        <f>IF($B15&gt;M$2,0,$C$3*(Datos!$C$14)^(Stock!M$2-Stock!$B15)*Datos!$C$15^Stock!$B15)</f>
        <v>0</v>
      </c>
      <c r="N15">
        <f>IF($B15&gt;N$2,0,$C$3*(Datos!$C$14)^(Stock!N$2-Stock!$B15)*Datos!$C$15^Stock!$B15)</f>
        <v>0</v>
      </c>
      <c r="O15">
        <f>IF($B15&gt;O$2,0,$C$3*(Datos!$C$14)^(Stock!O$2-Stock!$B15)*Datos!$C$15^Stock!$B15)</f>
        <v>1.7201358016583745</v>
      </c>
      <c r="P15">
        <f>IF($B15&gt;P$2,0,$C$3*(Datos!$C$14)^(Stock!P$2-Stock!$B15)*Datos!$C$15^Stock!$B15)</f>
        <v>3.0853568117289369</v>
      </c>
      <c r="Q15">
        <f>IF($B15&gt;Q$2,0,$C$3*(Datos!$C$14)^(Stock!Q$2-Stock!$B15)*Datos!$C$15^Stock!$B15)</f>
        <v>5.5341134383137174</v>
      </c>
      <c r="R15">
        <f>IF($B15&gt;R$2,0,$C$3*(Datos!$C$14)^(Stock!R$2-Stock!$B15)*Datos!$C$15^Stock!$B15)</f>
        <v>9.926375915971418</v>
      </c>
      <c r="S15">
        <f>IF($B15&gt;S$2,0,$C$3*(Datos!$C$14)^(Stock!S$2-Stock!$B15)*Datos!$C$15^Stock!$B15)</f>
        <v>17.80464746946009</v>
      </c>
      <c r="T15">
        <f>IF($B15&gt;T$2,0,$C$3*(Datos!$C$14)^(Stock!T$2-Stock!$B15)*Datos!$C$15^Stock!$B15)</f>
        <v>31.935670600757078</v>
      </c>
      <c r="U15">
        <f>IF($B15&gt;U$2,0,$C$3*(Datos!$C$14)^(Stock!U$2-Stock!$B15)*Datos!$C$15^Stock!$B15)</f>
        <v>57.282069665768404</v>
      </c>
      <c r="V15">
        <f>IF($B15&gt;V$2,0,$C$3*(Datos!$C$14)^(Stock!V$2-Stock!$B15)*Datos!$C$15^Stock!$B15)</f>
        <v>102.74515748281041</v>
      </c>
      <c r="W15">
        <f>IF($B15&gt;W$2,0,$C$3*(Datos!$C$14)^(Stock!W$2-Stock!$B15)*Datos!$C$15^Stock!$B15)</f>
        <v>184.29095610133112</v>
      </c>
      <c r="X15">
        <f>IF($B15&gt;X$2,0,$C$3*(Datos!$C$14)^(Stock!X$2-Stock!$B15)*Datos!$C$15^Stock!$B15)</f>
        <v>330.5572479795448</v>
      </c>
      <c r="Y15">
        <f>IF($B15&gt;Y$2,0,$C$3*(Datos!$C$14)^(Stock!Y$2-Stock!$B15)*Datos!$C$15^Stock!$B15)</f>
        <v>592.91077817041639</v>
      </c>
      <c r="Z15">
        <f>IF($B15&gt;Z$2,0,$C$3*(Datos!$C$14)^(Stock!Z$2-Stock!$B15)*Datos!$C$15^Stock!$B15)</f>
        <v>1063.4865610098573</v>
      </c>
      <c r="AA15">
        <f>IF($B15&gt;AA$2,0,$C$3*(Datos!$C$14)^(Stock!AA$2-Stock!$B15)*Datos!$C$15^Stock!$B15)</f>
        <v>1907.5444520313583</v>
      </c>
      <c r="AB15">
        <f>IF($B15&gt;AB$2,0,$C$3*(Datos!$C$14)^(Stock!AB$2-Stock!$B15)*Datos!$C$15^Stock!$B15)</f>
        <v>3421.5061758941092</v>
      </c>
      <c r="AC15">
        <f>IF($B15&gt;AC$2,0,$C$3*(Datos!$C$14)^(Stock!AC$2-Stock!$B15)*Datos!$C$15^Stock!$B15)</f>
        <v>6137.0546302158118</v>
      </c>
      <c r="AD15">
        <f>IF($B15&gt;AD$2,0,$C$3*(Datos!$C$14)^(Stock!AD$2-Stock!$B15)*Datos!$C$15^Stock!$B15)</f>
        <v>11007.853734009735</v>
      </c>
      <c r="AE15">
        <f>IF($B15&gt;AE$2,0,$C$3*(Datos!$C$14)^(Stock!AE$2-Stock!$B15)*Datos!$C$15^Stock!$B15)</f>
        <v>19744.462308149763</v>
      </c>
      <c r="AF15">
        <f>IF($B15&gt;AF$2,0,$C$3*(Datos!$C$14)^(Stock!AF$2-Stock!$B15)*Datos!$C$15^Stock!$B15)</f>
        <v>35415.059216629103</v>
      </c>
      <c r="AG15">
        <f>IF($B15&gt;AG$2,0,$C$3*(Datos!$C$14)^(Stock!AG$2-Stock!$B15)*Datos!$C$15^Stock!$B15)</f>
        <v>63522.946319973948</v>
      </c>
      <c r="AH15">
        <f>IF($B15&gt;AH$2,0,$C$3*(Datos!$C$14)^(Stock!AH$2-Stock!$B15)*Datos!$C$15^Stock!$B15)</f>
        <v>113939.23371658755</v>
      </c>
      <c r="AI15">
        <f>IF($B15&gt;AI$2,0,$C$3*(Datos!$C$14)^(Stock!AI$2-Stock!$B15)*Datos!$C$15^Stock!$B15)</f>
        <v>204369.44021031808</v>
      </c>
      <c r="AJ15">
        <f>IF($B15&gt;AJ$2,0,$C$3*(Datos!$C$14)^(Stock!AJ$2-Stock!$B15)*Datos!$C$15^Stock!$B15)</f>
        <v>366571.43224053702</v>
      </c>
      <c r="AK15">
        <f>IF($B15&gt;AK$2,0,$C$3*(Datos!$C$14)^(Stock!AK$2-Stock!$B15)*Datos!$C$15^Stock!$B15)</f>
        <v>657508.35739723453</v>
      </c>
      <c r="AL15">
        <f>IF($B15&gt;AL$2,0,$C$3*(Datos!$C$14)^(Stock!AL$2-Stock!$B15)*Datos!$C$15^Stock!$B15)</f>
        <v>1179353.332049977</v>
      </c>
      <c r="AM15">
        <f>IF($B15&gt;AM$2,0,$C$3*(Datos!$C$14)^(Stock!AM$2-Stock!$B15)*Datos!$C$15^Stock!$B15)</f>
        <v>2115371.259041023</v>
      </c>
      <c r="AN15">
        <f>IF($B15&gt;AN$2,0,$C$3*(Datos!$C$14)^(Stock!AN$2-Stock!$B15)*Datos!$C$15^Stock!$B15)</f>
        <v>3794278.9849065989</v>
      </c>
      <c r="AO15">
        <f>IF($B15&gt;AO$2,0,$C$3*(Datos!$C$14)^(Stock!AO$2-Stock!$B15)*Datos!$C$15^Stock!$B15)</f>
        <v>6805686.2140740026</v>
      </c>
      <c r="AP15">
        <f>IF($B15&gt;AP$2,0,$C$3*(Datos!$C$14)^(Stock!AP$2-Stock!$B15)*Datos!$C$15^Stock!$B15)</f>
        <v>12207158.469022563</v>
      </c>
      <c r="AQ15">
        <f>IF($B15&gt;AQ$2,0,$C$3*(Datos!$C$14)^(Stock!AQ$2-Stock!$B15)*Datos!$C$15^Stock!$B15)</f>
        <v>21895619.809751187</v>
      </c>
      <c r="AR15">
        <f>IF($B15&gt;AR$2,0,$C$3*(Datos!$C$14)^(Stock!AR$2-Stock!$B15)*Datos!$C$15^Stock!$B15)</f>
        <v>39273526.928462654</v>
      </c>
      <c r="AS15">
        <f>IF($B15&gt;AS$2,0,$C$3*(Datos!$C$14)^(Stock!AS$2-Stock!$B15)*Datos!$C$15^Stock!$B15)</f>
        <v>70443765.958786473</v>
      </c>
      <c r="AT15">
        <f>IF($B15&gt;AT$2,0,$C$3*(Datos!$C$14)^(Stock!AT$2-Stock!$B15)*Datos!$C$15^Stock!$B15)</f>
        <v>126352903.61100581</v>
      </c>
      <c r="AU15">
        <f>IF($B15&gt;AU$2,0,$C$3*(Datos!$C$14)^(Stock!AU$2-Stock!$B15)*Datos!$C$15^Stock!$B15)</f>
        <v>226635473.46790886</v>
      </c>
      <c r="AV15">
        <f>IF($B15&gt;AV$2,0,$C$3*(Datos!$C$14)^(Stock!AV$2-Stock!$B15)*Datos!$C$15^Stock!$B15)</f>
        <v>406509358.83636665</v>
      </c>
      <c r="AW15">
        <f>IF($B15&gt;AW$2,0,$C$3*(Datos!$C$14)^(Stock!AW$2-Stock!$B15)*Datos!$C$15^Stock!$B15)</f>
        <v>729143837.42734313</v>
      </c>
      <c r="AX15">
        <f>IF($B15&gt;AX$2,0,$C$3*(Datos!$C$14)^(Stock!AX$2-Stock!$B15)*Datos!$C$15^Stock!$B15)</f>
        <v>1307843778.0131865</v>
      </c>
      <c r="AY15">
        <f>IF($B15&gt;AY$2,0,$C$3*(Datos!$C$14)^(Stock!AY$2-Stock!$B15)*Datos!$C$15^Stock!$B15)</f>
        <v>2345840779.1291881</v>
      </c>
      <c r="AZ15">
        <f>IF($B15&gt;AZ$2,0,$C$3*(Datos!$C$14)^(Stock!AZ$2-Stock!$B15)*Datos!$C$15^Stock!$B15)</f>
        <v>4207665359.9906883</v>
      </c>
      <c r="BA15">
        <f>IF($B15&gt;BA$2,0,$C$3*(Datos!$C$14)^(Stock!BA$2-Stock!$B15)*Datos!$C$15^Stock!$B15)</f>
        <v>7547165152.5461731</v>
      </c>
    </row>
    <row r="16" spans="1:53" x14ac:dyDescent="0.25">
      <c r="B16">
        <v>13</v>
      </c>
      <c r="D16">
        <f>IF($B16&gt;D$2,0,$C$3*(Datos!$C$14)^(Stock!D$2-Stock!$B16)*Datos!$C$15^Stock!$B16)</f>
        <v>0</v>
      </c>
      <c r="E16">
        <f>IF($B16&gt;E$2,0,$C$3*(Datos!$C$14)^(Stock!E$2-Stock!$B16)*Datos!$C$15^Stock!$B16)</f>
        <v>0</v>
      </c>
      <c r="F16">
        <f>IF($B16&gt;F$2,0,$C$3*(Datos!$C$14)^(Stock!F$2-Stock!$B16)*Datos!$C$15^Stock!$B16)</f>
        <v>0</v>
      </c>
      <c r="G16">
        <f>IF($B16&gt;G$2,0,$C$3*(Datos!$C$14)^(Stock!G$2-Stock!$B16)*Datos!$C$15^Stock!$B16)</f>
        <v>0</v>
      </c>
      <c r="H16">
        <f>IF($B16&gt;H$2,0,$C$3*(Datos!$C$14)^(Stock!H$2-Stock!$B16)*Datos!$C$15^Stock!$B16)</f>
        <v>0</v>
      </c>
      <c r="I16">
        <f>IF($B16&gt;I$2,0,$C$3*(Datos!$C$14)^(Stock!I$2-Stock!$B16)*Datos!$C$15^Stock!$B16)</f>
        <v>0</v>
      </c>
      <c r="J16">
        <f>IF($B16&gt;J$2,0,$C$3*(Datos!$C$14)^(Stock!J$2-Stock!$B16)*Datos!$C$15^Stock!$B16)</f>
        <v>0</v>
      </c>
      <c r="K16">
        <f>IF($B16&gt;K$2,0,$C$3*(Datos!$C$14)^(Stock!K$2-Stock!$B16)*Datos!$C$15^Stock!$B16)</f>
        <v>0</v>
      </c>
      <c r="L16">
        <f>IF($B16&gt;L$2,0,$C$3*(Datos!$C$14)^(Stock!L$2-Stock!$B16)*Datos!$C$15^Stock!$B16)</f>
        <v>0</v>
      </c>
      <c r="M16">
        <f>IF($B16&gt;M$2,0,$C$3*(Datos!$C$14)^(Stock!M$2-Stock!$B16)*Datos!$C$15^Stock!$B16)</f>
        <v>0</v>
      </c>
      <c r="N16">
        <f>IF($B16&gt;N$2,0,$C$3*(Datos!$C$14)^(Stock!N$2-Stock!$B16)*Datos!$C$15^Stock!$B16)</f>
        <v>0</v>
      </c>
      <c r="O16">
        <f>IF($B16&gt;O$2,0,$C$3*(Datos!$C$14)^(Stock!O$2-Stock!$B16)*Datos!$C$15^Stock!$B16)</f>
        <v>0</v>
      </c>
      <c r="P16">
        <f>IF($B16&gt;P$2,0,$C$3*(Datos!$C$14)^(Stock!P$2-Stock!$B16)*Datos!$C$15^Stock!$B16)</f>
        <v>1.3206699866168381</v>
      </c>
      <c r="Q16">
        <f>IF($B16&gt;Q$2,0,$C$3*(Datos!$C$14)^(Stock!Q$2-Stock!$B16)*Datos!$C$15^Stock!$B16)</f>
        <v>2.3688467708920364</v>
      </c>
      <c r="R16">
        <f>IF($B16&gt;R$2,0,$C$3*(Datos!$C$14)^(Stock!R$2-Stock!$B16)*Datos!$C$15^Stock!$B16)</f>
        <v>4.248930528314987</v>
      </c>
      <c r="S16">
        <f>IF($B16&gt;S$2,0,$C$3*(Datos!$C$14)^(Stock!S$2-Stock!$B16)*Datos!$C$15^Stock!$B16)</f>
        <v>7.6211812668865457</v>
      </c>
      <c r="T16">
        <f>IF($B16&gt;T$2,0,$C$3*(Datos!$C$14)^(Stock!T$2-Stock!$B16)*Datos!$C$15^Stock!$B16)</f>
        <v>13.669887873120006</v>
      </c>
      <c r="U16">
        <f>IF($B16&gt;U$2,0,$C$3*(Datos!$C$14)^(Stock!U$2-Stock!$B16)*Datos!$C$15^Stock!$B16)</f>
        <v>24.519274364407426</v>
      </c>
      <c r="V16">
        <f>IF($B16&gt;V$2,0,$C$3*(Datos!$C$14)^(Stock!V$2-Stock!$B16)*Datos!$C$15^Stock!$B16)</f>
        <v>43.979498656990138</v>
      </c>
      <c r="W16">
        <f>IF($B16&gt;W$2,0,$C$3*(Datos!$C$14)^(Stock!W$2-Stock!$B16)*Datos!$C$15^Stock!$B16)</f>
        <v>78.884728535356174</v>
      </c>
      <c r="X16">
        <f>IF($B16&gt;X$2,0,$C$3*(Datos!$C$14)^(Stock!X$2-Stock!$B16)*Datos!$C$15^Stock!$B16)</f>
        <v>141.49320902064855</v>
      </c>
      <c r="Y16">
        <f>IF($B16&gt;Y$2,0,$C$3*(Datos!$C$14)^(Stock!Y$2-Stock!$B16)*Datos!$C$15^Stock!$B16)</f>
        <v>253.79219236316209</v>
      </c>
      <c r="Z16">
        <f>IF($B16&gt;Z$2,0,$C$3*(Datos!$C$14)^(Stock!Z$2-Stock!$B16)*Datos!$C$15^Stock!$B16)</f>
        <v>455.21956389511706</v>
      </c>
      <c r="AA16">
        <f>IF($B16&gt;AA$2,0,$C$3*(Datos!$C$14)^(Stock!AA$2-Stock!$B16)*Datos!$C$15^Stock!$B16)</f>
        <v>816.51389439251795</v>
      </c>
      <c r="AB16">
        <f>IF($B16&gt;AB$2,0,$C$3*(Datos!$C$14)^(Stock!AB$2-Stock!$B16)*Datos!$C$15^Stock!$B16)</f>
        <v>1464.5568701648403</v>
      </c>
      <c r="AC16">
        <f>IF($B16&gt;AC$2,0,$C$3*(Datos!$C$14)^(Stock!AC$2-Stock!$B16)*Datos!$C$15^Stock!$B16)</f>
        <v>2626.9324265974024</v>
      </c>
      <c r="AD16">
        <f>IF($B16&gt;AD$2,0,$C$3*(Datos!$C$14)^(Stock!AD$2-Stock!$B16)*Datos!$C$15^Stock!$B16)</f>
        <v>4711.8511506707237</v>
      </c>
      <c r="AE16">
        <f>IF($B16&gt;AE$2,0,$C$3*(Datos!$C$14)^(Stock!AE$2-Stock!$B16)*Datos!$C$15^Stock!$B16)</f>
        <v>8451.5083225167346</v>
      </c>
      <c r="AF16">
        <f>IF($B16&gt;AF$2,0,$C$3*(Datos!$C$14)^(Stock!AF$2-Stock!$B16)*Datos!$C$15^Stock!$B16)</f>
        <v>15159.221002854045</v>
      </c>
      <c r="AG16">
        <f>IF($B16&gt;AG$2,0,$C$3*(Datos!$C$14)^(Stock!AG$2-Stock!$B16)*Datos!$C$15^Stock!$B16)</f>
        <v>27190.64723643785</v>
      </c>
      <c r="AH16">
        <f>IF($B16&gt;AH$2,0,$C$3*(Datos!$C$14)^(Stock!AH$2-Stock!$B16)*Datos!$C$15^Stock!$B16)</f>
        <v>48771.061322821974</v>
      </c>
      <c r="AI16">
        <f>IF($B16&gt;AI$2,0,$C$3*(Datos!$C$14)^(Stock!AI$2-Stock!$B16)*Datos!$C$15^Stock!$B16)</f>
        <v>87479.213049658734</v>
      </c>
      <c r="AJ16">
        <f>IF($B16&gt;AJ$2,0,$C$3*(Datos!$C$14)^(Stock!AJ$2-Stock!$B16)*Datos!$C$15^Stock!$B16)</f>
        <v>156908.88219827629</v>
      </c>
      <c r="AK16">
        <f>IF($B16&gt;AK$2,0,$C$3*(Datos!$C$14)^(Stock!AK$2-Stock!$B16)*Datos!$C$15^Stock!$B16)</f>
        <v>281442.83029542642</v>
      </c>
      <c r="AL16">
        <f>IF($B16&gt;AL$2,0,$C$3*(Datos!$C$14)^(Stock!AL$2-Stock!$B16)*Datos!$C$15^Stock!$B16)</f>
        <v>504815.69695084036</v>
      </c>
      <c r="AM16">
        <f>IF($B16&gt;AM$2,0,$C$3*(Datos!$C$14)^(Stock!AM$2-Stock!$B16)*Datos!$C$15^Stock!$B16)</f>
        <v>905473.01425466116</v>
      </c>
      <c r="AN16">
        <f>IF($B16&gt;AN$2,0,$C$3*(Datos!$C$14)^(Stock!AN$2-Stock!$B16)*Datos!$C$15^Stock!$B16)</f>
        <v>1624120.2175281462</v>
      </c>
      <c r="AO16">
        <f>IF($B16&gt;AO$2,0,$C$3*(Datos!$C$14)^(Stock!AO$2-Stock!$B16)*Datos!$C$15^Stock!$B16)</f>
        <v>2913136.4927037018</v>
      </c>
      <c r="AP16">
        <f>IF($B16&gt;AP$2,0,$C$3*(Datos!$C$14)^(Stock!AP$2-Stock!$B16)*Datos!$C$15^Stock!$B16)</f>
        <v>5225206.9357513292</v>
      </c>
      <c r="AQ16">
        <f>IF($B16&gt;AQ$2,0,$C$3*(Datos!$C$14)^(Stock!AQ$2-Stock!$B16)*Datos!$C$15^Stock!$B16)</f>
        <v>9372299.4407597743</v>
      </c>
      <c r="AR16">
        <f>IF($B16&gt;AR$2,0,$C$3*(Datos!$C$14)^(Stock!AR$2-Stock!$B16)*Datos!$C$15^Stock!$B16)</f>
        <v>16810816.851339784</v>
      </c>
      <c r="AS16">
        <f>IF($B16&gt;AS$2,0,$C$3*(Datos!$C$14)^(Stock!AS$2-Stock!$B16)*Datos!$C$15^Stock!$B16)</f>
        <v>30153065.957352743</v>
      </c>
      <c r="AT16">
        <f>IF($B16&gt;AT$2,0,$C$3*(Datos!$C$14)^(Stock!AT$2-Stock!$B16)*Datos!$C$15^Stock!$B16)</f>
        <v>54084664.336581774</v>
      </c>
      <c r="AU16">
        <f>IF($B16&gt;AU$2,0,$C$3*(Datos!$C$14)^(Stock!AU$2-Stock!$B16)*Datos!$C$15^Stock!$B16)</f>
        <v>97010065.926228985</v>
      </c>
      <c r="AV16">
        <f>IF($B16&gt;AV$2,0,$C$3*(Datos!$C$14)^(Stock!AV$2-Stock!$B16)*Datos!$C$15^Stock!$B16)</f>
        <v>174004091.66718113</v>
      </c>
      <c r="AW16">
        <f>IF($B16&gt;AW$2,0,$C$3*(Datos!$C$14)^(Stock!AW$2-Stock!$B16)*Datos!$C$15^Stock!$B16)</f>
        <v>312106002.8960824</v>
      </c>
      <c r="AX16">
        <f>IF($B16&gt;AX$2,0,$C$3*(Datos!$C$14)^(Stock!AX$2-Stock!$B16)*Datos!$C$15^Stock!$B16)</f>
        <v>559815324.5159688</v>
      </c>
      <c r="AY16">
        <f>IF($B16&gt;AY$2,0,$C$3*(Datos!$C$14)^(Stock!AY$2-Stock!$B16)*Datos!$C$15^Stock!$B16)</f>
        <v>1004124222.7156575</v>
      </c>
      <c r="AZ16">
        <f>IF($B16&gt;AZ$2,0,$C$3*(Datos!$C$14)^(Stock!AZ$2-Stock!$B16)*Datos!$C$15^Stock!$B16)</f>
        <v>1801067978.1159909</v>
      </c>
      <c r="BA16">
        <f>IF($B16&gt;BA$2,0,$C$3*(Datos!$C$14)^(Stock!BA$2-Stock!$B16)*Datos!$C$15^Stock!$B16)</f>
        <v>3230522467.6502976</v>
      </c>
    </row>
    <row r="17" spans="2:53" x14ac:dyDescent="0.25">
      <c r="B17">
        <v>14</v>
      </c>
      <c r="D17">
        <f>IF($B17&gt;D$2,0,$C$3*(Datos!$C$14)^(Stock!D$2-Stock!$B17)*Datos!$C$15^Stock!$B17)</f>
        <v>0</v>
      </c>
      <c r="E17">
        <f>IF($B17&gt;E$2,0,$C$3*(Datos!$C$14)^(Stock!E$2-Stock!$B17)*Datos!$C$15^Stock!$B17)</f>
        <v>0</v>
      </c>
      <c r="F17">
        <f>IF($B17&gt;F$2,0,$C$3*(Datos!$C$14)^(Stock!F$2-Stock!$B17)*Datos!$C$15^Stock!$B17)</f>
        <v>0</v>
      </c>
      <c r="G17">
        <f>IF($B17&gt;G$2,0,$C$3*(Datos!$C$14)^(Stock!G$2-Stock!$B17)*Datos!$C$15^Stock!$B17)</f>
        <v>0</v>
      </c>
      <c r="H17">
        <f>IF($B17&gt;H$2,0,$C$3*(Datos!$C$14)^(Stock!H$2-Stock!$B17)*Datos!$C$15^Stock!$B17)</f>
        <v>0</v>
      </c>
      <c r="I17">
        <f>IF($B17&gt;I$2,0,$C$3*(Datos!$C$14)^(Stock!I$2-Stock!$B17)*Datos!$C$15^Stock!$B17)</f>
        <v>0</v>
      </c>
      <c r="J17">
        <f>IF($B17&gt;J$2,0,$C$3*(Datos!$C$14)^(Stock!J$2-Stock!$B17)*Datos!$C$15^Stock!$B17)</f>
        <v>0</v>
      </c>
      <c r="K17">
        <f>IF($B17&gt;K$2,0,$C$3*(Datos!$C$14)^(Stock!K$2-Stock!$B17)*Datos!$C$15^Stock!$B17)</f>
        <v>0</v>
      </c>
      <c r="L17">
        <f>IF($B17&gt;L$2,0,$C$3*(Datos!$C$14)^(Stock!L$2-Stock!$B17)*Datos!$C$15^Stock!$B17)</f>
        <v>0</v>
      </c>
      <c r="M17">
        <f>IF($B17&gt;M$2,0,$C$3*(Datos!$C$14)^(Stock!M$2-Stock!$B17)*Datos!$C$15^Stock!$B17)</f>
        <v>0</v>
      </c>
      <c r="N17">
        <f>IF($B17&gt;N$2,0,$C$3*(Datos!$C$14)^(Stock!N$2-Stock!$B17)*Datos!$C$15^Stock!$B17)</f>
        <v>0</v>
      </c>
      <c r="O17">
        <f>IF($B17&gt;O$2,0,$C$3*(Datos!$C$14)^(Stock!O$2-Stock!$B17)*Datos!$C$15^Stock!$B17)</f>
        <v>0</v>
      </c>
      <c r="P17">
        <f>IF($B17&gt;P$2,0,$C$3*(Datos!$C$14)^(Stock!P$2-Stock!$B17)*Datos!$C$15^Stock!$B17)</f>
        <v>0</v>
      </c>
      <c r="Q17">
        <f>IF($B17&gt;Q$2,0,$C$3*(Datos!$C$14)^(Stock!Q$2-Stock!$B17)*Datos!$C$15^Stock!$B17)</f>
        <v>1.0139718107541127</v>
      </c>
      <c r="R17">
        <f>IF($B17&gt;R$2,0,$C$3*(Datos!$C$14)^(Stock!R$2-Stock!$B17)*Datos!$C$15^Stock!$B17)</f>
        <v>1.8187313060952446</v>
      </c>
      <c r="S17">
        <f>IF($B17&gt;S$2,0,$C$3*(Datos!$C$14)^(Stock!S$2-Stock!$B17)*Datos!$C$15^Stock!$B17)</f>
        <v>3.262204657653001</v>
      </c>
      <c r="T17">
        <f>IF($B17&gt;T$2,0,$C$3*(Datos!$C$14)^(Stock!T$2-Stock!$B17)*Datos!$C$15^Stock!$B17)</f>
        <v>5.8513201992772155</v>
      </c>
      <c r="U17">
        <f>IF($B17&gt;U$2,0,$C$3*(Datos!$C$14)^(Stock!U$2-Stock!$B17)*Datos!$C$15^Stock!$B17)</f>
        <v>10.495340319666546</v>
      </c>
      <c r="V17">
        <f>IF($B17&gt;V$2,0,$C$3*(Datos!$C$14)^(Stock!V$2-Stock!$B17)*Datos!$C$15^Stock!$B17)</f>
        <v>18.825182125432967</v>
      </c>
      <c r="W17">
        <f>IF($B17&gt;W$2,0,$C$3*(Datos!$C$14)^(Stock!W$2-Stock!$B17)*Datos!$C$15^Stock!$B17)</f>
        <v>33.766173488596344</v>
      </c>
      <c r="X17">
        <f>IF($B17&gt;X$2,0,$C$3*(Datos!$C$14)^(Stock!X$2-Stock!$B17)*Datos!$C$15^Stock!$B17)</f>
        <v>60.565388662117059</v>
      </c>
      <c r="Y17">
        <f>IF($B17&gt;Y$2,0,$C$3*(Datos!$C$14)^(Stock!Y$2-Stock!$B17)*Datos!$C$15^Stock!$B17)</f>
        <v>108.63434984814394</v>
      </c>
      <c r="Z17">
        <f>IF($B17&gt;Z$2,0,$C$3*(Datos!$C$14)^(Stock!Z$2-Stock!$B17)*Datos!$C$15^Stock!$B17)</f>
        <v>194.85422660732601</v>
      </c>
      <c r="AA17">
        <f>IF($B17&gt;AA$2,0,$C$3*(Datos!$C$14)^(Stock!AA$2-Stock!$B17)*Datos!$C$15^Stock!$B17)</f>
        <v>349.5042744750026</v>
      </c>
      <c r="AB17">
        <f>IF($B17&gt;AB$2,0,$C$3*(Datos!$C$14)^(Stock!AB$2-Stock!$B17)*Datos!$C$15^Stock!$B17)</f>
        <v>626.89550030887187</v>
      </c>
      <c r="AC17">
        <f>IF($B17&gt;AC$2,0,$C$3*(Datos!$C$14)^(Stock!AC$2-Stock!$B17)*Datos!$C$15^Stock!$B17)</f>
        <v>1124.4439539340142</v>
      </c>
      <c r="AD17">
        <f>IF($B17&gt;AD$2,0,$C$3*(Datos!$C$14)^(Stock!AD$2-Stock!$B17)*Datos!$C$15^Stock!$B17)</f>
        <v>2016.8819283529729</v>
      </c>
      <c r="AE17">
        <f>IF($B17&gt;AE$2,0,$C$3*(Datos!$C$14)^(Stock!AE$2-Stock!$B17)*Datos!$C$15^Stock!$B17)</f>
        <v>3617.6215797017112</v>
      </c>
      <c r="AF17">
        <f>IF($B17&gt;AF$2,0,$C$3*(Datos!$C$14)^(Stock!AF$2-Stock!$B17)*Datos!$C$15^Stock!$B17)</f>
        <v>6488.8210410069814</v>
      </c>
      <c r="AG17">
        <f>IF($B17&gt;AG$2,0,$C$3*(Datos!$C$14)^(Stock!AG$2-Stock!$B17)*Datos!$C$15^Stock!$B17)</f>
        <v>11638.806761454207</v>
      </c>
      <c r="AH17">
        <f>IF($B17&gt;AH$2,0,$C$3*(Datos!$C$14)^(Stock!AH$2-Stock!$B17)*Datos!$C$15^Stock!$B17)</f>
        <v>20876.184128735076</v>
      </c>
      <c r="AI17">
        <f>IF($B17&gt;AI$2,0,$C$3*(Datos!$C$14)^(Stock!AI$2-Stock!$B17)*Datos!$C$15^Stock!$B17)</f>
        <v>37444.99523956333</v>
      </c>
      <c r="AJ17">
        <f>IF($B17&gt;AJ$2,0,$C$3*(Datos!$C$14)^(Stock!AJ$2-Stock!$B17)*Datos!$C$15^Stock!$B17)</f>
        <v>67163.982643789685</v>
      </c>
      <c r="AK17">
        <f>IF($B17&gt;AK$2,0,$C$3*(Datos!$C$14)^(Stock!AK$2-Stock!$B17)*Datos!$C$15^Stock!$B17)</f>
        <v>120470.0530929454</v>
      </c>
      <c r="AL17">
        <f>IF($B17&gt;AL$2,0,$C$3*(Datos!$C$14)^(Stock!AL$2-Stock!$B17)*Datos!$C$15^Stock!$B17)</f>
        <v>216083.57814616631</v>
      </c>
      <c r="AM17">
        <f>IF($B17&gt;AM$2,0,$C$3*(Datos!$C$14)^(Stock!AM$2-Stock!$B17)*Datos!$C$15^Stock!$B17)</f>
        <v>387582.73567312467</v>
      </c>
      <c r="AN17">
        <f>IF($B17&gt;AN$2,0,$C$3*(Datos!$C$14)^(Stock!AN$2-Stock!$B17)*Datos!$C$15^Stock!$B17)</f>
        <v>695195.71214360895</v>
      </c>
      <c r="AO17">
        <f>IF($B17&gt;AO$2,0,$C$3*(Datos!$C$14)^(Stock!AO$2-Stock!$B17)*Datos!$C$15^Stock!$B17)</f>
        <v>1246952.0277870616</v>
      </c>
      <c r="AP17">
        <f>IF($B17&gt;AP$2,0,$C$3*(Datos!$C$14)^(Stock!AP$2-Stock!$B17)*Datos!$C$15^Stock!$B17)</f>
        <v>2236621.0441773641</v>
      </c>
      <c r="AQ17">
        <f>IF($B17&gt;AQ$2,0,$C$3*(Datos!$C$14)^(Stock!AQ$2-Stock!$B17)*Datos!$C$15^Stock!$B17)</f>
        <v>4011761.1454025409</v>
      </c>
      <c r="AR17">
        <f>IF($B17&gt;AR$2,0,$C$3*(Datos!$C$14)^(Stock!AR$2-Stock!$B17)*Datos!$C$15^Stock!$B17)</f>
        <v>7195777.5456239656</v>
      </c>
      <c r="AS17">
        <f>IF($B17&gt;AS$2,0,$C$3*(Datos!$C$14)^(Stock!AS$2-Stock!$B17)*Datos!$C$15^Stock!$B17)</f>
        <v>12906853.775540648</v>
      </c>
      <c r="AT17">
        <f>IF($B17&gt;AT$2,0,$C$3*(Datos!$C$14)^(Stock!AT$2-Stock!$B17)*Datos!$C$15^Stock!$B17)</f>
        <v>23150642.627146792</v>
      </c>
      <c r="AU17">
        <f>IF($B17&gt;AU$2,0,$C$3*(Datos!$C$14)^(Stock!AU$2-Stock!$B17)*Datos!$C$15^Stock!$B17)</f>
        <v>41524624.309723832</v>
      </c>
      <c r="AV17">
        <f>IF($B17&gt;AV$2,0,$C$3*(Datos!$C$14)^(Stock!AV$2-Stock!$B17)*Datos!$C$15^Stock!$B17)</f>
        <v>74481492.882697523</v>
      </c>
      <c r="AW17">
        <f>IF($B17&gt;AW$2,0,$C$3*(Datos!$C$14)^(Stock!AW$2-Stock!$B17)*Datos!$C$15^Stock!$B17)</f>
        <v>133595255.20707159</v>
      </c>
      <c r="AX17">
        <f>IF($B17&gt;AX$2,0,$C$3*(Datos!$C$14)^(Stock!AX$2-Stock!$B17)*Datos!$C$15^Stock!$B17)</f>
        <v>239625865.74293414</v>
      </c>
      <c r="AY17">
        <f>IF($B17&gt;AY$2,0,$C$3*(Datos!$C$14)^(Stock!AY$2-Stock!$B17)*Datos!$C$15^Stock!$B17)</f>
        <v>429809842.00411373</v>
      </c>
      <c r="AZ17">
        <f>IF($B17&gt;AZ$2,0,$C$3*(Datos!$C$14)^(Stock!AZ$2-Stock!$B17)*Datos!$C$15^Stock!$B17)</f>
        <v>770937226.29168451</v>
      </c>
      <c r="BA17">
        <f>IF($B17&gt;BA$2,0,$C$3*(Datos!$C$14)^(Stock!BA$2-Stock!$B17)*Datos!$C$15^Stock!$B17)</f>
        <v>1382807345.943994</v>
      </c>
    </row>
    <row r="18" spans="2:53" x14ac:dyDescent="0.25">
      <c r="B18">
        <v>15</v>
      </c>
      <c r="D18">
        <f>IF($B18&gt;D$2,0,$C$3*(Datos!$C$14)^(Stock!D$2-Stock!$B18)*Datos!$C$15^Stock!$B18)</f>
        <v>0</v>
      </c>
      <c r="E18">
        <f>IF($B18&gt;E$2,0,$C$3*(Datos!$C$14)^(Stock!E$2-Stock!$B18)*Datos!$C$15^Stock!$B18)</f>
        <v>0</v>
      </c>
      <c r="F18">
        <f>IF($B18&gt;F$2,0,$C$3*(Datos!$C$14)^(Stock!F$2-Stock!$B18)*Datos!$C$15^Stock!$B18)</f>
        <v>0</v>
      </c>
      <c r="G18">
        <f>IF($B18&gt;G$2,0,$C$3*(Datos!$C$14)^(Stock!G$2-Stock!$B18)*Datos!$C$15^Stock!$B18)</f>
        <v>0</v>
      </c>
      <c r="H18">
        <f>IF($B18&gt;H$2,0,$C$3*(Datos!$C$14)^(Stock!H$2-Stock!$B18)*Datos!$C$15^Stock!$B18)</f>
        <v>0</v>
      </c>
      <c r="I18">
        <f>IF($B18&gt;I$2,0,$C$3*(Datos!$C$14)^(Stock!I$2-Stock!$B18)*Datos!$C$15^Stock!$B18)</f>
        <v>0</v>
      </c>
      <c r="J18">
        <f>IF($B18&gt;J$2,0,$C$3*(Datos!$C$14)^(Stock!J$2-Stock!$B18)*Datos!$C$15^Stock!$B18)</f>
        <v>0</v>
      </c>
      <c r="K18">
        <f>IF($B18&gt;K$2,0,$C$3*(Datos!$C$14)^(Stock!K$2-Stock!$B18)*Datos!$C$15^Stock!$B18)</f>
        <v>0</v>
      </c>
      <c r="L18">
        <f>IF($B18&gt;L$2,0,$C$3*(Datos!$C$14)^(Stock!L$2-Stock!$B18)*Datos!$C$15^Stock!$B18)</f>
        <v>0</v>
      </c>
      <c r="M18">
        <f>IF($B18&gt;M$2,0,$C$3*(Datos!$C$14)^(Stock!M$2-Stock!$B18)*Datos!$C$15^Stock!$B18)</f>
        <v>0</v>
      </c>
      <c r="N18">
        <f>IF($B18&gt;N$2,0,$C$3*(Datos!$C$14)^(Stock!N$2-Stock!$B18)*Datos!$C$15^Stock!$B18)</f>
        <v>0</v>
      </c>
      <c r="O18">
        <f>IF($B18&gt;O$2,0,$C$3*(Datos!$C$14)^(Stock!O$2-Stock!$B18)*Datos!$C$15^Stock!$B18)</f>
        <v>0</v>
      </c>
      <c r="P18">
        <f>IF($B18&gt;P$2,0,$C$3*(Datos!$C$14)^(Stock!P$2-Stock!$B18)*Datos!$C$15^Stock!$B18)</f>
        <v>0</v>
      </c>
      <c r="Q18">
        <f>IF($B18&gt;Q$2,0,$C$3*(Datos!$C$14)^(Stock!Q$2-Stock!$B18)*Datos!$C$15^Stock!$B18)</f>
        <v>0</v>
      </c>
      <c r="R18">
        <f>IF($B18&gt;R$2,0,$C$3*(Datos!$C$14)^(Stock!R$2-Stock!$B18)*Datos!$C$15^Stock!$B18)</f>
        <v>0.77849791652929046</v>
      </c>
      <c r="S18">
        <f>IF($B18&gt;S$2,0,$C$3*(Datos!$C$14)^(Stock!S$2-Stock!$B18)*Datos!$C$15^Stock!$B18)</f>
        <v>1.3963687328434935</v>
      </c>
      <c r="T18">
        <f>IF($B18&gt;T$2,0,$C$3*(Datos!$C$14)^(Stock!T$2-Stock!$B18)*Datos!$C$15^Stock!$B18)</f>
        <v>2.5046253774907594</v>
      </c>
      <c r="U18">
        <f>IF($B18&gt;U$2,0,$C$3*(Datos!$C$14)^(Stock!U$2-Stock!$B18)*Datos!$C$15^Stock!$B18)</f>
        <v>4.4924726070000247</v>
      </c>
      <c r="V18">
        <f>IF($B18&gt;V$2,0,$C$3*(Datos!$C$14)^(Stock!V$2-Stock!$B18)*Datos!$C$15^Stock!$B18)</f>
        <v>8.0580155044444588</v>
      </c>
      <c r="W18">
        <f>IF($B18&gt;W$2,0,$C$3*(Datos!$C$14)^(Stock!W$2-Stock!$B18)*Datos!$C$15^Stock!$B18)</f>
        <v>14.453424550367421</v>
      </c>
      <c r="X18">
        <f>IF($B18&gt;X$2,0,$C$3*(Datos!$C$14)^(Stock!X$2-Stock!$B18)*Datos!$C$15^Stock!$B18)</f>
        <v>25.92468097361472</v>
      </c>
      <c r="Y18">
        <f>IF($B18&gt;Y$2,0,$C$3*(Datos!$C$14)^(Stock!Y$2-Stock!$B18)*Datos!$C$15^Stock!$B18)</f>
        <v>46.500335006530747</v>
      </c>
      <c r="Z18">
        <f>IF($B18&gt;Z$2,0,$C$3*(Datos!$C$14)^(Stock!Z$2-Stock!$B18)*Datos!$C$15^Stock!$B18)</f>
        <v>83.406278284399605</v>
      </c>
      <c r="AA18">
        <f>IF($B18&gt;AA$2,0,$C$3*(Datos!$C$14)^(Stock!AA$2-Stock!$B18)*Datos!$C$15^Stock!$B18)</f>
        <v>149.60337933646468</v>
      </c>
      <c r="AB18">
        <f>IF($B18&gt;AB$2,0,$C$3*(Datos!$C$14)^(Stock!AB$2-Stock!$B18)*Datos!$C$15^Stock!$B18)</f>
        <v>268.33916545915883</v>
      </c>
      <c r="AC18">
        <f>IF($B18&gt;AC$2,0,$C$3*(Datos!$C$14)^(Stock!AC$2-Stock!$B18)*Datos!$C$15^Stock!$B18)</f>
        <v>481.31204013362105</v>
      </c>
      <c r="AD18">
        <f>IF($B18&gt;AD$2,0,$C$3*(Datos!$C$14)^(Stock!AD$2-Stock!$B18)*Datos!$C$15^Stock!$B18)</f>
        <v>863.3151988126283</v>
      </c>
      <c r="AE18">
        <f>IF($B18&gt;AE$2,0,$C$3*(Datos!$C$14)^(Stock!AE$2-Stock!$B18)*Datos!$C$15^Stock!$B18)</f>
        <v>1548.5029884022329</v>
      </c>
      <c r="AF18">
        <f>IF($B18&gt;AF$2,0,$C$3*(Datos!$C$14)^(Stock!AF$2-Stock!$B18)*Datos!$C$15^Stock!$B18)</f>
        <v>2777.5041009223237</v>
      </c>
      <c r="AG18">
        <f>IF($B18&gt;AG$2,0,$C$3*(Datos!$C$14)^(Stock!AG$2-Stock!$B18)*Datos!$C$15^Stock!$B18)</f>
        <v>4981.9271182681314</v>
      </c>
      <c r="AH18">
        <f>IF($B18&gt;AH$2,0,$C$3*(Datos!$C$14)^(Stock!AH$2-Stock!$B18)*Datos!$C$15^Stock!$B18)</f>
        <v>8935.9356133780639</v>
      </c>
      <c r="AI18">
        <f>IF($B18&gt;AI$2,0,$C$3*(Datos!$C$14)^(Stock!AI$2-Stock!$B18)*Datos!$C$15^Stock!$B18)</f>
        <v>16028.123934939653</v>
      </c>
      <c r="AJ18">
        <f>IF($B18&gt;AJ$2,0,$C$3*(Datos!$C$14)^(Stock!AJ$2-Stock!$B18)*Datos!$C$15^Stock!$B18)</f>
        <v>28749.172777070726</v>
      </c>
      <c r="AK18">
        <f>IF($B18&gt;AK$2,0,$C$3*(Datos!$C$14)^(Stock!AK$2-Stock!$B18)*Datos!$C$15^Stock!$B18)</f>
        <v>51566.542579830406</v>
      </c>
      <c r="AL18">
        <f>IF($B18&gt;AL$2,0,$C$3*(Datos!$C$14)^(Stock!AL$2-Stock!$B18)*Datos!$C$15^Stock!$B18)</f>
        <v>92493.385262141121</v>
      </c>
      <c r="AM18">
        <f>IF($B18&gt;AM$2,0,$C$3*(Datos!$C$14)^(Stock!AM$2-Stock!$B18)*Datos!$C$15^Stock!$B18)</f>
        <v>165902.654885322</v>
      </c>
      <c r="AN18">
        <f>IF($B18&gt;AN$2,0,$C$3*(Datos!$C$14)^(Stock!AN$2-Stock!$B18)*Datos!$C$15^Stock!$B18)</f>
        <v>297574.69488214405</v>
      </c>
      <c r="AO18">
        <f>IF($B18&gt;AO$2,0,$C$3*(Datos!$C$14)^(Stock!AO$2-Stock!$B18)*Datos!$C$15^Stock!$B18)</f>
        <v>533750.94627274456</v>
      </c>
      <c r="AP18">
        <f>IF($B18&gt;AP$2,0,$C$3*(Datos!$C$14)^(Stock!AP$2-Stock!$B18)*Datos!$C$15^Stock!$B18)</f>
        <v>957373.31684027181</v>
      </c>
      <c r="AQ18">
        <f>IF($B18&gt;AQ$2,0,$C$3*(Datos!$C$14)^(Stock!AQ$2-Stock!$B18)*Datos!$C$15^Stock!$B18)</f>
        <v>1717212.2582605844</v>
      </c>
      <c r="AR18">
        <f>IF($B18&gt;AR$2,0,$C$3*(Datos!$C$14)^(Stock!AR$2-Stock!$B18)*Datos!$C$15^Stock!$B18)</f>
        <v>3080112.9382347278</v>
      </c>
      <c r="AS18">
        <f>IF($B18&gt;AS$2,0,$C$3*(Datos!$C$14)^(Stock!AS$2-Stock!$B18)*Datos!$C$15^Stock!$B18)</f>
        <v>5524707.6572180595</v>
      </c>
      <c r="AT18">
        <f>IF($B18&gt;AT$2,0,$C$3*(Datos!$C$14)^(Stock!AT$2-Stock!$B18)*Datos!$C$15^Stock!$B18)</f>
        <v>9909505.0440640133</v>
      </c>
      <c r="AU18">
        <f>IF($B18&gt;AU$2,0,$C$3*(Datos!$C$14)^(Stock!AU$2-Stock!$B18)*Datos!$C$15^Stock!$B18)</f>
        <v>17774386.684521399</v>
      </c>
      <c r="AV18">
        <f>IF($B18&gt;AV$2,0,$C$3*(Datos!$C$14)^(Stock!AV$2-Stock!$B18)*Datos!$C$15^Stock!$B18)</f>
        <v>31881392.724063367</v>
      </c>
      <c r="AW18">
        <f>IF($B18&gt;AW$2,0,$C$3*(Datos!$C$14)^(Stock!AW$2-Stock!$B18)*Datos!$C$15^Stock!$B18)</f>
        <v>57184713.040540524</v>
      </c>
      <c r="AX18">
        <f>IF($B18&gt;AX$2,0,$C$3*(Datos!$C$14)^(Stock!AX$2-Stock!$B18)*Datos!$C$15^Stock!$B18)</f>
        <v>102570531.77795379</v>
      </c>
      <c r="AY18">
        <f>IF($B18&gt;AY$2,0,$C$3*(Datos!$C$14)^(Stock!AY$2-Stock!$B18)*Datos!$C$15^Stock!$B18)</f>
        <v>183977735.12920612</v>
      </c>
      <c r="AZ18">
        <f>IF($B18&gt;AZ$2,0,$C$3*(Datos!$C$14)^(Stock!AZ$2-Stock!$B18)*Datos!$C$15^Stock!$B18)</f>
        <v>329995432.76763511</v>
      </c>
      <c r="BA18">
        <f>IF($B18&gt;BA$2,0,$C$3*(Datos!$C$14)^(Stock!BA$2-Stock!$B18)*Datos!$C$15^Stock!$B18)</f>
        <v>591903066.80871618</v>
      </c>
    </row>
    <row r="19" spans="2:53" x14ac:dyDescent="0.25">
      <c r="B19">
        <v>16</v>
      </c>
      <c r="D19">
        <f>IF($B19&gt;D$2,0,$C$3*(Datos!$C$14)^(Stock!D$2-Stock!$B19)*Datos!$C$15^Stock!$B19)</f>
        <v>0</v>
      </c>
      <c r="E19">
        <f>IF($B19&gt;E$2,0,$C$3*(Datos!$C$14)^(Stock!E$2-Stock!$B19)*Datos!$C$15^Stock!$B19)</f>
        <v>0</v>
      </c>
      <c r="F19">
        <f>IF($B19&gt;F$2,0,$C$3*(Datos!$C$14)^(Stock!F$2-Stock!$B19)*Datos!$C$15^Stock!$B19)</f>
        <v>0</v>
      </c>
      <c r="G19">
        <f>IF($B19&gt;G$2,0,$C$3*(Datos!$C$14)^(Stock!G$2-Stock!$B19)*Datos!$C$15^Stock!$B19)</f>
        <v>0</v>
      </c>
      <c r="H19">
        <f>IF($B19&gt;H$2,0,$C$3*(Datos!$C$14)^(Stock!H$2-Stock!$B19)*Datos!$C$15^Stock!$B19)</f>
        <v>0</v>
      </c>
      <c r="I19">
        <f>IF($B19&gt;I$2,0,$C$3*(Datos!$C$14)^(Stock!I$2-Stock!$B19)*Datos!$C$15^Stock!$B19)</f>
        <v>0</v>
      </c>
      <c r="J19">
        <f>IF($B19&gt;J$2,0,$C$3*(Datos!$C$14)^(Stock!J$2-Stock!$B19)*Datos!$C$15^Stock!$B19)</f>
        <v>0</v>
      </c>
      <c r="K19">
        <f>IF($B19&gt;K$2,0,$C$3*(Datos!$C$14)^(Stock!K$2-Stock!$B19)*Datos!$C$15^Stock!$B19)</f>
        <v>0</v>
      </c>
      <c r="L19">
        <f>IF($B19&gt;L$2,0,$C$3*(Datos!$C$14)^(Stock!L$2-Stock!$B19)*Datos!$C$15^Stock!$B19)</f>
        <v>0</v>
      </c>
      <c r="M19">
        <f>IF($B19&gt;M$2,0,$C$3*(Datos!$C$14)^(Stock!M$2-Stock!$B19)*Datos!$C$15^Stock!$B19)</f>
        <v>0</v>
      </c>
      <c r="N19">
        <f>IF($B19&gt;N$2,0,$C$3*(Datos!$C$14)^(Stock!N$2-Stock!$B19)*Datos!$C$15^Stock!$B19)</f>
        <v>0</v>
      </c>
      <c r="O19">
        <f>IF($B19&gt;O$2,0,$C$3*(Datos!$C$14)^(Stock!O$2-Stock!$B19)*Datos!$C$15^Stock!$B19)</f>
        <v>0</v>
      </c>
      <c r="P19">
        <f>IF($B19&gt;P$2,0,$C$3*(Datos!$C$14)^(Stock!P$2-Stock!$B19)*Datos!$C$15^Stock!$B19)</f>
        <v>0</v>
      </c>
      <c r="Q19">
        <f>IF($B19&gt;Q$2,0,$C$3*(Datos!$C$14)^(Stock!Q$2-Stock!$B19)*Datos!$C$15^Stock!$B19)</f>
        <v>0</v>
      </c>
      <c r="R19">
        <f>IF($B19&gt;R$2,0,$C$3*(Datos!$C$14)^(Stock!R$2-Stock!$B19)*Datos!$C$15^Stock!$B19)</f>
        <v>0</v>
      </c>
      <c r="S19">
        <f>IF($B19&gt;S$2,0,$C$3*(Datos!$C$14)^(Stock!S$2-Stock!$B19)*Datos!$C$15^Stock!$B19)</f>
        <v>0.59770794376394631</v>
      </c>
      <c r="T19">
        <f>IF($B19&gt;T$2,0,$C$3*(Datos!$C$14)^(Stock!T$2-Stock!$B19)*Datos!$C$15^Stock!$B19)</f>
        <v>1.0720910953301823</v>
      </c>
      <c r="U19">
        <f>IF($B19&gt;U$2,0,$C$3*(Datos!$C$14)^(Stock!U$2-Stock!$B19)*Datos!$C$15^Stock!$B19)</f>
        <v>1.9229781512493935</v>
      </c>
      <c r="V19">
        <f>IF($B19&gt;V$2,0,$C$3*(Datos!$C$14)^(Stock!V$2-Stock!$B19)*Datos!$C$15^Stock!$B19)</f>
        <v>3.4491891466029525</v>
      </c>
      <c r="W19">
        <f>IF($B19&gt;W$2,0,$C$3*(Datos!$C$14)^(Stock!W$2-Stock!$B19)*Datos!$C$15^Stock!$B19)</f>
        <v>6.1867087576184732</v>
      </c>
      <c r="X19">
        <f>IF($B19&gt;X$2,0,$C$3*(Datos!$C$14)^(Stock!X$2-Stock!$B19)*Datos!$C$15^Stock!$B19)</f>
        <v>11.096916876620078</v>
      </c>
      <c r="Y19">
        <f>IF($B19&gt;Y$2,0,$C$3*(Datos!$C$14)^(Stock!Y$2-Stock!$B19)*Datos!$C$15^Stock!$B19)</f>
        <v>19.904212238045922</v>
      </c>
      <c r="Z19">
        <f>IF($B19&gt;Z$2,0,$C$3*(Datos!$C$14)^(Stock!Z$2-Stock!$B19)*Datos!$C$15^Stock!$B19)</f>
        <v>35.701597950316966</v>
      </c>
      <c r="AA19">
        <f>IF($B19&gt;AA$2,0,$C$3*(Datos!$C$14)^(Stock!AA$2-Stock!$B19)*Datos!$C$15^Stock!$B19)</f>
        <v>64.036902388416735</v>
      </c>
      <c r="AB19">
        <f>IF($B19&gt;AB$2,0,$C$3*(Datos!$C$14)^(Stock!AB$2-Stock!$B19)*Datos!$C$15^Stock!$B19)</f>
        <v>114.86110154537791</v>
      </c>
      <c r="AC19">
        <f>IF($B19&gt;AC$2,0,$C$3*(Datos!$C$14)^(Stock!AC$2-Stock!$B19)*Datos!$C$15^Stock!$B19)</f>
        <v>206.02296732272976</v>
      </c>
      <c r="AD19">
        <f>IF($B19&gt;AD$2,0,$C$3*(Datos!$C$14)^(Stock!AD$2-Stock!$B19)*Datos!$C$15^Stock!$B19)</f>
        <v>369.53731501254794</v>
      </c>
      <c r="AE19">
        <f>IF($B19&gt;AE$2,0,$C$3*(Datos!$C$14)^(Stock!AE$2-Stock!$B19)*Datos!$C$15^Stock!$B19)</f>
        <v>662.82817377719209</v>
      </c>
      <c r="AF19">
        <f>IF($B19&gt;AF$2,0,$C$3*(Datos!$C$14)^(Stock!AF$2-Stock!$B19)*Datos!$C$15^Stock!$B19)</f>
        <v>1188.8953296580869</v>
      </c>
      <c r="AG19">
        <f>IF($B19&gt;AG$2,0,$C$3*(Datos!$C$14)^(Stock!AG$2-Stock!$B19)*Datos!$C$15^Stock!$B19)</f>
        <v>2132.4864584859156</v>
      </c>
      <c r="AH19">
        <f>IF($B19&gt;AH$2,0,$C$3*(Datos!$C$14)^(Stock!AH$2-Stock!$B19)*Datos!$C$15^Stock!$B19)</f>
        <v>3824.9780129371129</v>
      </c>
      <c r="AI19">
        <f>IF($B19&gt;AI$2,0,$C$3*(Datos!$C$14)^(Stock!AI$2-Stock!$B19)*Datos!$C$15^Stock!$B19)</f>
        <v>6860.7501544652705</v>
      </c>
      <c r="AJ19">
        <f>IF($B19&gt;AJ$2,0,$C$3*(Datos!$C$14)^(Stock!AJ$2-Stock!$B19)*Datos!$C$15^Stock!$B19)</f>
        <v>12305.925033501391</v>
      </c>
      <c r="AK19">
        <f>IF($B19&gt;AK$2,0,$C$3*(Datos!$C$14)^(Stock!AK$2-Stock!$B19)*Datos!$C$15^Stock!$B19)</f>
        <v>22072.774481023091</v>
      </c>
      <c r="AL19">
        <f>IF($B19&gt;AL$2,0,$C$3*(Datos!$C$14)^(Stock!AL$2-Stock!$B19)*Datos!$C$15^Stock!$B19)</f>
        <v>39591.284032995572</v>
      </c>
      <c r="AM19">
        <f>IF($B19&gt;AM$2,0,$C$3*(Datos!$C$14)^(Stock!AM$2-Stock!$B19)*Datos!$C$15^Stock!$B19)</f>
        <v>71013.717497496778</v>
      </c>
      <c r="AN19">
        <f>IF($B19&gt;AN$2,0,$C$3*(Datos!$C$14)^(Stock!AN$2-Stock!$B19)*Datos!$C$15^Stock!$B19)</f>
        <v>127375.20886191679</v>
      </c>
      <c r="AO19">
        <f>IF($B19&gt;AO$2,0,$C$3*(Datos!$C$14)^(Stock!AO$2-Stock!$B19)*Datos!$C$15^Stock!$B19)</f>
        <v>228469.15221962327</v>
      </c>
      <c r="AP19">
        <f>IF($B19&gt;AP$2,0,$C$3*(Datos!$C$14)^(Stock!AP$2-Stock!$B19)*Datos!$C$15^Stock!$B19)</f>
        <v>409798.37428600172</v>
      </c>
      <c r="AQ19">
        <f>IF($B19&gt;AQ$2,0,$C$3*(Datos!$C$14)^(Stock!AQ$2-Stock!$B19)*Datos!$C$15^Stock!$B19)</f>
        <v>735043.24735278625</v>
      </c>
      <c r="AR19">
        <f>IF($B19&gt;AR$2,0,$C$3*(Datos!$C$14)^(Stock!AR$2-Stock!$B19)*Datos!$C$15^Stock!$B19)</f>
        <v>1318425.3754551434</v>
      </c>
      <c r="AS19">
        <f>IF($B19&gt;AS$2,0,$C$3*(Datos!$C$14)^(Stock!AS$2-Stock!$B19)*Datos!$C$15^Stock!$B19)</f>
        <v>2364820.6781086992</v>
      </c>
      <c r="AT19">
        <f>IF($B19&gt;AT$2,0,$C$3*(Datos!$C$14)^(Stock!AT$2-Stock!$B19)*Datos!$C$15^Stock!$B19)</f>
        <v>4241709.0445334464</v>
      </c>
      <c r="AU19">
        <f>IF($B19&gt;AU$2,0,$C$3*(Datos!$C$14)^(Stock!AU$2-Stock!$B19)*Datos!$C$15^Stock!$B19)</f>
        <v>7608228.3045944497</v>
      </c>
      <c r="AV19">
        <f>IF($B19&gt;AV$2,0,$C$3*(Datos!$C$14)^(Stock!AV$2-Stock!$B19)*Datos!$C$15^Stock!$B19)</f>
        <v>13646654.527007764</v>
      </c>
      <c r="AW19">
        <f>IF($B19&gt;AW$2,0,$C$3*(Datos!$C$14)^(Stock!AW$2-Stock!$B19)*Datos!$C$15^Stock!$B19)</f>
        <v>24477601.397297759</v>
      </c>
      <c r="AX19">
        <f>IF($B19&gt;AX$2,0,$C$3*(Datos!$C$14)^(Stock!AX$2-Stock!$B19)*Datos!$C$15^Stock!$B19)</f>
        <v>43904751.086006038</v>
      </c>
      <c r="AY19">
        <f>IF($B19&gt;AY$2,0,$C$3*(Datos!$C$14)^(Stock!AY$2-Stock!$B19)*Datos!$C$15^Stock!$B19)</f>
        <v>78750656.023712844</v>
      </c>
      <c r="AZ19">
        <f>IF($B19&gt;AZ$2,0,$C$3*(Datos!$C$14)^(Stock!AZ$2-Stock!$B19)*Datos!$C$15^Stock!$B19)</f>
        <v>141252727.11412373</v>
      </c>
      <c r="BA19">
        <f>IF($B19&gt;BA$2,0,$C$3*(Datos!$C$14)^(Stock!BA$2-Stock!$B19)*Datos!$C$15^Stock!$B19)</f>
        <v>253360847.06607652</v>
      </c>
    </row>
    <row r="20" spans="2:53" x14ac:dyDescent="0.25">
      <c r="B20">
        <v>17</v>
      </c>
      <c r="D20">
        <f>IF($B20&gt;D$2,0,$C$3*(Datos!$C$14)^(Stock!D$2-Stock!$B20)*Datos!$C$15^Stock!$B20)</f>
        <v>0</v>
      </c>
      <c r="E20">
        <f>IF($B20&gt;E$2,0,$C$3*(Datos!$C$14)^(Stock!E$2-Stock!$B20)*Datos!$C$15^Stock!$B20)</f>
        <v>0</v>
      </c>
      <c r="F20">
        <f>IF($B20&gt;F$2,0,$C$3*(Datos!$C$14)^(Stock!F$2-Stock!$B20)*Datos!$C$15^Stock!$B20)</f>
        <v>0</v>
      </c>
      <c r="G20">
        <f>IF($B20&gt;G$2,0,$C$3*(Datos!$C$14)^(Stock!G$2-Stock!$B20)*Datos!$C$15^Stock!$B20)</f>
        <v>0</v>
      </c>
      <c r="H20">
        <f>IF($B20&gt;H$2,0,$C$3*(Datos!$C$14)^(Stock!H$2-Stock!$B20)*Datos!$C$15^Stock!$B20)</f>
        <v>0</v>
      </c>
      <c r="I20">
        <f>IF($B20&gt;I$2,0,$C$3*(Datos!$C$14)^(Stock!I$2-Stock!$B20)*Datos!$C$15^Stock!$B20)</f>
        <v>0</v>
      </c>
      <c r="J20">
        <f>IF($B20&gt;J$2,0,$C$3*(Datos!$C$14)^(Stock!J$2-Stock!$B20)*Datos!$C$15^Stock!$B20)</f>
        <v>0</v>
      </c>
      <c r="K20">
        <f>IF($B20&gt;K$2,0,$C$3*(Datos!$C$14)^(Stock!K$2-Stock!$B20)*Datos!$C$15^Stock!$B20)</f>
        <v>0</v>
      </c>
      <c r="L20">
        <f>IF($B20&gt;L$2,0,$C$3*(Datos!$C$14)^(Stock!L$2-Stock!$B20)*Datos!$C$15^Stock!$B20)</f>
        <v>0</v>
      </c>
      <c r="M20">
        <f>IF($B20&gt;M$2,0,$C$3*(Datos!$C$14)^(Stock!M$2-Stock!$B20)*Datos!$C$15^Stock!$B20)</f>
        <v>0</v>
      </c>
      <c r="N20">
        <f>IF($B20&gt;N$2,0,$C$3*(Datos!$C$14)^(Stock!N$2-Stock!$B20)*Datos!$C$15^Stock!$B20)</f>
        <v>0</v>
      </c>
      <c r="O20">
        <f>IF($B20&gt;O$2,0,$C$3*(Datos!$C$14)^(Stock!O$2-Stock!$B20)*Datos!$C$15^Stock!$B20)</f>
        <v>0</v>
      </c>
      <c r="P20">
        <f>IF($B20&gt;P$2,0,$C$3*(Datos!$C$14)^(Stock!P$2-Stock!$B20)*Datos!$C$15^Stock!$B20)</f>
        <v>0</v>
      </c>
      <c r="Q20">
        <f>IF($B20&gt;Q$2,0,$C$3*(Datos!$C$14)^(Stock!Q$2-Stock!$B20)*Datos!$C$15^Stock!$B20)</f>
        <v>0</v>
      </c>
      <c r="R20">
        <f>IF($B20&gt;R$2,0,$C$3*(Datos!$C$14)^(Stock!R$2-Stock!$B20)*Datos!$C$15^Stock!$B20)</f>
        <v>0</v>
      </c>
      <c r="S20">
        <f>IF($B20&gt;S$2,0,$C$3*(Datos!$C$14)^(Stock!S$2-Stock!$B20)*Datos!$C$15^Stock!$B20)</f>
        <v>0</v>
      </c>
      <c r="T20">
        <f>IF($B20&gt;T$2,0,$C$3*(Datos!$C$14)^(Stock!T$2-Stock!$B20)*Datos!$C$15^Stock!$B20)</f>
        <v>0.45890268741018947</v>
      </c>
      <c r="U20">
        <f>IF($B20&gt;U$2,0,$C$3*(Datos!$C$14)^(Stock!U$2-Stock!$B20)*Datos!$C$15^Stock!$B20)</f>
        <v>0.82312020432148525</v>
      </c>
      <c r="V20">
        <f>IF($B20&gt;V$2,0,$C$3*(Datos!$C$14)^(Stock!V$2-Stock!$B20)*Datos!$C$15^Stock!$B20)</f>
        <v>1.4764064132765413</v>
      </c>
      <c r="W20">
        <f>IF($B20&gt;W$2,0,$C$3*(Datos!$C$14)^(Stock!W$2-Stock!$B20)*Datos!$C$15^Stock!$B20)</f>
        <v>2.6481866022969696</v>
      </c>
      <c r="X20">
        <f>IF($B20&gt;X$2,0,$C$3*(Datos!$C$14)^(Stock!X$2-Stock!$B20)*Datos!$C$15^Stock!$B20)</f>
        <v>4.7499741382331724</v>
      </c>
      <c r="Y20">
        <f>IF($B20&gt;Y$2,0,$C$3*(Datos!$C$14)^(Stock!Y$2-Stock!$B20)*Datos!$C$15^Stock!$B20)</f>
        <v>8.5198883999768142</v>
      </c>
      <c r="Z20">
        <f>IF($B20&gt;Z$2,0,$C$3*(Datos!$C$14)^(Stock!Z$2-Stock!$B20)*Datos!$C$15^Stock!$B20)</f>
        <v>15.281872329321759</v>
      </c>
      <c r="AA20">
        <f>IF($B20&gt;AA$2,0,$C$3*(Datos!$C$14)^(Stock!AA$2-Stock!$B20)*Datos!$C$15^Stock!$B20)</f>
        <v>27.410643300248577</v>
      </c>
      <c r="AB20">
        <f>IF($B20&gt;AB$2,0,$C$3*(Datos!$C$14)^(Stock!AB$2-Stock!$B20)*Datos!$C$15^Stock!$B20)</f>
        <v>49.165661768541192</v>
      </c>
      <c r="AC20">
        <f>IF($B20&gt;AC$2,0,$C$3*(Datos!$C$14)^(Stock!AC$2-Stock!$B20)*Datos!$C$15^Stock!$B20)</f>
        <v>88.186996221160243</v>
      </c>
      <c r="AD20">
        <f>IF($B20&gt;AD$2,0,$C$3*(Datos!$C$14)^(Stock!AD$2-Stock!$B20)*Datos!$C$15^Stock!$B20)</f>
        <v>158.17841198035163</v>
      </c>
      <c r="AE20">
        <f>IF($B20&gt;AE$2,0,$C$3*(Datos!$C$14)^(Stock!AE$2-Stock!$B20)*Datos!$C$15^Stock!$B20)</f>
        <v>283.71994839101075</v>
      </c>
      <c r="AF20">
        <f>IF($B20&gt;AF$2,0,$C$3*(Datos!$C$14)^(Stock!AF$2-Stock!$B20)*Datos!$C$15^Stock!$B20)</f>
        <v>508.9000964619425</v>
      </c>
      <c r="AG20">
        <f>IF($B20&gt;AG$2,0,$C$3*(Datos!$C$14)^(Stock!AG$2-Stock!$B20)*Datos!$C$15^Stock!$B20)</f>
        <v>912.79908109266978</v>
      </c>
      <c r="AH20">
        <f>IF($B20&gt;AH$2,0,$C$3*(Datos!$C$14)^(Stock!AH$2-Stock!$B20)*Datos!$C$15^Stock!$B20)</f>
        <v>1637.2607673615018</v>
      </c>
      <c r="AI20">
        <f>IF($B20&gt;AI$2,0,$C$3*(Datos!$C$14)^(Stock!AI$2-Stock!$B20)*Datos!$C$15^Stock!$B20)</f>
        <v>2936.7063090514121</v>
      </c>
      <c r="AJ20">
        <f>IF($B20&gt;AJ$2,0,$C$3*(Datos!$C$14)^(Stock!AJ$2-Stock!$B20)*Datos!$C$15^Stock!$B20)</f>
        <v>5267.4834195902777</v>
      </c>
      <c r="AK20">
        <f>IF($B20&gt;AK$2,0,$C$3*(Datos!$C$14)^(Stock!AK$2-Stock!$B20)*Datos!$C$15^Stock!$B20)</f>
        <v>9448.1295218863288</v>
      </c>
      <c r="AL20">
        <f>IF($B20&gt;AL$2,0,$C$3*(Datos!$C$14)^(Stock!AL$2-Stock!$B20)*Datos!$C$15^Stock!$B20)</f>
        <v>16946.831029471661</v>
      </c>
      <c r="AM20">
        <f>IF($B20&gt;AM$2,0,$C$3*(Datos!$C$14)^(Stock!AM$2-Stock!$B20)*Datos!$C$15^Stock!$B20)</f>
        <v>30397.030573743094</v>
      </c>
      <c r="AN20">
        <f>IF($B20&gt;AN$2,0,$C$3*(Datos!$C$14)^(Stock!AN$2-Stock!$B20)*Datos!$C$15^Stock!$B20)</f>
        <v>54522.256467549058</v>
      </c>
      <c r="AO20">
        <f>IF($B20&gt;AO$2,0,$C$3*(Datos!$C$14)^(Stock!AO$2-Stock!$B20)*Datos!$C$15^Stock!$B20)</f>
        <v>97794.962014513003</v>
      </c>
      <c r="AP20">
        <f>IF($B20&gt;AP$2,0,$C$3*(Datos!$C$14)^(Stock!AP$2-Stock!$B20)*Datos!$C$15^Stock!$B20)</f>
        <v>175411.93661183701</v>
      </c>
      <c r="AQ20">
        <f>IF($B20&gt;AQ$2,0,$C$3*(Datos!$C$14)^(Stock!AQ$2-Stock!$B20)*Datos!$C$15^Stock!$B20)</f>
        <v>314631.21281594137</v>
      </c>
      <c r="AR20">
        <f>IF($B20&gt;AR$2,0,$C$3*(Datos!$C$14)^(Stock!AR$2-Stock!$B20)*Datos!$C$15^Stock!$B20)</f>
        <v>564344.71900899138</v>
      </c>
      <c r="AS20">
        <f>IF($B20&gt;AS$2,0,$C$3*(Datos!$C$14)^(Stock!AS$2-Stock!$B20)*Datos!$C$15^Stock!$B20)</f>
        <v>1012248.4639171843</v>
      </c>
      <c r="AT20">
        <f>IF($B20&gt;AT$2,0,$C$3*(Datos!$C$14)^(Stock!AT$2-Stock!$B20)*Datos!$C$15^Stock!$B20)</f>
        <v>1815640.1897443368</v>
      </c>
      <c r="AU20">
        <f>IF($B20&gt;AU$2,0,$C$3*(Datos!$C$14)^(Stock!AU$2-Stock!$B20)*Datos!$C$15^Stock!$B20)</f>
        <v>3256660.2134992746</v>
      </c>
      <c r="AV20">
        <f>IF($B20&gt;AV$2,0,$C$3*(Datos!$C$14)^(Stock!AV$2-Stock!$B20)*Datos!$C$15^Stock!$B20)</f>
        <v>5841375.2934619542</v>
      </c>
      <c r="AW20">
        <f>IF($B20&gt;AW$2,0,$C$3*(Datos!$C$14)^(Stock!AW$2-Stock!$B20)*Datos!$C$15^Stock!$B20)</f>
        <v>10477502.435663704</v>
      </c>
      <c r="AX20">
        <f>IF($B20&gt;AX$2,0,$C$3*(Datos!$C$14)^(Stock!AX$2-Stock!$B20)*Datos!$C$15^Stock!$B20)</f>
        <v>18793186.839443367</v>
      </c>
      <c r="AY20">
        <f>IF($B20&gt;AY$2,0,$C$3*(Datos!$C$14)^(Stock!AY$2-Stock!$B20)*Datos!$C$15^Stock!$B20)</f>
        <v>33708784.48856736</v>
      </c>
      <c r="AZ20">
        <f>IF($B20&gt;AZ$2,0,$C$3*(Datos!$C$14)^(Stock!AZ$2-Stock!$B20)*Datos!$C$15^Stock!$B20)</f>
        <v>60462451.706798196</v>
      </c>
      <c r="BA20">
        <f>IF($B20&gt;BA$2,0,$C$3*(Datos!$C$14)^(Stock!BA$2-Stock!$B20)*Datos!$C$15^Stock!$B20)</f>
        <v>108449714.86992565</v>
      </c>
    </row>
    <row r="21" spans="2:53" x14ac:dyDescent="0.25">
      <c r="B21">
        <v>18</v>
      </c>
      <c r="D21">
        <f>IF($B21&gt;D$2,0,$C$3*(Datos!$C$14)^(Stock!D$2-Stock!$B21)*Datos!$C$15^Stock!$B21)</f>
        <v>0</v>
      </c>
      <c r="E21">
        <f>IF($B21&gt;E$2,0,$C$3*(Datos!$C$14)^(Stock!E$2-Stock!$B21)*Datos!$C$15^Stock!$B21)</f>
        <v>0</v>
      </c>
      <c r="F21">
        <f>IF($B21&gt;F$2,0,$C$3*(Datos!$C$14)^(Stock!F$2-Stock!$B21)*Datos!$C$15^Stock!$B21)</f>
        <v>0</v>
      </c>
      <c r="G21">
        <f>IF($B21&gt;G$2,0,$C$3*(Datos!$C$14)^(Stock!G$2-Stock!$B21)*Datos!$C$15^Stock!$B21)</f>
        <v>0</v>
      </c>
      <c r="H21">
        <f>IF($B21&gt;H$2,0,$C$3*(Datos!$C$14)^(Stock!H$2-Stock!$B21)*Datos!$C$15^Stock!$B21)</f>
        <v>0</v>
      </c>
      <c r="I21">
        <f>IF($B21&gt;I$2,0,$C$3*(Datos!$C$14)^(Stock!I$2-Stock!$B21)*Datos!$C$15^Stock!$B21)</f>
        <v>0</v>
      </c>
      <c r="J21">
        <f>IF($B21&gt;J$2,0,$C$3*(Datos!$C$14)^(Stock!J$2-Stock!$B21)*Datos!$C$15^Stock!$B21)</f>
        <v>0</v>
      </c>
      <c r="K21">
        <f>IF($B21&gt;K$2,0,$C$3*(Datos!$C$14)^(Stock!K$2-Stock!$B21)*Datos!$C$15^Stock!$B21)</f>
        <v>0</v>
      </c>
      <c r="L21">
        <f>IF($B21&gt;L$2,0,$C$3*(Datos!$C$14)^(Stock!L$2-Stock!$B21)*Datos!$C$15^Stock!$B21)</f>
        <v>0</v>
      </c>
      <c r="M21">
        <f>IF($B21&gt;M$2,0,$C$3*(Datos!$C$14)^(Stock!M$2-Stock!$B21)*Datos!$C$15^Stock!$B21)</f>
        <v>0</v>
      </c>
      <c r="N21">
        <f>IF($B21&gt;N$2,0,$C$3*(Datos!$C$14)^(Stock!N$2-Stock!$B21)*Datos!$C$15^Stock!$B21)</f>
        <v>0</v>
      </c>
      <c r="O21">
        <f>IF($B21&gt;O$2,0,$C$3*(Datos!$C$14)^(Stock!O$2-Stock!$B21)*Datos!$C$15^Stock!$B21)</f>
        <v>0</v>
      </c>
      <c r="P21">
        <f>IF($B21&gt;P$2,0,$C$3*(Datos!$C$14)^(Stock!P$2-Stock!$B21)*Datos!$C$15^Stock!$B21)</f>
        <v>0</v>
      </c>
      <c r="Q21">
        <f>IF($B21&gt;Q$2,0,$C$3*(Datos!$C$14)^(Stock!Q$2-Stock!$B21)*Datos!$C$15^Stock!$B21)</f>
        <v>0</v>
      </c>
      <c r="R21">
        <f>IF($B21&gt;R$2,0,$C$3*(Datos!$C$14)^(Stock!R$2-Stock!$B21)*Datos!$C$15^Stock!$B21)</f>
        <v>0</v>
      </c>
      <c r="S21">
        <f>IF($B21&gt;S$2,0,$C$3*(Datos!$C$14)^(Stock!S$2-Stock!$B21)*Datos!$C$15^Stock!$B21)</f>
        <v>0</v>
      </c>
      <c r="T21">
        <f>IF($B21&gt;T$2,0,$C$3*(Datos!$C$14)^(Stock!T$2-Stock!$B21)*Datos!$C$15^Stock!$B21)</f>
        <v>0</v>
      </c>
      <c r="U21">
        <f>IF($B21&gt;U$2,0,$C$3*(Datos!$C$14)^(Stock!U$2-Stock!$B21)*Datos!$C$15^Stock!$B21)</f>
        <v>0.35233206904719239</v>
      </c>
      <c r="V21">
        <f>IF($B21&gt;V$2,0,$C$3*(Datos!$C$14)^(Stock!V$2-Stock!$B21)*Datos!$C$15^Stock!$B21)</f>
        <v>0.63196763196095684</v>
      </c>
      <c r="W21">
        <f>IF($B21&gt;W$2,0,$C$3*(Datos!$C$14)^(Stock!W$2-Stock!$B21)*Datos!$C$15^Stock!$B21)</f>
        <v>1.1335416867570032</v>
      </c>
      <c r="X21">
        <f>IF($B21&gt;X$2,0,$C$3*(Datos!$C$14)^(Stock!X$2-Stock!$B21)*Datos!$C$15^Stock!$B21)</f>
        <v>2.0332002631667927</v>
      </c>
      <c r="Y21">
        <f>IF($B21&gt;Y$2,0,$C$3*(Datos!$C$14)^(Stock!Y$2-Stock!$B21)*Datos!$C$15^Stock!$B21)</f>
        <v>3.64689129516566</v>
      </c>
      <c r="Z21">
        <f>IF($B21&gt;Z$2,0,$C$3*(Datos!$C$14)^(Stock!Z$2-Stock!$B21)*Datos!$C$15^Stock!$B21)</f>
        <v>6.5413212656386621</v>
      </c>
      <c r="AA21">
        <f>IF($B21&gt;AA$2,0,$C$3*(Datos!$C$14)^(Stock!AA$2-Stock!$B21)*Datos!$C$15^Stock!$B21)</f>
        <v>11.732974864651924</v>
      </c>
      <c r="AB21">
        <f>IF($B21&gt;AB$2,0,$C$3*(Datos!$C$14)^(Stock!AB$2-Stock!$B21)*Datos!$C$15^Stock!$B21)</f>
        <v>21.045090675746398</v>
      </c>
      <c r="AC21">
        <f>IF($B21&gt;AC$2,0,$C$3*(Datos!$C$14)^(Stock!AC$2-Stock!$B21)*Datos!$C$15^Stock!$B21)</f>
        <v>37.747957927081707</v>
      </c>
      <c r="AD21">
        <f>IF($B21&gt;AD$2,0,$C$3*(Datos!$C$14)^(Stock!AD$2-Stock!$B21)*Datos!$C$15^Stock!$B21)</f>
        <v>67.707397873408965</v>
      </c>
      <c r="AE21">
        <f>IF($B21&gt;AE$2,0,$C$3*(Datos!$C$14)^(Stock!AE$2-Stock!$B21)*Datos!$C$15^Stock!$B21)</f>
        <v>121.4447609495499</v>
      </c>
      <c r="AF21">
        <f>IF($B21&gt;AF$2,0,$C$3*(Datos!$C$14)^(Stock!AF$2-Stock!$B21)*Datos!$C$15^Stock!$B21)</f>
        <v>217.83188285671361</v>
      </c>
      <c r="AG21">
        <f>IF($B21&gt;AG$2,0,$C$3*(Datos!$C$14)^(Stock!AG$2-Stock!$B21)*Datos!$C$15^Stock!$B21)</f>
        <v>390.71861822522584</v>
      </c>
      <c r="AH21">
        <f>IF($B21&gt;AH$2,0,$C$3*(Datos!$C$14)^(Stock!AH$2-Stock!$B21)*Datos!$C$15^Stock!$B21)</f>
        <v>700.82045211098773</v>
      </c>
      <c r="AI21">
        <f>IF($B21&gt;AI$2,0,$C$3*(Datos!$C$14)^(Stock!AI$2-Stock!$B21)*Datos!$C$15^Stock!$B21)</f>
        <v>1257.0409578330641</v>
      </c>
      <c r="AJ21">
        <f>IF($B21&gt;AJ$2,0,$C$3*(Datos!$C$14)^(Stock!AJ$2-Stock!$B21)*Datos!$C$15^Stock!$B21)</f>
        <v>2254.717260191519</v>
      </c>
      <c r="AK21">
        <f>IF($B21&gt;AK$2,0,$C$3*(Datos!$C$14)^(Stock!AK$2-Stock!$B21)*Datos!$C$15^Stock!$B21)</f>
        <v>4044.2197938952713</v>
      </c>
      <c r="AL21">
        <f>IF($B21&gt;AL$2,0,$C$3*(Datos!$C$14)^(Stock!AL$2-Stock!$B21)*Datos!$C$15^Stock!$B21)</f>
        <v>7253.9976652970809</v>
      </c>
      <c r="AM21">
        <f>IF($B21&gt;AM$2,0,$C$3*(Datos!$C$14)^(Stock!AM$2-Stock!$B21)*Datos!$C$15^Stock!$B21)</f>
        <v>13011.281485631876</v>
      </c>
      <c r="AN21">
        <f>IF($B21&gt;AN$2,0,$C$3*(Datos!$C$14)^(Stock!AN$2-Stock!$B21)*Datos!$C$15^Stock!$B21)</f>
        <v>23337.951528195532</v>
      </c>
      <c r="AO21">
        <f>IF($B21&gt;AO$2,0,$C$3*(Datos!$C$14)^(Stock!AO$2-Stock!$B21)*Datos!$C$15^Stock!$B21)</f>
        <v>41860.594756470557</v>
      </c>
      <c r="AP21">
        <f>IF($B21&gt;AP$2,0,$C$3*(Datos!$C$14)^(Stock!AP$2-Stock!$B21)*Datos!$C$15^Stock!$B21)</f>
        <v>75084.113155707528</v>
      </c>
      <c r="AQ21">
        <f>IF($B21&gt;AQ$2,0,$C$3*(Datos!$C$14)^(Stock!AQ$2-Stock!$B21)*Datos!$C$15^Stock!$B21)</f>
        <v>134676.15740236611</v>
      </c>
      <c r="AR21">
        <f>IF($B21&gt;AR$2,0,$C$3*(Datos!$C$14)^(Stock!AR$2-Stock!$B21)*Datos!$C$15^Stock!$B21)</f>
        <v>241564.64810409979</v>
      </c>
      <c r="AS21">
        <f>IF($B21&gt;AS$2,0,$C$3*(Datos!$C$14)^(Stock!AS$2-Stock!$B21)*Datos!$C$15^Stock!$B21)</f>
        <v>433287.37869552802</v>
      </c>
      <c r="AT21">
        <f>IF($B21&gt;AT$2,0,$C$3*(Datos!$C$14)^(Stock!AT$2-Stock!$B21)*Datos!$C$15^Stock!$B21)</f>
        <v>777174.78120365611</v>
      </c>
      <c r="AU21">
        <f>IF($B21&gt;AU$2,0,$C$3*(Datos!$C$14)^(Stock!AU$2-Stock!$B21)*Datos!$C$15^Stock!$B21)</f>
        <v>1393995.464066779</v>
      </c>
      <c r="AV21">
        <f>IF($B21&gt;AV$2,0,$C$3*(Datos!$C$14)^(Stock!AV$2-Stock!$B21)*Datos!$C$15^Stock!$B21)</f>
        <v>2500368.515341131</v>
      </c>
      <c r="AW21">
        <f>IF($B21&gt;AW$2,0,$C$3*(Datos!$C$14)^(Stock!AW$2-Stock!$B21)*Datos!$C$15^Stock!$B21)</f>
        <v>4484837.199018117</v>
      </c>
      <c r="AX21">
        <f>IF($B21&gt;AX$2,0,$C$3*(Datos!$C$14)^(Stock!AX$2-Stock!$B21)*Datos!$C$15^Stock!$B21)</f>
        <v>8044320.0985325556</v>
      </c>
      <c r="AY21">
        <f>IF($B21&gt;AY$2,0,$C$3*(Datos!$C$14)^(Stock!AY$2-Stock!$B21)*Datos!$C$15^Stock!$B21)</f>
        <v>14428859.5050501</v>
      </c>
      <c r="AZ21">
        <f>IF($B21&gt;AZ$2,0,$C$3*(Datos!$C$14)^(Stock!AZ$2-Stock!$B21)*Datos!$C$15^Stock!$B21)</f>
        <v>25880619.376950573</v>
      </c>
      <c r="BA21">
        <f>IF($B21&gt;BA$2,0,$C$3*(Datos!$C$14)^(Stock!BA$2-Stock!$B21)*Datos!$C$15^Stock!$B21)</f>
        <v>46421303.021223374</v>
      </c>
    </row>
    <row r="22" spans="2:53" x14ac:dyDescent="0.25">
      <c r="B22">
        <v>19</v>
      </c>
      <c r="D22">
        <f>IF($B22&gt;D$2,0,$C$3*(Datos!$C$14)^(Stock!D$2-Stock!$B22)*Datos!$C$15^Stock!$B22)</f>
        <v>0</v>
      </c>
      <c r="E22">
        <f>IF($B22&gt;E$2,0,$C$3*(Datos!$C$14)^(Stock!E$2-Stock!$B22)*Datos!$C$15^Stock!$B22)</f>
        <v>0</v>
      </c>
      <c r="F22">
        <f>IF($B22&gt;F$2,0,$C$3*(Datos!$C$14)^(Stock!F$2-Stock!$B22)*Datos!$C$15^Stock!$B22)</f>
        <v>0</v>
      </c>
      <c r="G22">
        <f>IF($B22&gt;G$2,0,$C$3*(Datos!$C$14)^(Stock!G$2-Stock!$B22)*Datos!$C$15^Stock!$B22)</f>
        <v>0</v>
      </c>
      <c r="H22">
        <f>IF($B22&gt;H$2,0,$C$3*(Datos!$C$14)^(Stock!H$2-Stock!$B22)*Datos!$C$15^Stock!$B22)</f>
        <v>0</v>
      </c>
      <c r="I22">
        <f>IF($B22&gt;I$2,0,$C$3*(Datos!$C$14)^(Stock!I$2-Stock!$B22)*Datos!$C$15^Stock!$B22)</f>
        <v>0</v>
      </c>
      <c r="J22">
        <f>IF($B22&gt;J$2,0,$C$3*(Datos!$C$14)^(Stock!J$2-Stock!$B22)*Datos!$C$15^Stock!$B22)</f>
        <v>0</v>
      </c>
      <c r="K22">
        <f>IF($B22&gt;K$2,0,$C$3*(Datos!$C$14)^(Stock!K$2-Stock!$B22)*Datos!$C$15^Stock!$B22)</f>
        <v>0</v>
      </c>
      <c r="L22">
        <f>IF($B22&gt;L$2,0,$C$3*(Datos!$C$14)^(Stock!L$2-Stock!$B22)*Datos!$C$15^Stock!$B22)</f>
        <v>0</v>
      </c>
      <c r="M22">
        <f>IF($B22&gt;M$2,0,$C$3*(Datos!$C$14)^(Stock!M$2-Stock!$B22)*Datos!$C$15^Stock!$B22)</f>
        <v>0</v>
      </c>
      <c r="N22">
        <f>IF($B22&gt;N$2,0,$C$3*(Datos!$C$14)^(Stock!N$2-Stock!$B22)*Datos!$C$15^Stock!$B22)</f>
        <v>0</v>
      </c>
      <c r="O22">
        <f>IF($B22&gt;O$2,0,$C$3*(Datos!$C$14)^(Stock!O$2-Stock!$B22)*Datos!$C$15^Stock!$B22)</f>
        <v>0</v>
      </c>
      <c r="P22">
        <f>IF($B22&gt;P$2,0,$C$3*(Datos!$C$14)^(Stock!P$2-Stock!$B22)*Datos!$C$15^Stock!$B22)</f>
        <v>0</v>
      </c>
      <c r="Q22">
        <f>IF($B22&gt;Q$2,0,$C$3*(Datos!$C$14)^(Stock!Q$2-Stock!$B22)*Datos!$C$15^Stock!$B22)</f>
        <v>0</v>
      </c>
      <c r="R22">
        <f>IF($B22&gt;R$2,0,$C$3*(Datos!$C$14)^(Stock!R$2-Stock!$B22)*Datos!$C$15^Stock!$B22)</f>
        <v>0</v>
      </c>
      <c r="S22">
        <f>IF($B22&gt;S$2,0,$C$3*(Datos!$C$14)^(Stock!S$2-Stock!$B22)*Datos!$C$15^Stock!$B22)</f>
        <v>0</v>
      </c>
      <c r="T22">
        <f>IF($B22&gt;T$2,0,$C$3*(Datos!$C$14)^(Stock!T$2-Stock!$B22)*Datos!$C$15^Stock!$B22)</f>
        <v>0</v>
      </c>
      <c r="U22">
        <f>IF($B22&gt;U$2,0,$C$3*(Datos!$C$14)^(Stock!U$2-Stock!$B22)*Datos!$C$15^Stock!$B22)</f>
        <v>0</v>
      </c>
      <c r="V22">
        <f>IF($B22&gt;V$2,0,$C$3*(Datos!$C$14)^(Stock!V$2-Stock!$B22)*Datos!$C$15^Stock!$B22)</f>
        <v>0.27051026347142543</v>
      </c>
      <c r="W22">
        <f>IF($B22&gt;W$2,0,$C$3*(Datos!$C$14)^(Stock!W$2-Stock!$B22)*Datos!$C$15^Stock!$B22)</f>
        <v>0.48520627455082216</v>
      </c>
      <c r="X22">
        <f>IF($B22&gt;X$2,0,$C$3*(Datos!$C$14)^(Stock!X$2-Stock!$B22)*Datos!$C$15^Stock!$B22)</f>
        <v>0.87030017213508137</v>
      </c>
      <c r="Y22">
        <f>IF($B22&gt;Y$2,0,$C$3*(Datos!$C$14)^(Stock!Y$2-Stock!$B22)*Datos!$C$15^Stock!$B22)</f>
        <v>1.5610317288652817</v>
      </c>
      <c r="Z22">
        <f>IF($B22&gt;Z$2,0,$C$3*(Datos!$C$14)^(Stock!Z$2-Stock!$B22)*Datos!$C$15^Stock!$B22)</f>
        <v>2.7999765328621651</v>
      </c>
      <c r="AA22">
        <f>IF($B22&gt;AA$2,0,$C$3*(Datos!$C$14)^(Stock!AA$2-Stock!$B22)*Datos!$C$15^Stock!$B22)</f>
        <v>5.0222352560877486</v>
      </c>
      <c r="AB22">
        <f>IF($B22&gt;AB$2,0,$C$3*(Datos!$C$14)^(Stock!AB$2-Stock!$B22)*Datos!$C$15^Stock!$B22)</f>
        <v>9.0082351303522241</v>
      </c>
      <c r="AC22">
        <f>IF($B22&gt;AC$2,0,$C$3*(Datos!$C$14)^(Stock!AC$2-Stock!$B22)*Datos!$C$15^Stock!$B22)</f>
        <v>16.157805444368083</v>
      </c>
      <c r="AD22">
        <f>IF($B22&gt;AD$2,0,$C$3*(Datos!$C$14)^(Stock!AD$2-Stock!$B22)*Datos!$C$15^Stock!$B22)</f>
        <v>28.981778672538137</v>
      </c>
      <c r="AE22">
        <f>IF($B22&gt;AE$2,0,$C$3*(Datos!$C$14)^(Stock!AE$2-Stock!$B22)*Datos!$C$15^Stock!$B22)</f>
        <v>51.983760908369803</v>
      </c>
      <c r="AF22">
        <f>IF($B22&gt;AF$2,0,$C$3*(Datos!$C$14)^(Stock!AF$2-Stock!$B22)*Datos!$C$15^Stock!$B22)</f>
        <v>93.241737462412829</v>
      </c>
      <c r="AG22">
        <f>IF($B22&gt;AG$2,0,$C$3*(Datos!$C$14)^(Stock!AG$2-Stock!$B22)*Datos!$C$15^Stock!$B22)</f>
        <v>167.24495213676843</v>
      </c>
      <c r="AH22">
        <f>IF($B22&gt;AH$2,0,$C$3*(Datos!$C$14)^(Stock!AH$2-Stock!$B22)*Datos!$C$15^Stock!$B22)</f>
        <v>299.98233383955818</v>
      </c>
      <c r="AI22">
        <f>IF($B22&gt;AI$2,0,$C$3*(Datos!$C$14)^(Stock!AI$2-Stock!$B22)*Datos!$C$15^Stock!$B22)</f>
        <v>538.06945720093961</v>
      </c>
      <c r="AJ22">
        <f>IF($B22&gt;AJ$2,0,$C$3*(Datos!$C$14)^(Stock!AJ$2-Stock!$B22)*Datos!$C$15^Stock!$B22)</f>
        <v>965.11930241651908</v>
      </c>
      <c r="AK22">
        <f>IF($B22&gt;AK$2,0,$C$3*(Datos!$C$14)^(Stock!AK$2-Stock!$B22)*Datos!$C$15^Stock!$B22)</f>
        <v>1731.1060039393783</v>
      </c>
      <c r="AL22">
        <f>IF($B22&gt;AL$2,0,$C$3*(Datos!$C$14)^(Stock!AL$2-Stock!$B22)*Datos!$C$15^Stock!$B22)</f>
        <v>3105.0337397372414</v>
      </c>
      <c r="AM22">
        <f>IF($B22&gt;AM$2,0,$C$3*(Datos!$C$14)^(Stock!AM$2-Stock!$B22)*Datos!$C$15^Stock!$B22)</f>
        <v>5569.4073632502204</v>
      </c>
      <c r="AN22">
        <f>IF($B22&gt;AN$2,0,$C$3*(Datos!$C$14)^(Stock!AN$2-Stock!$B22)*Datos!$C$15^Stock!$B22)</f>
        <v>9989.6815873088235</v>
      </c>
      <c r="AO22">
        <f>IF($B22&gt;AO$2,0,$C$3*(Datos!$C$14)^(Stock!AO$2-Stock!$B22)*Datos!$C$15^Stock!$B22)</f>
        <v>17918.196983454058</v>
      </c>
      <c r="AP22">
        <f>IF($B22&gt;AP$2,0,$C$3*(Datos!$C$14)^(Stock!AP$2-Stock!$B22)*Datos!$C$15^Stock!$B22)</f>
        <v>32139.341012204848</v>
      </c>
      <c r="AQ22">
        <f>IF($B22&gt;AQ$2,0,$C$3*(Datos!$C$14)^(Stock!AQ$2-Stock!$B22)*Datos!$C$15^Stock!$B22)</f>
        <v>57647.387270751802</v>
      </c>
      <c r="AR22">
        <f>IF($B22&gt;AR$2,0,$C$3*(Datos!$C$14)^(Stock!AR$2-Stock!$B22)*Datos!$C$15^Stock!$B22)</f>
        <v>103400.41688726751</v>
      </c>
      <c r="AS22">
        <f>IF($B22&gt;AS$2,0,$C$3*(Datos!$C$14)^(Stock!AS$2-Stock!$B22)*Datos!$C$15^Stock!$B22)</f>
        <v>185466.27555287795</v>
      </c>
      <c r="AT22">
        <f>IF($B22&gt;AT$2,0,$C$3*(Datos!$C$14)^(Stock!AT$2-Stock!$B22)*Datos!$C$15^Stock!$B22)</f>
        <v>332665.38378620113</v>
      </c>
      <c r="AU22">
        <f>IF($B22&gt;AU$2,0,$C$3*(Datos!$C$14)^(Stock!AU$2-Stock!$B22)*Datos!$C$15^Stock!$B22)</f>
        <v>596692.07913795975</v>
      </c>
      <c r="AV22">
        <f>IF($B22&gt;AV$2,0,$C$3*(Datos!$C$14)^(Stock!AV$2-Stock!$B22)*Datos!$C$15^Stock!$B22)</f>
        <v>1070268.9689372778</v>
      </c>
      <c r="AW22">
        <f>IF($B22&gt;AW$2,0,$C$3*(Datos!$C$14)^(Stock!AW$2-Stock!$B22)*Datos!$C$15^Stock!$B22)</f>
        <v>1919709.8569247483</v>
      </c>
      <c r="AX22">
        <f>IF($B22&gt;AX$2,0,$C$3*(Datos!$C$14)^(Stock!AX$2-Stock!$B22)*Datos!$C$15^Stock!$B22)</f>
        <v>3443326.9035477485</v>
      </c>
      <c r="AY22">
        <f>IF($B22&gt;AY$2,0,$C$3*(Datos!$C$14)^(Stock!AY$2-Stock!$B22)*Datos!$C$15^Stock!$B22)</f>
        <v>6176193.8252945561</v>
      </c>
      <c r="AZ22">
        <f>IF($B22&gt;AZ$2,0,$C$3*(Datos!$C$14)^(Stock!AZ$2-Stock!$B22)*Datos!$C$15^Stock!$B22)</f>
        <v>11078056.552894944</v>
      </c>
      <c r="BA22">
        <f>IF($B22&gt;BA$2,0,$C$3*(Datos!$C$14)^(Stock!BA$2-Stock!$B22)*Datos!$C$15^Stock!$B22)</f>
        <v>19870383.032107268</v>
      </c>
    </row>
    <row r="23" spans="2:53" x14ac:dyDescent="0.25">
      <c r="B23">
        <v>20</v>
      </c>
      <c r="D23">
        <f>IF($B23&gt;D$2,0,$C$3*(Datos!$C$14)^(Stock!D$2-Stock!$B23)*Datos!$C$15^Stock!$B23)</f>
        <v>0</v>
      </c>
      <c r="E23">
        <f>IF($B23&gt;E$2,0,$C$3*(Datos!$C$14)^(Stock!E$2-Stock!$B23)*Datos!$C$15^Stock!$B23)</f>
        <v>0</v>
      </c>
      <c r="F23">
        <f>IF($B23&gt;F$2,0,$C$3*(Datos!$C$14)^(Stock!F$2-Stock!$B23)*Datos!$C$15^Stock!$B23)</f>
        <v>0</v>
      </c>
      <c r="G23">
        <f>IF($B23&gt;G$2,0,$C$3*(Datos!$C$14)^(Stock!G$2-Stock!$B23)*Datos!$C$15^Stock!$B23)</f>
        <v>0</v>
      </c>
      <c r="H23">
        <f>IF($B23&gt;H$2,0,$C$3*(Datos!$C$14)^(Stock!H$2-Stock!$B23)*Datos!$C$15^Stock!$B23)</f>
        <v>0</v>
      </c>
      <c r="I23">
        <f>IF($B23&gt;I$2,0,$C$3*(Datos!$C$14)^(Stock!I$2-Stock!$B23)*Datos!$C$15^Stock!$B23)</f>
        <v>0</v>
      </c>
      <c r="J23">
        <f>IF($B23&gt;J$2,0,$C$3*(Datos!$C$14)^(Stock!J$2-Stock!$B23)*Datos!$C$15^Stock!$B23)</f>
        <v>0</v>
      </c>
      <c r="K23">
        <f>IF($B23&gt;K$2,0,$C$3*(Datos!$C$14)^(Stock!K$2-Stock!$B23)*Datos!$C$15^Stock!$B23)</f>
        <v>0</v>
      </c>
      <c r="L23">
        <f>IF($B23&gt;L$2,0,$C$3*(Datos!$C$14)^(Stock!L$2-Stock!$B23)*Datos!$C$15^Stock!$B23)</f>
        <v>0</v>
      </c>
      <c r="M23">
        <f>IF($B23&gt;M$2,0,$C$3*(Datos!$C$14)^(Stock!M$2-Stock!$B23)*Datos!$C$15^Stock!$B23)</f>
        <v>0</v>
      </c>
      <c r="N23">
        <f>IF($B23&gt;N$2,0,$C$3*(Datos!$C$14)^(Stock!N$2-Stock!$B23)*Datos!$C$15^Stock!$B23)</f>
        <v>0</v>
      </c>
      <c r="O23">
        <f>IF($B23&gt;O$2,0,$C$3*(Datos!$C$14)^(Stock!O$2-Stock!$B23)*Datos!$C$15^Stock!$B23)</f>
        <v>0</v>
      </c>
      <c r="P23">
        <f>IF($B23&gt;P$2,0,$C$3*(Datos!$C$14)^(Stock!P$2-Stock!$B23)*Datos!$C$15^Stock!$B23)</f>
        <v>0</v>
      </c>
      <c r="Q23">
        <f>IF($B23&gt;Q$2,0,$C$3*(Datos!$C$14)^(Stock!Q$2-Stock!$B23)*Datos!$C$15^Stock!$B23)</f>
        <v>0</v>
      </c>
      <c r="R23">
        <f>IF($B23&gt;R$2,0,$C$3*(Datos!$C$14)^(Stock!R$2-Stock!$B23)*Datos!$C$15^Stock!$B23)</f>
        <v>0</v>
      </c>
      <c r="S23">
        <f>IF($B23&gt;S$2,0,$C$3*(Datos!$C$14)^(Stock!S$2-Stock!$B23)*Datos!$C$15^Stock!$B23)</f>
        <v>0</v>
      </c>
      <c r="T23">
        <f>IF($B23&gt;T$2,0,$C$3*(Datos!$C$14)^(Stock!T$2-Stock!$B23)*Datos!$C$15^Stock!$B23)</f>
        <v>0</v>
      </c>
      <c r="U23">
        <f>IF($B23&gt;U$2,0,$C$3*(Datos!$C$14)^(Stock!U$2-Stock!$B23)*Datos!$C$15^Stock!$B23)</f>
        <v>0</v>
      </c>
      <c r="V23">
        <f>IF($B23&gt;V$2,0,$C$3*(Datos!$C$14)^(Stock!V$2-Stock!$B23)*Datos!$C$15^Stock!$B23)</f>
        <v>0</v>
      </c>
      <c r="W23">
        <f>IF($B23&gt;W$2,0,$C$3*(Datos!$C$14)^(Stock!W$2-Stock!$B23)*Datos!$C$15^Stock!$B23)</f>
        <v>0.20768987291241606</v>
      </c>
      <c r="X23">
        <f>IF($B23&gt;X$2,0,$C$3*(Datos!$C$14)^(Stock!X$2-Stock!$B23)*Datos!$C$15^Stock!$B23)</f>
        <v>0.37252719436433479</v>
      </c>
      <c r="Y23">
        <f>IF($B23&gt;Y$2,0,$C$3*(Datos!$C$14)^(Stock!Y$2-Stock!$B23)*Datos!$C$15^Stock!$B23)</f>
        <v>0.66819103211395214</v>
      </c>
      <c r="Z23">
        <f>IF($B23&gt;Z$2,0,$C$3*(Datos!$C$14)^(Stock!Z$2-Stock!$B23)*Datos!$C$15^Stock!$B23)</f>
        <v>1.1985145303535834</v>
      </c>
      <c r="AA23">
        <f>IF($B23&gt;AA$2,0,$C$3*(Datos!$C$14)^(Stock!AA$2-Stock!$B23)*Datos!$C$15^Stock!$B23)</f>
        <v>2.1497401348297394</v>
      </c>
      <c r="AB23">
        <f>IF($B23&gt;AB$2,0,$C$3*(Datos!$C$14)^(Stock!AB$2-Stock!$B23)*Datos!$C$15^Stock!$B23)</f>
        <v>3.8559254228936175</v>
      </c>
      <c r="AC23">
        <f>IF($B23&gt;AC$2,0,$C$3*(Datos!$C$14)^(Stock!AC$2-Stock!$B23)*Datos!$C$15^Stock!$B23)</f>
        <v>6.9162596101853433</v>
      </c>
      <c r="AD23">
        <f>IF($B23&gt;AD$2,0,$C$3*(Datos!$C$14)^(Stock!AD$2-Stock!$B23)*Datos!$C$15^Stock!$B23)</f>
        <v>12.405490705674586</v>
      </c>
      <c r="AE23">
        <f>IF($B23&gt;AE$2,0,$C$3*(Datos!$C$14)^(Stock!AE$2-Stock!$B23)*Datos!$C$15^Stock!$B23)</f>
        <v>22.251362488177975</v>
      </c>
      <c r="AF23">
        <f>IF($B23&gt;AF$2,0,$C$3*(Datos!$C$14)^(Stock!AF$2-Stock!$B23)*Datos!$C$15^Stock!$B23)</f>
        <v>39.911612069791964</v>
      </c>
      <c r="AG23">
        <f>IF($B23&gt;AG$2,0,$C$3*(Datos!$C$14)^(Stock!AG$2-Stock!$B23)*Datos!$C$15^Stock!$B23)</f>
        <v>71.588280441518222</v>
      </c>
      <c r="AH23">
        <f>IF($B23&gt;AH$2,0,$C$3*(Datos!$C$14)^(Stock!AH$2-Stock!$B23)*Datos!$C$15^Stock!$B23)</f>
        <v>128.40578545441284</v>
      </c>
      <c r="AI23">
        <f>IF($B23&gt;AI$2,0,$C$3*(Datos!$C$14)^(Stock!AI$2-Stock!$B23)*Datos!$C$15^Stock!$B23)</f>
        <v>230.31766703258205</v>
      </c>
      <c r="AJ23">
        <f>IF($B23&gt;AJ$2,0,$C$3*(Datos!$C$14)^(Stock!AJ$2-Stock!$B23)*Datos!$C$15^Stock!$B23)</f>
        <v>413.1140007407534</v>
      </c>
      <c r="AK23">
        <f>IF($B23&gt;AK$2,0,$C$3*(Datos!$C$14)^(Stock!AK$2-Stock!$B23)*Datos!$C$15^Stock!$B23)</f>
        <v>740.99038865259172</v>
      </c>
      <c r="AL23">
        <f>IF($B23&gt;AL$2,0,$C$3*(Datos!$C$14)^(Stock!AL$2-Stock!$B23)*Datos!$C$15^Stock!$B23)</f>
        <v>1329.0925872543396</v>
      </c>
      <c r="AM23">
        <f>IF($B23&gt;AM$2,0,$C$3*(Datos!$C$14)^(Stock!AM$2-Stock!$B23)*Datos!$C$15^Stock!$B23)</f>
        <v>2383.9541410335883</v>
      </c>
      <c r="AN23">
        <f>IF($B23&gt;AN$2,0,$C$3*(Datos!$C$14)^(Stock!AN$2-Stock!$B23)*Datos!$C$15^Stock!$B23)</f>
        <v>4276.0281721920628</v>
      </c>
      <c r="AO23">
        <f>IF($B23&gt;AO$2,0,$C$3*(Datos!$C$14)^(Stock!AO$2-Stock!$B23)*Datos!$C$15^Stock!$B23)</f>
        <v>7669.7855108289932</v>
      </c>
      <c r="AP23">
        <f>IF($B23&gt;AP$2,0,$C$3*(Datos!$C$14)^(Stock!AP$2-Stock!$B23)*Datos!$C$15^Stock!$B23)</f>
        <v>13757.067870758674</v>
      </c>
      <c r="AQ23">
        <f>IF($B23&gt;AQ$2,0,$C$3*(Datos!$C$14)^(Stock!AQ$2-Stock!$B23)*Datos!$C$15^Stock!$B23)</f>
        <v>24675.646552755374</v>
      </c>
      <c r="AR23">
        <f>IF($B23&gt;AR$2,0,$C$3*(Datos!$C$14)^(Stock!AR$2-Stock!$B23)*Datos!$C$15^Stock!$B23)</f>
        <v>44259.978835368602</v>
      </c>
      <c r="AS23">
        <f>IF($B23&gt;AS$2,0,$C$3*(Datos!$C$14)^(Stock!AS$2-Stock!$B23)*Datos!$C$15^Stock!$B23)</f>
        <v>79387.817551979519</v>
      </c>
      <c r="AT23">
        <f>IF($B23&gt;AT$2,0,$C$3*(Datos!$C$14)^(Stock!AT$2-Stock!$B23)*Datos!$C$15^Stock!$B23)</f>
        <v>142395.58493936868</v>
      </c>
      <c r="AU23">
        <f>IF($B23&gt;AU$2,0,$C$3*(Datos!$C$14)^(Stock!AU$2-Stock!$B23)*Datos!$C$15^Stock!$B23)</f>
        <v>255410.75741185134</v>
      </c>
      <c r="AV23">
        <f>IF($B23&gt;AV$2,0,$C$3*(Datos!$C$14)^(Stock!AV$2-Stock!$B23)*Datos!$C$15^Stock!$B23)</f>
        <v>458122.73624545429</v>
      </c>
      <c r="AW23">
        <f>IF($B23&gt;AW$2,0,$C$3*(Datos!$C$14)^(Stock!AW$2-Stock!$B23)*Datos!$C$15^Stock!$B23)</f>
        <v>821721.22894023254</v>
      </c>
      <c r="AX23">
        <f>IF($B23&gt;AX$2,0,$C$3*(Datos!$C$14)^(Stock!AX$2-Stock!$B23)*Datos!$C$15^Stock!$B23)</f>
        <v>1473897.1124307429</v>
      </c>
      <c r="AY23">
        <f>IF($B23&gt;AY$2,0,$C$3*(Datos!$C$14)^(Stock!AY$2-Stock!$B23)*Datos!$C$15^Stock!$B23)</f>
        <v>2643685.7434404786</v>
      </c>
      <c r="AZ23">
        <f>IF($B23&gt;AZ$2,0,$C$3*(Datos!$C$14)^(Stock!AZ$2-Stock!$B23)*Datos!$C$15^Stock!$B23)</f>
        <v>4741901.0805605641</v>
      </c>
      <c r="BA23">
        <f>IF($B23&gt;BA$2,0,$C$3*(Datos!$C$14)^(Stock!BA$2-Stock!$B23)*Datos!$C$15^Stock!$B23)</f>
        <v>8505407.9947334323</v>
      </c>
    </row>
    <row r="24" spans="2:53" x14ac:dyDescent="0.25">
      <c r="B24">
        <v>21</v>
      </c>
      <c r="D24">
        <f>IF($B24&gt;D$2,0,$C$3*(Datos!$C$14)^(Stock!D$2-Stock!$B24)*Datos!$C$15^Stock!$B24)</f>
        <v>0</v>
      </c>
      <c r="E24">
        <f>IF($B24&gt;E$2,0,$C$3*(Datos!$C$14)^(Stock!E$2-Stock!$B24)*Datos!$C$15^Stock!$B24)</f>
        <v>0</v>
      </c>
      <c r="F24">
        <f>IF($B24&gt;F$2,0,$C$3*(Datos!$C$14)^(Stock!F$2-Stock!$B24)*Datos!$C$15^Stock!$B24)</f>
        <v>0</v>
      </c>
      <c r="G24">
        <f>IF($B24&gt;G$2,0,$C$3*(Datos!$C$14)^(Stock!G$2-Stock!$B24)*Datos!$C$15^Stock!$B24)</f>
        <v>0</v>
      </c>
      <c r="H24">
        <f>IF($B24&gt;H$2,0,$C$3*(Datos!$C$14)^(Stock!H$2-Stock!$B24)*Datos!$C$15^Stock!$B24)</f>
        <v>0</v>
      </c>
      <c r="I24">
        <f>IF($B24&gt;I$2,0,$C$3*(Datos!$C$14)^(Stock!I$2-Stock!$B24)*Datos!$C$15^Stock!$B24)</f>
        <v>0</v>
      </c>
      <c r="J24">
        <f>IF($B24&gt;J$2,0,$C$3*(Datos!$C$14)^(Stock!J$2-Stock!$B24)*Datos!$C$15^Stock!$B24)</f>
        <v>0</v>
      </c>
      <c r="K24">
        <f>IF($B24&gt;K$2,0,$C$3*(Datos!$C$14)^(Stock!K$2-Stock!$B24)*Datos!$C$15^Stock!$B24)</f>
        <v>0</v>
      </c>
      <c r="L24">
        <f>IF($B24&gt;L$2,0,$C$3*(Datos!$C$14)^(Stock!L$2-Stock!$B24)*Datos!$C$15^Stock!$B24)</f>
        <v>0</v>
      </c>
      <c r="M24">
        <f>IF($B24&gt;M$2,0,$C$3*(Datos!$C$14)^(Stock!M$2-Stock!$B24)*Datos!$C$15^Stock!$B24)</f>
        <v>0</v>
      </c>
      <c r="N24">
        <f>IF($B24&gt;N$2,0,$C$3*(Datos!$C$14)^(Stock!N$2-Stock!$B24)*Datos!$C$15^Stock!$B24)</f>
        <v>0</v>
      </c>
      <c r="O24">
        <f>IF($B24&gt;O$2,0,$C$3*(Datos!$C$14)^(Stock!O$2-Stock!$B24)*Datos!$C$15^Stock!$B24)</f>
        <v>0</v>
      </c>
      <c r="P24">
        <f>IF($B24&gt;P$2,0,$C$3*(Datos!$C$14)^(Stock!P$2-Stock!$B24)*Datos!$C$15^Stock!$B24)</f>
        <v>0</v>
      </c>
      <c r="Q24">
        <f>IF($B24&gt;Q$2,0,$C$3*(Datos!$C$14)^(Stock!Q$2-Stock!$B24)*Datos!$C$15^Stock!$B24)</f>
        <v>0</v>
      </c>
      <c r="R24">
        <f>IF($B24&gt;R$2,0,$C$3*(Datos!$C$14)^(Stock!R$2-Stock!$B24)*Datos!$C$15^Stock!$B24)</f>
        <v>0</v>
      </c>
      <c r="S24">
        <f>IF($B24&gt;S$2,0,$C$3*(Datos!$C$14)^(Stock!S$2-Stock!$B24)*Datos!$C$15^Stock!$B24)</f>
        <v>0</v>
      </c>
      <c r="T24">
        <f>IF($B24&gt;T$2,0,$C$3*(Datos!$C$14)^(Stock!T$2-Stock!$B24)*Datos!$C$15^Stock!$B24)</f>
        <v>0</v>
      </c>
      <c r="U24">
        <f>IF($B24&gt;U$2,0,$C$3*(Datos!$C$14)^(Stock!U$2-Stock!$B24)*Datos!$C$15^Stock!$B24)</f>
        <v>0</v>
      </c>
      <c r="V24">
        <f>IF($B24&gt;V$2,0,$C$3*(Datos!$C$14)^(Stock!V$2-Stock!$B24)*Datos!$C$15^Stock!$B24)</f>
        <v>0</v>
      </c>
      <c r="W24">
        <f>IF($B24&gt;W$2,0,$C$3*(Datos!$C$14)^(Stock!W$2-Stock!$B24)*Datos!$C$15^Stock!$B24)</f>
        <v>0</v>
      </c>
      <c r="X24">
        <f>IF($B24&gt;X$2,0,$C$3*(Datos!$C$14)^(Stock!X$2-Stock!$B24)*Datos!$C$15^Stock!$B24)</f>
        <v>0.15945821336620744</v>
      </c>
      <c r="Y24">
        <f>IF($B24&gt;Y$2,0,$C$3*(Datos!$C$14)^(Stock!Y$2-Stock!$B24)*Datos!$C$15^Stock!$B24)</f>
        <v>0.28601549035909463</v>
      </c>
      <c r="Z24">
        <f>IF($B24&gt;Z$2,0,$C$3*(Datos!$C$14)^(Stock!Z$2-Stock!$B24)*Datos!$C$15^Stock!$B24)</f>
        <v>0.51301754232930286</v>
      </c>
      <c r="AA24">
        <f>IF($B24&gt;AA$2,0,$C$3*(Datos!$C$14)^(Stock!AA$2-Stock!$B24)*Datos!$C$15^Stock!$B24)</f>
        <v>0.92018442220442287</v>
      </c>
      <c r="AB24">
        <f>IF($B24&gt;AB$2,0,$C$3*(Datos!$C$14)^(Stock!AB$2-Stock!$B24)*Datos!$C$15^Stock!$B24)</f>
        <v>1.6505076357099899</v>
      </c>
      <c r="AC24">
        <f>IF($B24&gt;AC$2,0,$C$3*(Datos!$C$14)^(Stock!AC$2-Stock!$B24)*Datos!$C$15^Stock!$B24)</f>
        <v>2.9604668257813582</v>
      </c>
      <c r="AD24">
        <f>IF($B24&gt;AD$2,0,$C$3*(Datos!$C$14)^(Stock!AD$2-Stock!$B24)*Datos!$C$15^Stock!$B24)</f>
        <v>5.3101019570756671</v>
      </c>
      <c r="AE24">
        <f>IF($B24&gt;AE$2,0,$C$3*(Datos!$C$14)^(Stock!AE$2-Stock!$B24)*Datos!$C$15^Stock!$B24)</f>
        <v>9.5245731345416207</v>
      </c>
      <c r="AF24">
        <f>IF($B24&gt;AF$2,0,$C$3*(Datos!$C$14)^(Stock!AF$2-Stock!$B24)*Datos!$C$15^Stock!$B24)</f>
        <v>17.083945680996141</v>
      </c>
      <c r="AG24">
        <f>IF($B24&gt;AG$2,0,$C$3*(Datos!$C$14)^(Stock!AG$2-Stock!$B24)*Datos!$C$15^Stock!$B24)</f>
        <v>30.642969076773515</v>
      </c>
      <c r="AH24">
        <f>IF($B24&gt;AH$2,0,$C$3*(Datos!$C$14)^(Stock!AH$2-Stock!$B24)*Datos!$C$15^Stock!$B24)</f>
        <v>54.963389100716611</v>
      </c>
      <c r="AI24">
        <f>IF($B24&gt;AI$2,0,$C$3*(Datos!$C$14)^(Stock!AI$2-Stock!$B24)*Datos!$C$15^Stock!$B24)</f>
        <v>98.586208597083527</v>
      </c>
      <c r="AJ24">
        <f>IF($B24&gt;AJ$2,0,$C$3*(Datos!$C$14)^(Stock!AJ$2-Stock!$B24)*Datos!$C$15^Stock!$B24)</f>
        <v>176.83117225063813</v>
      </c>
      <c r="AK24">
        <f>IF($B24&gt;AK$2,0,$C$3*(Datos!$C$14)^(Stock!AK$2-Stock!$B24)*Datos!$C$15^Stock!$B24)</f>
        <v>317.17685388765307</v>
      </c>
      <c r="AL24">
        <f>IF($B24&gt;AL$2,0,$C$3*(Datos!$C$14)^(Stock!AL$2-Stock!$B24)*Datos!$C$15^Stock!$B24)</f>
        <v>568.91076025599659</v>
      </c>
      <c r="AM24">
        <f>IF($B24&gt;AM$2,0,$C$3*(Datos!$C$14)^(Stock!AM$2-Stock!$B24)*Datos!$C$15^Stock!$B24)</f>
        <v>1020.4384373195759</v>
      </c>
      <c r="AN24">
        <f>IF($B24&gt;AN$2,0,$C$3*(Datos!$C$14)^(Stock!AN$2-Stock!$B24)*Datos!$C$15^Stock!$B24)</f>
        <v>1830.330303281062</v>
      </c>
      <c r="AO24">
        <f>IF($B24&gt;AO$2,0,$C$3*(Datos!$C$14)^(Stock!AO$2-Stock!$B24)*Datos!$C$15^Stock!$B24)</f>
        <v>3283.0094365210325</v>
      </c>
      <c r="AP24">
        <f>IF($B24&gt;AP$2,0,$C$3*(Datos!$C$14)^(Stock!AP$2-Stock!$B24)*Datos!$C$15^Stock!$B24)</f>
        <v>5888.6371170084249</v>
      </c>
      <c r="AQ24">
        <f>IF($B24&gt;AQ$2,0,$C$3*(Datos!$C$14)^(Stock!AQ$2-Stock!$B24)*Datos!$C$15^Stock!$B24)</f>
        <v>10562.274573464249</v>
      </c>
      <c r="AR24">
        <f>IF($B24&gt;AR$2,0,$C$3*(Datos!$C$14)^(Stock!AR$2-Stock!$B24)*Datos!$C$15^Stock!$B24)</f>
        <v>18945.240120675917</v>
      </c>
      <c r="AS24">
        <f>IF($B24&gt;AS$2,0,$C$3*(Datos!$C$14)^(Stock!AS$2-Stock!$B24)*Datos!$C$15^Stock!$B24)</f>
        <v>33981.517970740286</v>
      </c>
      <c r="AT24">
        <f>IF($B24&gt;AT$2,0,$C$3*(Datos!$C$14)^(Stock!AT$2-Stock!$B24)*Datos!$C$15^Stock!$B24)</f>
        <v>60951.645703107934</v>
      </c>
      <c r="AU24">
        <f>IF($B24&gt;AU$2,0,$C$3*(Datos!$C$14)^(Stock!AU$2-Stock!$B24)*Datos!$C$15^Stock!$B24)</f>
        <v>109327.16770086845</v>
      </c>
      <c r="AV24">
        <f>IF($B24&gt;AV$2,0,$C$3*(Datos!$C$14)^(Stock!AV$2-Stock!$B24)*Datos!$C$15^Stock!$B24)</f>
        <v>196096.91353886368</v>
      </c>
      <c r="AW24">
        <f>IF($B24&gt;AW$2,0,$C$3*(Datos!$C$14)^(Stock!AW$2-Stock!$B24)*Datos!$C$15^Stock!$B24)</f>
        <v>351733.24534193636</v>
      </c>
      <c r="AX24">
        <f>IF($B24&gt;AX$2,0,$C$3*(Datos!$C$14)^(Stock!AX$2-Stock!$B24)*Datos!$C$15^Stock!$B24)</f>
        <v>630893.53955717385</v>
      </c>
      <c r="AY24">
        <f>IF($B24&gt;AY$2,0,$C$3*(Datos!$C$14)^(Stock!AY$2-Stock!$B24)*Datos!$C$15^Stock!$B24)</f>
        <v>1131615.1189178575</v>
      </c>
      <c r="AZ24">
        <f>IF($B24&gt;AZ$2,0,$C$3*(Datos!$C$14)^(Stock!AZ$2-Stock!$B24)*Datos!$C$15^Stock!$B24)</f>
        <v>2029744.635302972</v>
      </c>
      <c r="BA24">
        <f>IF($B24&gt;BA$2,0,$C$3*(Datos!$C$14)^(Stock!BA$2-Stock!$B24)*Datos!$C$15^Stock!$B24)</f>
        <v>3640693.037471029</v>
      </c>
    </row>
    <row r="25" spans="2:53" x14ac:dyDescent="0.25">
      <c r="B25">
        <v>22</v>
      </c>
      <c r="D25">
        <f>IF($B25&gt;D$2,0,$C$3*(Datos!$C$14)^(Stock!D$2-Stock!$B25)*Datos!$C$15^Stock!$B25)</f>
        <v>0</v>
      </c>
      <c r="E25">
        <f>IF($B25&gt;E$2,0,$C$3*(Datos!$C$14)^(Stock!E$2-Stock!$B25)*Datos!$C$15^Stock!$B25)</f>
        <v>0</v>
      </c>
      <c r="F25">
        <f>IF($B25&gt;F$2,0,$C$3*(Datos!$C$14)^(Stock!F$2-Stock!$B25)*Datos!$C$15^Stock!$B25)</f>
        <v>0</v>
      </c>
      <c r="G25">
        <f>IF($B25&gt;G$2,0,$C$3*(Datos!$C$14)^(Stock!G$2-Stock!$B25)*Datos!$C$15^Stock!$B25)</f>
        <v>0</v>
      </c>
      <c r="H25">
        <f>IF($B25&gt;H$2,0,$C$3*(Datos!$C$14)^(Stock!H$2-Stock!$B25)*Datos!$C$15^Stock!$B25)</f>
        <v>0</v>
      </c>
      <c r="I25">
        <f>IF($B25&gt;I$2,0,$C$3*(Datos!$C$14)^(Stock!I$2-Stock!$B25)*Datos!$C$15^Stock!$B25)</f>
        <v>0</v>
      </c>
      <c r="J25">
        <f>IF($B25&gt;J$2,0,$C$3*(Datos!$C$14)^(Stock!J$2-Stock!$B25)*Datos!$C$15^Stock!$B25)</f>
        <v>0</v>
      </c>
      <c r="K25">
        <f>IF($B25&gt;K$2,0,$C$3*(Datos!$C$14)^(Stock!K$2-Stock!$B25)*Datos!$C$15^Stock!$B25)</f>
        <v>0</v>
      </c>
      <c r="L25">
        <f>IF($B25&gt;L$2,0,$C$3*(Datos!$C$14)^(Stock!L$2-Stock!$B25)*Datos!$C$15^Stock!$B25)</f>
        <v>0</v>
      </c>
      <c r="M25">
        <f>IF($B25&gt;M$2,0,$C$3*(Datos!$C$14)^(Stock!M$2-Stock!$B25)*Datos!$C$15^Stock!$B25)</f>
        <v>0</v>
      </c>
      <c r="N25">
        <f>IF($B25&gt;N$2,0,$C$3*(Datos!$C$14)^(Stock!N$2-Stock!$B25)*Datos!$C$15^Stock!$B25)</f>
        <v>0</v>
      </c>
      <c r="O25">
        <f>IF($B25&gt;O$2,0,$C$3*(Datos!$C$14)^(Stock!O$2-Stock!$B25)*Datos!$C$15^Stock!$B25)</f>
        <v>0</v>
      </c>
      <c r="P25">
        <f>IF($B25&gt;P$2,0,$C$3*(Datos!$C$14)^(Stock!P$2-Stock!$B25)*Datos!$C$15^Stock!$B25)</f>
        <v>0</v>
      </c>
      <c r="Q25">
        <f>IF($B25&gt;Q$2,0,$C$3*(Datos!$C$14)^(Stock!Q$2-Stock!$B25)*Datos!$C$15^Stock!$B25)</f>
        <v>0</v>
      </c>
      <c r="R25">
        <f>IF($B25&gt;R$2,0,$C$3*(Datos!$C$14)^(Stock!R$2-Stock!$B25)*Datos!$C$15^Stock!$B25)</f>
        <v>0</v>
      </c>
      <c r="S25">
        <f>IF($B25&gt;S$2,0,$C$3*(Datos!$C$14)^(Stock!S$2-Stock!$B25)*Datos!$C$15^Stock!$B25)</f>
        <v>0</v>
      </c>
      <c r="T25">
        <f>IF($B25&gt;T$2,0,$C$3*(Datos!$C$14)^(Stock!T$2-Stock!$B25)*Datos!$C$15^Stock!$B25)</f>
        <v>0</v>
      </c>
      <c r="U25">
        <f>IF($B25&gt;U$2,0,$C$3*(Datos!$C$14)^(Stock!U$2-Stock!$B25)*Datos!$C$15^Stock!$B25)</f>
        <v>0</v>
      </c>
      <c r="V25">
        <f>IF($B25&gt;V$2,0,$C$3*(Datos!$C$14)^(Stock!V$2-Stock!$B25)*Datos!$C$15^Stock!$B25)</f>
        <v>0</v>
      </c>
      <c r="W25">
        <f>IF($B25&gt;W$2,0,$C$3*(Datos!$C$14)^(Stock!W$2-Stock!$B25)*Datos!$C$15^Stock!$B25)</f>
        <v>0</v>
      </c>
      <c r="X25">
        <f>IF($B25&gt;X$2,0,$C$3*(Datos!$C$14)^(Stock!X$2-Stock!$B25)*Datos!$C$15^Stock!$B25)</f>
        <v>0</v>
      </c>
      <c r="Y25">
        <f>IF($B25&gt;Y$2,0,$C$3*(Datos!$C$14)^(Stock!Y$2-Stock!$B25)*Datos!$C$15^Stock!$B25)</f>
        <v>0.12242735504328418</v>
      </c>
      <c r="Z25">
        <f>IF($B25&gt;Z$2,0,$C$3*(Datos!$C$14)^(Stock!Z$2-Stock!$B25)*Datos!$C$15^Stock!$B25)</f>
        <v>0.21959433287801128</v>
      </c>
      <c r="AA25">
        <f>IF($B25&gt;AA$2,0,$C$3*(Datos!$C$14)^(Stock!AA$2-Stock!$B25)*Datos!$C$15^Stock!$B25)</f>
        <v>0.39387987280367243</v>
      </c>
      <c r="AB25">
        <f>IF($B25&gt;AB$2,0,$C$3*(Datos!$C$14)^(Stock!AB$2-Stock!$B25)*Datos!$C$15^Stock!$B25)</f>
        <v>0.70649070113308021</v>
      </c>
      <c r="AC25">
        <f>IF($B25&gt;AC$2,0,$C$3*(Datos!$C$14)^(Stock!AC$2-Stock!$B25)*Datos!$C$15^Stock!$B25)</f>
        <v>1.2672115161271513</v>
      </c>
      <c r="AD25">
        <f>IF($B25&gt;AD$2,0,$C$3*(Datos!$C$14)^(Stock!AD$2-Stock!$B25)*Datos!$C$15^Stock!$B25)</f>
        <v>2.2729598903847248</v>
      </c>
      <c r="AE25">
        <f>IF($B25&gt;AE$2,0,$C$3*(Datos!$C$14)^(Stock!AE$2-Stock!$B25)*Datos!$C$15^Stock!$B25)</f>
        <v>4.0769410611790491</v>
      </c>
      <c r="AF25">
        <f>IF($B25&gt;AF$2,0,$C$3*(Datos!$C$14)^(Stock!AF$2-Stock!$B25)*Datos!$C$15^Stock!$B25)</f>
        <v>7.3126888365436038</v>
      </c>
      <c r="AG25">
        <f>IF($B25&gt;AG$2,0,$C$3*(Datos!$C$14)^(Stock!AG$2-Stock!$B25)*Datos!$C$15^Stock!$B25)</f>
        <v>13.116554107025623</v>
      </c>
      <c r="AH25">
        <f>IF($B25&gt;AH$2,0,$C$3*(Datos!$C$14)^(Stock!AH$2-Stock!$B25)*Datos!$C$15^Stock!$B25)</f>
        <v>23.526775921707145</v>
      </c>
      <c r="AI25">
        <f>IF($B25&gt;AI$2,0,$C$3*(Datos!$C$14)^(Stock!AI$2-Stock!$B25)*Datos!$C$15^Stock!$B25)</f>
        <v>42.199283497312976</v>
      </c>
      <c r="AJ25">
        <f>IF($B25&gt;AJ$2,0,$C$3*(Datos!$C$14)^(Stock!AJ$2-Stock!$B25)*Datos!$C$15^Stock!$B25)</f>
        <v>75.691609152597181</v>
      </c>
      <c r="AK25">
        <f>IF($B25&gt;AK$2,0,$C$3*(Datos!$C$14)^(Stock!AK$2-Stock!$B25)*Datos!$C$15^Stock!$B25)</f>
        <v>135.76580503965997</v>
      </c>
      <c r="AL25">
        <f>IF($B25&gt;AL$2,0,$C$3*(Datos!$C$14)^(Stock!AL$2-Stock!$B25)*Datos!$C$15^Stock!$B25)</f>
        <v>243.51911690642783</v>
      </c>
      <c r="AM25">
        <f>IF($B25&gt;AM$2,0,$C$3*(Datos!$C$14)^(Stock!AM$2-Stock!$B25)*Datos!$C$15^Stock!$B25)</f>
        <v>436.7930516934162</v>
      </c>
      <c r="AN25">
        <f>IF($B25&gt;AN$2,0,$C$3*(Datos!$C$14)^(Stock!AN$2-Stock!$B25)*Datos!$C$15^Stock!$B25)</f>
        <v>783.46280337801045</v>
      </c>
      <c r="AO25">
        <f>IF($B25&gt;AO$2,0,$C$3*(Datos!$C$14)^(Stock!AO$2-Stock!$B25)*Datos!$C$15^Stock!$B25)</f>
        <v>1405.2741038283853</v>
      </c>
      <c r="AP25">
        <f>IF($B25&gt;AP$2,0,$C$3*(Datos!$C$14)^(Stock!AP$2-Stock!$B25)*Datos!$C$15^Stock!$B25)</f>
        <v>2520.598678553803</v>
      </c>
      <c r="AQ25">
        <f>IF($B25&gt;AQ$2,0,$C$3*(Datos!$C$14)^(Stock!AQ$2-Stock!$B25)*Datos!$C$15^Stock!$B25)</f>
        <v>4521.1234456100601</v>
      </c>
      <c r="AR25">
        <f>IF($B25&gt;AR$2,0,$C$3*(Datos!$C$14)^(Stock!AR$2-Stock!$B25)*Datos!$C$15^Stock!$B25)</f>
        <v>8109.4056679315481</v>
      </c>
      <c r="AS25">
        <f>IF($B25&gt;AS$2,0,$C$3*(Datos!$C$14)^(Stock!AS$2-Stock!$B25)*Datos!$C$15^Stock!$B25)</f>
        <v>14545.601569657345</v>
      </c>
      <c r="AT25">
        <f>IF($B25&gt;AT$2,0,$C$3*(Datos!$C$14)^(Stock!AT$2-Stock!$B25)*Datos!$C$15^Stock!$B25)</f>
        <v>26090.016172194308</v>
      </c>
      <c r="AU25">
        <f>IF($B25&gt;AU$2,0,$C$3*(Datos!$C$14)^(Stock!AU$2-Stock!$B25)*Datos!$C$15^Stock!$B25)</f>
        <v>46796.891871787702</v>
      </c>
      <c r="AV25">
        <f>IF($B25&gt;AV$2,0,$C$3*(Datos!$C$14)^(Stock!AV$2-Stock!$B25)*Datos!$C$15^Stock!$B25)</f>
        <v>83938.203579718393</v>
      </c>
      <c r="AW25">
        <f>IF($B25&gt;AW$2,0,$C$3*(Datos!$C$14)^(Stock!AW$2-Stock!$B25)*Datos!$C$15^Stock!$B25)</f>
        <v>150557.47803707921</v>
      </c>
      <c r="AX25">
        <f>IF($B25&gt;AX$2,0,$C$3*(Datos!$C$14)^(Stock!AX$2-Stock!$B25)*Datos!$C$15^Stock!$B25)</f>
        <v>270050.50413495681</v>
      </c>
      <c r="AY25">
        <f>IF($B25&gt;AY$2,0,$C$3*(Datos!$C$14)^(Stock!AY$2-Stock!$B25)*Datos!$C$15^Stock!$B25)</f>
        <v>484381.61780037155</v>
      </c>
      <c r="AZ25">
        <f>IF($B25&gt;AZ$2,0,$C$3*(Datos!$C$14)^(Stock!AZ$2-Stock!$B25)*Datos!$C$15^Stock!$B25)</f>
        <v>868821.00966436951</v>
      </c>
      <c r="BA25">
        <f>IF($B25&gt;BA$2,0,$C$3*(Datos!$C$14)^(Stock!BA$2-Stock!$B25)*Datos!$C$15^Stock!$B25)</f>
        <v>1558378.5988041174</v>
      </c>
    </row>
    <row r="26" spans="2:53" x14ac:dyDescent="0.25">
      <c r="B26">
        <v>23</v>
      </c>
      <c r="D26">
        <f>IF($B26&gt;D$2,0,$C$3*(Datos!$C$14)^(Stock!D$2-Stock!$B26)*Datos!$C$15^Stock!$B26)</f>
        <v>0</v>
      </c>
      <c r="E26">
        <f>IF($B26&gt;E$2,0,$C$3*(Datos!$C$14)^(Stock!E$2-Stock!$B26)*Datos!$C$15^Stock!$B26)</f>
        <v>0</v>
      </c>
      <c r="F26">
        <f>IF($B26&gt;F$2,0,$C$3*(Datos!$C$14)^(Stock!F$2-Stock!$B26)*Datos!$C$15^Stock!$B26)</f>
        <v>0</v>
      </c>
      <c r="G26">
        <f>IF($B26&gt;G$2,0,$C$3*(Datos!$C$14)^(Stock!G$2-Stock!$B26)*Datos!$C$15^Stock!$B26)</f>
        <v>0</v>
      </c>
      <c r="H26">
        <f>IF($B26&gt;H$2,0,$C$3*(Datos!$C$14)^(Stock!H$2-Stock!$B26)*Datos!$C$15^Stock!$B26)</f>
        <v>0</v>
      </c>
      <c r="I26">
        <f>IF($B26&gt;I$2,0,$C$3*(Datos!$C$14)^(Stock!I$2-Stock!$B26)*Datos!$C$15^Stock!$B26)</f>
        <v>0</v>
      </c>
      <c r="J26">
        <f>IF($B26&gt;J$2,0,$C$3*(Datos!$C$14)^(Stock!J$2-Stock!$B26)*Datos!$C$15^Stock!$B26)</f>
        <v>0</v>
      </c>
      <c r="K26">
        <f>IF($B26&gt;K$2,0,$C$3*(Datos!$C$14)^(Stock!K$2-Stock!$B26)*Datos!$C$15^Stock!$B26)</f>
        <v>0</v>
      </c>
      <c r="L26">
        <f>IF($B26&gt;L$2,0,$C$3*(Datos!$C$14)^(Stock!L$2-Stock!$B26)*Datos!$C$15^Stock!$B26)</f>
        <v>0</v>
      </c>
      <c r="M26">
        <f>IF($B26&gt;M$2,0,$C$3*(Datos!$C$14)^(Stock!M$2-Stock!$B26)*Datos!$C$15^Stock!$B26)</f>
        <v>0</v>
      </c>
      <c r="N26">
        <f>IF($B26&gt;N$2,0,$C$3*(Datos!$C$14)^(Stock!N$2-Stock!$B26)*Datos!$C$15^Stock!$B26)</f>
        <v>0</v>
      </c>
      <c r="O26">
        <f>IF($B26&gt;O$2,0,$C$3*(Datos!$C$14)^(Stock!O$2-Stock!$B26)*Datos!$C$15^Stock!$B26)</f>
        <v>0</v>
      </c>
      <c r="P26">
        <f>IF($B26&gt;P$2,0,$C$3*(Datos!$C$14)^(Stock!P$2-Stock!$B26)*Datos!$C$15^Stock!$B26)</f>
        <v>0</v>
      </c>
      <c r="Q26">
        <f>IF($B26&gt;Q$2,0,$C$3*(Datos!$C$14)^(Stock!Q$2-Stock!$B26)*Datos!$C$15^Stock!$B26)</f>
        <v>0</v>
      </c>
      <c r="R26">
        <f>IF($B26&gt;R$2,0,$C$3*(Datos!$C$14)^(Stock!R$2-Stock!$B26)*Datos!$C$15^Stock!$B26)</f>
        <v>0</v>
      </c>
      <c r="S26">
        <f>IF($B26&gt;S$2,0,$C$3*(Datos!$C$14)^(Stock!S$2-Stock!$B26)*Datos!$C$15^Stock!$B26)</f>
        <v>0</v>
      </c>
      <c r="T26">
        <f>IF($B26&gt;T$2,0,$C$3*(Datos!$C$14)^(Stock!T$2-Stock!$B26)*Datos!$C$15^Stock!$B26)</f>
        <v>0</v>
      </c>
      <c r="U26">
        <f>IF($B26&gt;U$2,0,$C$3*(Datos!$C$14)^(Stock!U$2-Stock!$B26)*Datos!$C$15^Stock!$B26)</f>
        <v>0</v>
      </c>
      <c r="V26">
        <f>IF($B26&gt;V$2,0,$C$3*(Datos!$C$14)^(Stock!V$2-Stock!$B26)*Datos!$C$15^Stock!$B26)</f>
        <v>0</v>
      </c>
      <c r="W26">
        <f>IF($B26&gt;W$2,0,$C$3*(Datos!$C$14)^(Stock!W$2-Stock!$B26)*Datos!$C$15^Stock!$B26)</f>
        <v>0</v>
      </c>
      <c r="X26">
        <f>IF($B26&gt;X$2,0,$C$3*(Datos!$C$14)^(Stock!X$2-Stock!$B26)*Datos!$C$15^Stock!$B26)</f>
        <v>0</v>
      </c>
      <c r="Y26">
        <f>IF($B26&gt;Y$2,0,$C$3*(Datos!$C$14)^(Stock!Y$2-Stock!$B26)*Datos!$C$15^Stock!$B26)</f>
        <v>0</v>
      </c>
      <c r="Z26">
        <f>IF($B26&gt;Z$2,0,$C$3*(Datos!$C$14)^(Stock!Z$2-Stock!$B26)*Datos!$C$15^Stock!$B26)</f>
        <v>9.3996144485027411E-2</v>
      </c>
      <c r="AA26">
        <f>IF($B26&gt;AA$2,0,$C$3*(Datos!$C$14)^(Stock!AA$2-Stock!$B26)*Datos!$C$15^Stock!$B26)</f>
        <v>0.16859810974432243</v>
      </c>
      <c r="AB26">
        <f>IF($B26&gt;AB$2,0,$C$3*(Datos!$C$14)^(Stock!AB$2-Stock!$B26)*Datos!$C$15^Stock!$B26)</f>
        <v>0.30240945269714165</v>
      </c>
      <c r="AC26">
        <f>IF($B26&gt;AC$2,0,$C$3*(Datos!$C$14)^(Stock!AC$2-Stock!$B26)*Datos!$C$15^Stock!$B26)</f>
        <v>0.54242290865105269</v>
      </c>
      <c r="AD26">
        <f>IF($B26&gt;AD$2,0,$C$3*(Datos!$C$14)^(Stock!AD$2-Stock!$B26)*Datos!$C$15^Stock!$B26)</f>
        <v>0.9729279597755417</v>
      </c>
      <c r="AE26">
        <f>IF($B26&gt;AE$2,0,$C$3*(Datos!$C$14)^(Stock!AE$2-Stock!$B26)*Datos!$C$15^Stock!$B26)</f>
        <v>1.7451121621449626</v>
      </c>
      <c r="AF26">
        <f>IF($B26&gt;AF$2,0,$C$3*(Datos!$C$14)^(Stock!AF$2-Stock!$B26)*Datos!$C$15^Stock!$B26)</f>
        <v>3.1301561722708184</v>
      </c>
      <c r="AG26">
        <f>IF($B26&gt;AG$2,0,$C$3*(Datos!$C$14)^(Stock!AG$2-Stock!$B26)*Datos!$C$15^Stock!$B26)</f>
        <v>5.6144687289109685</v>
      </c>
      <c r="AH26">
        <f>IF($B26&gt;AH$2,0,$C$3*(Datos!$C$14)^(Stock!AH$2-Stock!$B26)*Datos!$C$15^Stock!$B26)</f>
        <v>10.070506828753807</v>
      </c>
      <c r="AI26">
        <f>IF($B26&gt;AI$2,0,$C$3*(Datos!$C$14)^(Stock!AI$2-Stock!$B26)*Datos!$C$15^Stock!$B26)</f>
        <v>18.063170833199813</v>
      </c>
      <c r="AJ26">
        <f>IF($B26&gt;AJ$2,0,$C$3*(Datos!$C$14)^(Stock!AJ$2-Stock!$B26)*Datos!$C$15^Stock!$B26)</f>
        <v>32.399376327093591</v>
      </c>
      <c r="AK26">
        <f>IF($B26&gt;AK$2,0,$C$3*(Datos!$C$14)^(Stock!AK$2-Stock!$B26)*Datos!$C$15^Stock!$B26)</f>
        <v>58.113804939233873</v>
      </c>
      <c r="AL26">
        <f>IF($B26&gt;AL$2,0,$C$3*(Datos!$C$14)^(Stock!AL$2-Stock!$B26)*Datos!$C$15^Stock!$B26)</f>
        <v>104.23701649130724</v>
      </c>
      <c r="AM26">
        <f>IF($B26&gt;AM$2,0,$C$3*(Datos!$C$14)^(Stock!AM$2-Stock!$B26)*Datos!$C$15^Stock!$B26)</f>
        <v>186.96685956753834</v>
      </c>
      <c r="AN26">
        <f>IF($B26&gt;AN$2,0,$C$3*(Datos!$C$14)^(Stock!AN$2-Stock!$B26)*Datos!$C$15^Stock!$B26)</f>
        <v>335.35693703841548</v>
      </c>
      <c r="AO26">
        <f>IF($B26&gt;AO$2,0,$C$3*(Datos!$C$14)^(Stock!AO$2-Stock!$B26)*Datos!$C$15^Stock!$B26)</f>
        <v>601.51983875603457</v>
      </c>
      <c r="AP26">
        <f>IF($B26&gt;AP$2,0,$C$3*(Datos!$C$14)^(Stock!AP$2-Stock!$B26)*Datos!$C$15^Stock!$B26)</f>
        <v>1078.9283788563412</v>
      </c>
      <c r="AQ26">
        <f>IF($B26&gt;AQ$2,0,$C$3*(Datos!$C$14)^(Stock!AQ$2-Stock!$B26)*Datos!$C$15^Stock!$B26)</f>
        <v>1935.2419848843999</v>
      </c>
      <c r="AR26">
        <f>IF($B26&gt;AR$2,0,$C$3*(Datos!$C$14)^(Stock!AR$2-Stock!$B26)*Datos!$C$15^Stock!$B26)</f>
        <v>3471.1864229849671</v>
      </c>
      <c r="AS26">
        <f>IF($B26&gt;AS$2,0,$C$3*(Datos!$C$14)^(Stock!AS$2-Stock!$B26)*Datos!$C$15^Stock!$B26)</f>
        <v>6226.1646229398621</v>
      </c>
      <c r="AT26">
        <f>IF($B26&gt;AT$2,0,$C$3*(Datos!$C$14)^(Stock!AT$2-Stock!$B26)*Datos!$C$15^Stock!$B26)</f>
        <v>11167.687697571911</v>
      </c>
      <c r="AU26">
        <f>IF($B26&gt;AU$2,0,$C$3*(Datos!$C$14)^(Stock!AU$2-Stock!$B26)*Datos!$C$15^Stock!$B26)</f>
        <v>20031.151770543813</v>
      </c>
      <c r="AV26">
        <f>IF($B26&gt;AV$2,0,$C$3*(Datos!$C$14)^(Stock!AV$2-Stock!$B26)*Datos!$C$15^Stock!$B26)</f>
        <v>35929.285642702911</v>
      </c>
      <c r="AW26">
        <f>IF($B26&gt;AW$2,0,$C$3*(Datos!$C$14)^(Stock!AW$2-Stock!$B26)*Datos!$C$15^Stock!$B26)</f>
        <v>64445.299081266552</v>
      </c>
      <c r="AX26">
        <f>IF($B26&gt;AX$2,0,$C$3*(Datos!$C$14)^(Stock!AX$2-Stock!$B26)*Datos!$C$15^Stock!$B26)</f>
        <v>115593.63063811403</v>
      </c>
      <c r="AY26">
        <f>IF($B26&gt;AY$2,0,$C$3*(Datos!$C$14)^(Stock!AY$2-Stock!$B26)*Datos!$C$15^Stock!$B26)</f>
        <v>207336.88313326286</v>
      </c>
      <c r="AZ26">
        <f>IF($B26&gt;AZ$2,0,$C$3*(Datos!$C$14)^(Stock!AZ$2-Stock!$B26)*Datos!$C$15^Stock!$B26)</f>
        <v>371894.04701717128</v>
      </c>
      <c r="BA26">
        <f>IF($B26&gt;BA$2,0,$C$3*(Datos!$C$14)^(Stock!BA$2-Stock!$B26)*Datos!$C$15^Stock!$B26)</f>
        <v>667055.37440685974</v>
      </c>
    </row>
    <row r="27" spans="2:53" x14ac:dyDescent="0.25">
      <c r="B27">
        <v>24</v>
      </c>
      <c r="D27">
        <f>IF($B27&gt;D$2,0,$C$3*(Datos!$C$14)^(Stock!D$2-Stock!$B27)*Datos!$C$15^Stock!$B27)</f>
        <v>0</v>
      </c>
      <c r="E27">
        <f>IF($B27&gt;E$2,0,$C$3*(Datos!$C$14)^(Stock!E$2-Stock!$B27)*Datos!$C$15^Stock!$B27)</f>
        <v>0</v>
      </c>
      <c r="F27">
        <f>IF($B27&gt;F$2,0,$C$3*(Datos!$C$14)^(Stock!F$2-Stock!$B27)*Datos!$C$15^Stock!$B27)</f>
        <v>0</v>
      </c>
      <c r="G27">
        <f>IF($B27&gt;G$2,0,$C$3*(Datos!$C$14)^(Stock!G$2-Stock!$B27)*Datos!$C$15^Stock!$B27)</f>
        <v>0</v>
      </c>
      <c r="H27">
        <f>IF($B27&gt;H$2,0,$C$3*(Datos!$C$14)^(Stock!H$2-Stock!$B27)*Datos!$C$15^Stock!$B27)</f>
        <v>0</v>
      </c>
      <c r="I27">
        <f>IF($B27&gt;I$2,0,$C$3*(Datos!$C$14)^(Stock!I$2-Stock!$B27)*Datos!$C$15^Stock!$B27)</f>
        <v>0</v>
      </c>
      <c r="J27">
        <f>IF($B27&gt;J$2,0,$C$3*(Datos!$C$14)^(Stock!J$2-Stock!$B27)*Datos!$C$15^Stock!$B27)</f>
        <v>0</v>
      </c>
      <c r="K27">
        <f>IF($B27&gt;K$2,0,$C$3*(Datos!$C$14)^(Stock!K$2-Stock!$B27)*Datos!$C$15^Stock!$B27)</f>
        <v>0</v>
      </c>
      <c r="L27">
        <f>IF($B27&gt;L$2,0,$C$3*(Datos!$C$14)^(Stock!L$2-Stock!$B27)*Datos!$C$15^Stock!$B27)</f>
        <v>0</v>
      </c>
      <c r="M27">
        <f>IF($B27&gt;M$2,0,$C$3*(Datos!$C$14)^(Stock!M$2-Stock!$B27)*Datos!$C$15^Stock!$B27)</f>
        <v>0</v>
      </c>
      <c r="N27">
        <f>IF($B27&gt;N$2,0,$C$3*(Datos!$C$14)^(Stock!N$2-Stock!$B27)*Datos!$C$15^Stock!$B27)</f>
        <v>0</v>
      </c>
      <c r="O27">
        <f>IF($B27&gt;O$2,0,$C$3*(Datos!$C$14)^(Stock!O$2-Stock!$B27)*Datos!$C$15^Stock!$B27)</f>
        <v>0</v>
      </c>
      <c r="P27">
        <f>IF($B27&gt;P$2,0,$C$3*(Datos!$C$14)^(Stock!P$2-Stock!$B27)*Datos!$C$15^Stock!$B27)</f>
        <v>0</v>
      </c>
      <c r="Q27">
        <f>IF($B27&gt;Q$2,0,$C$3*(Datos!$C$14)^(Stock!Q$2-Stock!$B27)*Datos!$C$15^Stock!$B27)</f>
        <v>0</v>
      </c>
      <c r="R27">
        <f>IF($B27&gt;R$2,0,$C$3*(Datos!$C$14)^(Stock!R$2-Stock!$B27)*Datos!$C$15^Stock!$B27)</f>
        <v>0</v>
      </c>
      <c r="S27">
        <f>IF($B27&gt;S$2,0,$C$3*(Datos!$C$14)^(Stock!S$2-Stock!$B27)*Datos!$C$15^Stock!$B27)</f>
        <v>0</v>
      </c>
      <c r="T27">
        <f>IF($B27&gt;T$2,0,$C$3*(Datos!$C$14)^(Stock!T$2-Stock!$B27)*Datos!$C$15^Stock!$B27)</f>
        <v>0</v>
      </c>
      <c r="U27">
        <f>IF($B27&gt;U$2,0,$C$3*(Datos!$C$14)^(Stock!U$2-Stock!$B27)*Datos!$C$15^Stock!$B27)</f>
        <v>0</v>
      </c>
      <c r="V27">
        <f>IF($B27&gt;V$2,0,$C$3*(Datos!$C$14)^(Stock!V$2-Stock!$B27)*Datos!$C$15^Stock!$B27)</f>
        <v>0</v>
      </c>
      <c r="W27">
        <f>IF($B27&gt;W$2,0,$C$3*(Datos!$C$14)^(Stock!W$2-Stock!$B27)*Datos!$C$15^Stock!$B27)</f>
        <v>0</v>
      </c>
      <c r="X27">
        <f>IF($B27&gt;X$2,0,$C$3*(Datos!$C$14)^(Stock!X$2-Stock!$B27)*Datos!$C$15^Stock!$B27)</f>
        <v>0</v>
      </c>
      <c r="Y27">
        <f>IF($B27&gt;Y$2,0,$C$3*(Datos!$C$14)^(Stock!Y$2-Stock!$B27)*Datos!$C$15^Stock!$B27)</f>
        <v>0</v>
      </c>
      <c r="Z27">
        <f>IF($B27&gt;Z$2,0,$C$3*(Datos!$C$14)^(Stock!Z$2-Stock!$B27)*Datos!$C$15^Stock!$B27)</f>
        <v>0</v>
      </c>
      <c r="AA27">
        <f>IF($B27&gt;AA$2,0,$C$3*(Datos!$C$14)^(Stock!AA$2-Stock!$B27)*Datos!$C$15^Stock!$B27)</f>
        <v>7.2167492101143871E-2</v>
      </c>
      <c r="AB27">
        <f>IF($B27&gt;AB$2,0,$C$3*(Datos!$C$14)^(Stock!AB$2-Stock!$B27)*Datos!$C$15^Stock!$B27)</f>
        <v>0.12944470031086538</v>
      </c>
      <c r="AC27">
        <f>IF($B27&gt;AC$2,0,$C$3*(Datos!$C$14)^(Stock!AC$2-Stock!$B27)*Datos!$C$15^Stock!$B27)</f>
        <v>0.23218113794346706</v>
      </c>
      <c r="AD27">
        <f>IF($B27&gt;AD$2,0,$C$3*(Datos!$C$14)^(Stock!AD$2-Stock!$B27)*Datos!$C$15^Stock!$B27)</f>
        <v>0.41645645350687505</v>
      </c>
      <c r="AE27">
        <f>IF($B27&gt;AE$2,0,$C$3*(Datos!$C$14)^(Stock!AE$2-Stock!$B27)*Datos!$C$15^Stock!$B27)</f>
        <v>0.74698564751523122</v>
      </c>
      <c r="AF27">
        <f>IF($B27&gt;AF$2,0,$C$3*(Datos!$C$14)^(Stock!AF$2-Stock!$B27)*Datos!$C$15^Stock!$B27)</f>
        <v>1.3398461061056355</v>
      </c>
      <c r="AG27">
        <f>IF($B27&gt;AG$2,0,$C$3*(Datos!$C$14)^(Stock!AG$2-Stock!$B27)*Datos!$C$15^Stock!$B27)</f>
        <v>2.4032424103701802</v>
      </c>
      <c r="AH27">
        <f>IF($B27&gt;AH$2,0,$C$3*(Datos!$C$14)^(Stock!AH$2-Stock!$B27)*Datos!$C$15^Stock!$B27)</f>
        <v>4.3106249715417082</v>
      </c>
      <c r="AI27">
        <f>IF($B27&gt;AI$2,0,$C$3*(Datos!$C$14)^(Stock!AI$2-Stock!$B27)*Datos!$C$15^Stock!$B27)</f>
        <v>7.7318407685793042</v>
      </c>
      <c r="AJ27">
        <f>IF($B27&gt;AJ$2,0,$C$3*(Datos!$C$14)^(Stock!AJ$2-Stock!$B27)*Datos!$C$15^Stock!$B27)</f>
        <v>13.868374554811716</v>
      </c>
      <c r="AK27">
        <f>IF($B27&gt;AK$2,0,$C$3*(Datos!$C$14)^(Stock!AK$2-Stock!$B27)*Datos!$C$15^Stock!$B27)</f>
        <v>24.875294066342921</v>
      </c>
      <c r="AL27">
        <f>IF($B27&gt;AL$2,0,$C$3*(Datos!$C$14)^(Stock!AL$2-Stock!$B27)*Datos!$C$15^Stock!$B27)</f>
        <v>44.618080687209726</v>
      </c>
      <c r="AM27">
        <f>IF($B27&gt;AM$2,0,$C$3*(Datos!$C$14)^(Stock!AM$2-Stock!$B27)*Datos!$C$15^Stock!$B27)</f>
        <v>80.030134273023052</v>
      </c>
      <c r="AN27">
        <f>IF($B27&gt;AN$2,0,$C$3*(Datos!$C$14)^(Stock!AN$2-Stock!$B27)*Datos!$C$15^Stock!$B27)</f>
        <v>143.54768948172421</v>
      </c>
      <c r="AO27">
        <f>IF($B27&gt;AO$2,0,$C$3*(Datos!$C$14)^(Stock!AO$2-Stock!$B27)*Datos!$C$15^Stock!$B27)</f>
        <v>257.47725332115886</v>
      </c>
      <c r="AP27">
        <f>IF($B27&gt;AP$2,0,$C$3*(Datos!$C$14)^(Stock!AP$2-Stock!$B27)*Datos!$C$15^Stock!$B27)</f>
        <v>461.82934895826753</v>
      </c>
      <c r="AQ27">
        <f>IF($B27&gt;AQ$2,0,$C$3*(Datos!$C$14)^(Stock!AQ$2-Stock!$B27)*Datos!$C$15^Stock!$B27)</f>
        <v>828.36967074982317</v>
      </c>
      <c r="AR27">
        <f>IF($B27&gt;AR$2,0,$C$3*(Datos!$C$14)^(Stock!AR$2-Stock!$B27)*Datos!$C$15^Stock!$B27)</f>
        <v>1485.8222262530514</v>
      </c>
      <c r="AS27">
        <f>IF($B27&gt;AS$2,0,$C$3*(Datos!$C$14)^(Stock!AS$2-Stock!$B27)*Datos!$C$15^Stock!$B27)</f>
        <v>2665.0754680929335</v>
      </c>
      <c r="AT27">
        <f>IF($B27&gt;AT$2,0,$C$3*(Datos!$C$14)^(Stock!AT$2-Stock!$B27)*Datos!$C$15^Stock!$B27)</f>
        <v>4780.2671982786151</v>
      </c>
      <c r="AU27">
        <f>IF($B27&gt;AU$2,0,$C$3*(Datos!$C$14)^(Stock!AU$2-Stock!$B27)*Datos!$C$15^Stock!$B27)</f>
        <v>8574.2241675767982</v>
      </c>
      <c r="AV27">
        <f>IF($B27&gt;AV$2,0,$C$3*(Datos!$C$14)^(Stock!AV$2-Stock!$B27)*Datos!$C$15^Stock!$B27)</f>
        <v>15379.332791759382</v>
      </c>
      <c r="AW27">
        <f>IF($B27&gt;AW$2,0,$C$3*(Datos!$C$14)^(Stock!AW$2-Stock!$B27)*Datos!$C$15^Stock!$B27)</f>
        <v>27585.45525484324</v>
      </c>
      <c r="AX27">
        <f>IF($B27&gt;AX$2,0,$C$3*(Datos!$C$14)^(Stock!AX$2-Stock!$B27)*Datos!$C$15^Stock!$B27)</f>
        <v>49479.216811323466</v>
      </c>
      <c r="AY27">
        <f>IF($B27&gt;AY$2,0,$C$3*(Datos!$C$14)^(Stock!AY$2-Stock!$B27)*Datos!$C$15^Stock!$B27)</f>
        <v>88749.410645746699</v>
      </c>
      <c r="AZ27">
        <f>IF($B27&gt;AZ$2,0,$C$3*(Datos!$C$14)^(Stock!AZ$2-Stock!$B27)*Datos!$C$15^Stock!$B27)</f>
        <v>159187.19813214234</v>
      </c>
      <c r="BA27">
        <f>IF($B27&gt;BA$2,0,$C$3*(Datos!$C$14)^(Stock!BA$2-Stock!$B27)*Datos!$C$15^Stock!$B27)</f>
        <v>285529.37833369587</v>
      </c>
    </row>
    <row r="28" spans="2:53" x14ac:dyDescent="0.25">
      <c r="B28">
        <v>25</v>
      </c>
      <c r="D28">
        <f>IF($B28&gt;D$2,0,$C$3*(Datos!$C$14)^(Stock!D$2-Stock!$B28)*Datos!$C$15^Stock!$B28)</f>
        <v>0</v>
      </c>
      <c r="E28">
        <f>IF($B28&gt;E$2,0,$C$3*(Datos!$C$14)^(Stock!E$2-Stock!$B28)*Datos!$C$15^Stock!$B28)</f>
        <v>0</v>
      </c>
      <c r="F28">
        <f>IF($B28&gt;F$2,0,$C$3*(Datos!$C$14)^(Stock!F$2-Stock!$B28)*Datos!$C$15^Stock!$B28)</f>
        <v>0</v>
      </c>
      <c r="G28">
        <f>IF($B28&gt;G$2,0,$C$3*(Datos!$C$14)^(Stock!G$2-Stock!$B28)*Datos!$C$15^Stock!$B28)</f>
        <v>0</v>
      </c>
      <c r="H28">
        <f>IF($B28&gt;H$2,0,$C$3*(Datos!$C$14)^(Stock!H$2-Stock!$B28)*Datos!$C$15^Stock!$B28)</f>
        <v>0</v>
      </c>
      <c r="I28">
        <f>IF($B28&gt;I$2,0,$C$3*(Datos!$C$14)^(Stock!I$2-Stock!$B28)*Datos!$C$15^Stock!$B28)</f>
        <v>0</v>
      </c>
      <c r="J28">
        <f>IF($B28&gt;J$2,0,$C$3*(Datos!$C$14)^(Stock!J$2-Stock!$B28)*Datos!$C$15^Stock!$B28)</f>
        <v>0</v>
      </c>
      <c r="K28">
        <f>IF($B28&gt;K$2,0,$C$3*(Datos!$C$14)^(Stock!K$2-Stock!$B28)*Datos!$C$15^Stock!$B28)</f>
        <v>0</v>
      </c>
      <c r="L28">
        <f>IF($B28&gt;L$2,0,$C$3*(Datos!$C$14)^(Stock!L$2-Stock!$B28)*Datos!$C$15^Stock!$B28)</f>
        <v>0</v>
      </c>
      <c r="M28">
        <f>IF($B28&gt;M$2,0,$C$3*(Datos!$C$14)^(Stock!M$2-Stock!$B28)*Datos!$C$15^Stock!$B28)</f>
        <v>0</v>
      </c>
      <c r="N28">
        <f>IF($B28&gt;N$2,0,$C$3*(Datos!$C$14)^(Stock!N$2-Stock!$B28)*Datos!$C$15^Stock!$B28)</f>
        <v>0</v>
      </c>
      <c r="O28">
        <f>IF($B28&gt;O$2,0,$C$3*(Datos!$C$14)^(Stock!O$2-Stock!$B28)*Datos!$C$15^Stock!$B28)</f>
        <v>0</v>
      </c>
      <c r="P28">
        <f>IF($B28&gt;P$2,0,$C$3*(Datos!$C$14)^(Stock!P$2-Stock!$B28)*Datos!$C$15^Stock!$B28)</f>
        <v>0</v>
      </c>
      <c r="Q28">
        <f>IF($B28&gt;Q$2,0,$C$3*(Datos!$C$14)^(Stock!Q$2-Stock!$B28)*Datos!$C$15^Stock!$B28)</f>
        <v>0</v>
      </c>
      <c r="R28">
        <f>IF($B28&gt;R$2,0,$C$3*(Datos!$C$14)^(Stock!R$2-Stock!$B28)*Datos!$C$15^Stock!$B28)</f>
        <v>0</v>
      </c>
      <c r="S28">
        <f>IF($B28&gt;S$2,0,$C$3*(Datos!$C$14)^(Stock!S$2-Stock!$B28)*Datos!$C$15^Stock!$B28)</f>
        <v>0</v>
      </c>
      <c r="T28">
        <f>IF($B28&gt;T$2,0,$C$3*(Datos!$C$14)^(Stock!T$2-Stock!$B28)*Datos!$C$15^Stock!$B28)</f>
        <v>0</v>
      </c>
      <c r="U28">
        <f>IF($B28&gt;U$2,0,$C$3*(Datos!$C$14)^(Stock!U$2-Stock!$B28)*Datos!$C$15^Stock!$B28)</f>
        <v>0</v>
      </c>
      <c r="V28">
        <f>IF($B28&gt;V$2,0,$C$3*(Datos!$C$14)^(Stock!V$2-Stock!$B28)*Datos!$C$15^Stock!$B28)</f>
        <v>0</v>
      </c>
      <c r="W28">
        <f>IF($B28&gt;W$2,0,$C$3*(Datos!$C$14)^(Stock!W$2-Stock!$B28)*Datos!$C$15^Stock!$B28)</f>
        <v>0</v>
      </c>
      <c r="X28">
        <f>IF($B28&gt;X$2,0,$C$3*(Datos!$C$14)^(Stock!X$2-Stock!$B28)*Datos!$C$15^Stock!$B28)</f>
        <v>0</v>
      </c>
      <c r="Y28">
        <f>IF($B28&gt;Y$2,0,$C$3*(Datos!$C$14)^(Stock!Y$2-Stock!$B28)*Datos!$C$15^Stock!$B28)</f>
        <v>0</v>
      </c>
      <c r="Z28">
        <f>IF($B28&gt;Z$2,0,$C$3*(Datos!$C$14)^(Stock!Z$2-Stock!$B28)*Datos!$C$15^Stock!$B28)</f>
        <v>0</v>
      </c>
      <c r="AA28">
        <f>IF($B28&gt;AA$2,0,$C$3*(Datos!$C$14)^(Stock!AA$2-Stock!$B28)*Datos!$C$15^Stock!$B28)</f>
        <v>0</v>
      </c>
      <c r="AB28">
        <f>IF($B28&gt;AB$2,0,$C$3*(Datos!$C$14)^(Stock!AB$2-Stock!$B28)*Datos!$C$15^Stock!$B28)</f>
        <v>5.5408090881836826E-2</v>
      </c>
      <c r="AC28">
        <f>IF($B28&gt;AC$2,0,$C$3*(Datos!$C$14)^(Stock!AC$2-Stock!$B28)*Datos!$C$15^Stock!$B28)</f>
        <v>9.9383857054981109E-2</v>
      </c>
      <c r="AD28">
        <f>IF($B28&gt;AD$2,0,$C$3*(Datos!$C$14)^(Stock!AD$2-Stock!$B28)*Datos!$C$15^Stock!$B28)</f>
        <v>0.17826189074424004</v>
      </c>
      <c r="AE28">
        <f>IF($B28&gt;AE$2,0,$C$3*(Datos!$C$14)^(Stock!AE$2-Stock!$B28)*Datos!$C$15^Stock!$B28)</f>
        <v>0.31974309141706531</v>
      </c>
      <c r="AF28">
        <f>IF($B28&gt;AF$2,0,$C$3*(Datos!$C$14)^(Stock!AF$2-Stock!$B28)*Datos!$C$15^Stock!$B28)</f>
        <v>0.57351374476120431</v>
      </c>
      <c r="AG28">
        <f>IF($B28&gt;AG$2,0,$C$3*(Datos!$C$14)^(Stock!AG$2-Stock!$B28)*Datos!$C$15^Stock!$B28)</f>
        <v>1.0286946747536976</v>
      </c>
      <c r="AH28">
        <f>IF($B28&gt;AH$2,0,$C$3*(Datos!$C$14)^(Stock!AH$2-Stock!$B28)*Datos!$C$15^Stock!$B28)</f>
        <v>1.8451392726554914</v>
      </c>
      <c r="AI28">
        <f>IF($B28&gt;AI$2,0,$C$3*(Datos!$C$14)^(Stock!AI$2-Stock!$B28)*Datos!$C$15^Stock!$B28)</f>
        <v>3.3095718477504428</v>
      </c>
      <c r="AJ28">
        <f>IF($B28&gt;AJ$2,0,$C$3*(Datos!$C$14)^(Stock!AJ$2-Stock!$B28)*Datos!$C$15^Stock!$B28)</f>
        <v>5.9362813299499821</v>
      </c>
      <c r="AK28">
        <f>IF($B28&gt;AK$2,0,$C$3*(Datos!$C$14)^(Stock!AK$2-Stock!$B28)*Datos!$C$15^Stock!$B28)</f>
        <v>10.647732591835226</v>
      </c>
      <c r="AL28">
        <f>IF($B28&gt;AL$2,0,$C$3*(Datos!$C$14)^(Stock!AL$2-Stock!$B28)*Datos!$C$15^Stock!$B28)</f>
        <v>19.098523645641535</v>
      </c>
      <c r="AM28">
        <f>IF($B28&gt;AM$2,0,$C$3*(Datos!$C$14)^(Stock!AM$2-Stock!$B28)*Datos!$C$15^Stock!$B28)</f>
        <v>34.256458104782325</v>
      </c>
      <c r="AN28">
        <f>IF($B28&gt;AN$2,0,$C$3*(Datos!$C$14)^(Stock!AN$2-Stock!$B28)*Datos!$C$15^Stock!$B28)</f>
        <v>61.44479770573848</v>
      </c>
      <c r="AO28">
        <f>IF($B28&gt;AO$2,0,$C$3*(Datos!$C$14)^(Stock!AO$2-Stock!$B28)*Datos!$C$15^Stock!$B28)</f>
        <v>110.21171989091468</v>
      </c>
      <c r="AP28">
        <f>IF($B28&gt;AP$2,0,$C$3*(Datos!$C$14)^(Stock!AP$2-Stock!$B28)*Datos!$C$15^Stock!$B28)</f>
        <v>197.68350869155904</v>
      </c>
      <c r="AQ28">
        <f>IF($B28&gt;AQ$2,0,$C$3*(Datos!$C$14)^(Stock!AQ$2-Stock!$B28)*Datos!$C$15^Stock!$B28)</f>
        <v>354.57907423353049</v>
      </c>
      <c r="AR28">
        <f>IF($B28&gt;AR$2,0,$C$3*(Datos!$C$14)^(Stock!AR$2-Stock!$B28)*Datos!$C$15^Stock!$B28)</f>
        <v>635.99801883562952</v>
      </c>
      <c r="AS28">
        <f>IF($B28&gt;AS$2,0,$C$3*(Datos!$C$14)^(Stock!AS$2-Stock!$B28)*Datos!$C$15^Stock!$B28)</f>
        <v>1140.7708727234169</v>
      </c>
      <c r="AT28">
        <f>IF($B28&gt;AT$2,0,$C$3*(Datos!$C$14)^(Stock!AT$2-Stock!$B28)*Datos!$C$15^Stock!$B28)</f>
        <v>2046.1670406405397</v>
      </c>
      <c r="AU28">
        <f>IF($B28&gt;AU$2,0,$C$3*(Datos!$C$14)^(Stock!AU$2-Stock!$B28)*Datos!$C$15^Stock!$B28)</f>
        <v>3670.1494211614263</v>
      </c>
      <c r="AV28">
        <f>IF($B28&gt;AV$2,0,$C$3*(Datos!$C$14)^(Stock!AV$2-Stock!$B28)*Datos!$C$15^Stock!$B28)</f>
        <v>6583.0386796939383</v>
      </c>
      <c r="AW28">
        <f>IF($B28&gt;AW$2,0,$C$3*(Datos!$C$14)^(Stock!AW$2-Stock!$B28)*Datos!$C$15^Stock!$B28)</f>
        <v>11807.802158810371</v>
      </c>
      <c r="AX28">
        <f>IF($B28&gt;AX$2,0,$C$3*(Datos!$C$14)^(Stock!AX$2-Stock!$B28)*Datos!$C$15^Stock!$B28)</f>
        <v>21179.306184494264</v>
      </c>
      <c r="AY28">
        <f>IF($B28&gt;AY$2,0,$C$3*(Datos!$C$14)^(Stock!AY$2-Stock!$B28)*Datos!$C$15^Stock!$B28)</f>
        <v>37988.696323291864</v>
      </c>
      <c r="AZ28">
        <f>IF($B28&gt;AZ$2,0,$C$3*(Datos!$C$14)^(Stock!AZ$2-Stock!$B28)*Datos!$C$15^Stock!$B28)</f>
        <v>68139.20322847199</v>
      </c>
      <c r="BA28">
        <f>IF($B28&gt;BA$2,0,$C$3*(Datos!$C$14)^(Stock!BA$2-Stock!$B28)*Datos!$C$15^Stock!$B28)</f>
        <v>122219.27746871093</v>
      </c>
    </row>
    <row r="29" spans="2:53" x14ac:dyDescent="0.25">
      <c r="B29">
        <v>26</v>
      </c>
      <c r="D29">
        <f>IF($B29&gt;D$2,0,$C$3*(Datos!$C$14)^(Stock!D$2-Stock!$B29)*Datos!$C$15^Stock!$B29)</f>
        <v>0</v>
      </c>
      <c r="E29">
        <f>IF($B29&gt;E$2,0,$C$3*(Datos!$C$14)^(Stock!E$2-Stock!$B29)*Datos!$C$15^Stock!$B29)</f>
        <v>0</v>
      </c>
      <c r="F29">
        <f>IF($B29&gt;F$2,0,$C$3*(Datos!$C$14)^(Stock!F$2-Stock!$B29)*Datos!$C$15^Stock!$B29)</f>
        <v>0</v>
      </c>
      <c r="G29">
        <f>IF($B29&gt;G$2,0,$C$3*(Datos!$C$14)^(Stock!G$2-Stock!$B29)*Datos!$C$15^Stock!$B29)</f>
        <v>0</v>
      </c>
      <c r="H29">
        <f>IF($B29&gt;H$2,0,$C$3*(Datos!$C$14)^(Stock!H$2-Stock!$B29)*Datos!$C$15^Stock!$B29)</f>
        <v>0</v>
      </c>
      <c r="I29">
        <f>IF($B29&gt;I$2,0,$C$3*(Datos!$C$14)^(Stock!I$2-Stock!$B29)*Datos!$C$15^Stock!$B29)</f>
        <v>0</v>
      </c>
      <c r="J29">
        <f>IF($B29&gt;J$2,0,$C$3*(Datos!$C$14)^(Stock!J$2-Stock!$B29)*Datos!$C$15^Stock!$B29)</f>
        <v>0</v>
      </c>
      <c r="K29">
        <f>IF($B29&gt;K$2,0,$C$3*(Datos!$C$14)^(Stock!K$2-Stock!$B29)*Datos!$C$15^Stock!$B29)</f>
        <v>0</v>
      </c>
      <c r="L29">
        <f>IF($B29&gt;L$2,0,$C$3*(Datos!$C$14)^(Stock!L$2-Stock!$B29)*Datos!$C$15^Stock!$B29)</f>
        <v>0</v>
      </c>
      <c r="M29">
        <f>IF($B29&gt;M$2,0,$C$3*(Datos!$C$14)^(Stock!M$2-Stock!$B29)*Datos!$C$15^Stock!$B29)</f>
        <v>0</v>
      </c>
      <c r="N29">
        <f>IF($B29&gt;N$2,0,$C$3*(Datos!$C$14)^(Stock!N$2-Stock!$B29)*Datos!$C$15^Stock!$B29)</f>
        <v>0</v>
      </c>
      <c r="O29">
        <f>IF($B29&gt;O$2,0,$C$3*(Datos!$C$14)^(Stock!O$2-Stock!$B29)*Datos!$C$15^Stock!$B29)</f>
        <v>0</v>
      </c>
      <c r="P29">
        <f>IF($B29&gt;P$2,0,$C$3*(Datos!$C$14)^(Stock!P$2-Stock!$B29)*Datos!$C$15^Stock!$B29)</f>
        <v>0</v>
      </c>
      <c r="Q29">
        <f>IF($B29&gt;Q$2,0,$C$3*(Datos!$C$14)^(Stock!Q$2-Stock!$B29)*Datos!$C$15^Stock!$B29)</f>
        <v>0</v>
      </c>
      <c r="R29">
        <f>IF($B29&gt;R$2,0,$C$3*(Datos!$C$14)^(Stock!R$2-Stock!$B29)*Datos!$C$15^Stock!$B29)</f>
        <v>0</v>
      </c>
      <c r="S29">
        <f>IF($B29&gt;S$2,0,$C$3*(Datos!$C$14)^(Stock!S$2-Stock!$B29)*Datos!$C$15^Stock!$B29)</f>
        <v>0</v>
      </c>
      <c r="T29">
        <f>IF($B29&gt;T$2,0,$C$3*(Datos!$C$14)^(Stock!T$2-Stock!$B29)*Datos!$C$15^Stock!$B29)</f>
        <v>0</v>
      </c>
      <c r="U29">
        <f>IF($B29&gt;U$2,0,$C$3*(Datos!$C$14)^(Stock!U$2-Stock!$B29)*Datos!$C$15^Stock!$B29)</f>
        <v>0</v>
      </c>
      <c r="V29">
        <f>IF($B29&gt;V$2,0,$C$3*(Datos!$C$14)^(Stock!V$2-Stock!$B29)*Datos!$C$15^Stock!$B29)</f>
        <v>0</v>
      </c>
      <c r="W29">
        <f>IF($B29&gt;W$2,0,$C$3*(Datos!$C$14)^(Stock!W$2-Stock!$B29)*Datos!$C$15^Stock!$B29)</f>
        <v>0</v>
      </c>
      <c r="X29">
        <f>IF($B29&gt;X$2,0,$C$3*(Datos!$C$14)^(Stock!X$2-Stock!$B29)*Datos!$C$15^Stock!$B29)</f>
        <v>0</v>
      </c>
      <c r="Y29">
        <f>IF($B29&gt;Y$2,0,$C$3*(Datos!$C$14)^(Stock!Y$2-Stock!$B29)*Datos!$C$15^Stock!$B29)</f>
        <v>0</v>
      </c>
      <c r="Z29">
        <f>IF($B29&gt;Z$2,0,$C$3*(Datos!$C$14)^(Stock!Z$2-Stock!$B29)*Datos!$C$15^Stock!$B29)</f>
        <v>0</v>
      </c>
      <c r="AA29">
        <f>IF($B29&gt;AA$2,0,$C$3*(Datos!$C$14)^(Stock!AA$2-Stock!$B29)*Datos!$C$15^Stock!$B29)</f>
        <v>0</v>
      </c>
      <c r="AB29">
        <f>IF($B29&gt;AB$2,0,$C$3*(Datos!$C$14)^(Stock!AB$2-Stock!$B29)*Datos!$C$15^Stock!$B29)</f>
        <v>0</v>
      </c>
      <c r="AC29">
        <f>IF($B29&gt;AC$2,0,$C$3*(Datos!$C$14)^(Stock!AC$2-Stock!$B29)*Datos!$C$15^Stock!$B29)</f>
        <v>4.2540712525622429E-2</v>
      </c>
      <c r="AD29">
        <f>IF($B29&gt;AD$2,0,$C$3*(Datos!$C$14)^(Stock!AD$2-Stock!$B29)*Datos!$C$15^Stock!$B29)</f>
        <v>7.6304020322227467E-2</v>
      </c>
      <c r="AE29">
        <f>IF($B29&gt;AE$2,0,$C$3*(Datos!$C$14)^(Stock!AE$2-Stock!$B29)*Datos!$C$15^Stock!$B29)</f>
        <v>0.13686426887721045</v>
      </c>
      <c r="AF29">
        <f>IF($B29&gt;AF$2,0,$C$3*(Datos!$C$14)^(Stock!AF$2-Stock!$B29)*Datos!$C$15^Stock!$B29)</f>
        <v>0.24548939906691594</v>
      </c>
      <c r="AG29">
        <f>IF($B29&gt;AG$2,0,$C$3*(Datos!$C$14)^(Stock!AG$2-Stock!$B29)*Datos!$C$15^Stock!$B29)</f>
        <v>0.44032708864505066</v>
      </c>
      <c r="AH29">
        <f>IF($B29&gt;AH$2,0,$C$3*(Datos!$C$14)^(Stock!AH$2-Stock!$B29)*Datos!$C$15^Stock!$B29)</f>
        <v>0.78980170113893999</v>
      </c>
      <c r="AI29">
        <f>IF($B29&gt;AI$2,0,$C$3*(Datos!$C$14)^(Stock!AI$2-Stock!$B29)*Datos!$C$15^Stock!$B29)</f>
        <v>1.416643997627864</v>
      </c>
      <c r="AJ29">
        <f>IF($B29&gt;AJ$2,0,$C$3*(Datos!$C$14)^(Stock!AJ$2-Stock!$B29)*Datos!$C$15^Stock!$B29)</f>
        <v>2.5409925214405309</v>
      </c>
      <c r="AK29">
        <f>IF($B29&gt;AK$2,0,$C$3*(Datos!$C$14)^(Stock!AK$2-Stock!$B29)*Datos!$C$15^Stock!$B29)</f>
        <v>4.5577032796017907</v>
      </c>
      <c r="AL29">
        <f>IF($B29&gt;AL$2,0,$C$3*(Datos!$C$14)^(Stock!AL$2-Stock!$B29)*Datos!$C$15^Stock!$B29)</f>
        <v>8.1750178363833008</v>
      </c>
      <c r="AM29">
        <f>IF($B29&gt;AM$2,0,$C$3*(Datos!$C$14)^(Stock!AM$2-Stock!$B29)*Datos!$C$15^Stock!$B29)</f>
        <v>14.66328817944115</v>
      </c>
      <c r="AN29">
        <f>IF($B29&gt;AN$2,0,$C$3*(Datos!$C$14)^(Stock!AN$2-Stock!$B29)*Datos!$C$15^Stock!$B29)</f>
        <v>26.301107170239739</v>
      </c>
      <c r="AO29">
        <f>IF($B29&gt;AO$2,0,$C$3*(Datos!$C$14)^(Stock!AO$2-Stock!$B29)*Datos!$C$15^Stock!$B29)</f>
        <v>47.175519563907272</v>
      </c>
      <c r="AP29">
        <f>IF($B29&gt;AP$2,0,$C$3*(Datos!$C$14)^(Stock!AP$2-Stock!$B29)*Datos!$C$15^Stock!$B29)</f>
        <v>84.61733689457877</v>
      </c>
      <c r="AQ29">
        <f>IF($B29&gt;AQ$2,0,$C$3*(Datos!$C$14)^(Stock!AQ$2-Stock!$B29)*Datos!$C$15^Stock!$B29)</f>
        <v>151.77561941699605</v>
      </c>
      <c r="AR29">
        <f>IF($B29&gt;AR$2,0,$C$3*(Datos!$C$14)^(Stock!AR$2-Stock!$B29)*Datos!$C$15^Stock!$B29)</f>
        <v>272.23544837049445</v>
      </c>
      <c r="AS29">
        <f>IF($B29&gt;AS$2,0,$C$3*(Datos!$C$14)^(Stock!AS$2-Stock!$B29)*Datos!$C$15^Stock!$B29)</f>
        <v>488.30068777953522</v>
      </c>
      <c r="AT29">
        <f>IF($B29&gt;AT$2,0,$C$3*(Datos!$C$14)^(Stock!AT$2-Stock!$B29)*Datos!$C$15^Stock!$B29)</f>
        <v>875.85052980120838</v>
      </c>
      <c r="AU29">
        <f>IF($B29&gt;AU$2,0,$C$3*(Datos!$C$14)^(Stock!AU$2-Stock!$B29)*Datos!$C$15^Stock!$B29)</f>
        <v>1570.9872415731777</v>
      </c>
      <c r="AV29">
        <f>IF($B29&gt;AV$2,0,$C$3*(Datos!$C$14)^(Stock!AV$2-Stock!$B29)*Datos!$C$15^Stock!$B29)</f>
        <v>2817.8334421352279</v>
      </c>
      <c r="AW29">
        <f>IF($B29&gt;AW$2,0,$C$3*(Datos!$C$14)^(Stock!AW$2-Stock!$B29)*Datos!$C$15^Stock!$B29)</f>
        <v>5054.2646671429411</v>
      </c>
      <c r="AX29">
        <f>IF($B29&gt;AX$2,0,$C$3*(Datos!$C$14)^(Stock!AX$2-Stock!$B29)*Datos!$C$15^Stock!$B29)</f>
        <v>9065.6853395040453</v>
      </c>
      <c r="AY29">
        <f>IF($B29&gt;AY$2,0,$C$3*(Datos!$C$14)^(Stock!AY$2-Stock!$B29)*Datos!$C$15^Stock!$B29)</f>
        <v>16260.85218868381</v>
      </c>
      <c r="AZ29">
        <f>IF($B29&gt;AZ$2,0,$C$3*(Datos!$C$14)^(Stock!AZ$2-Stock!$B29)*Datos!$C$15^Stock!$B29)</f>
        <v>29166.610576039304</v>
      </c>
      <c r="BA29">
        <f>IF($B29&gt;BA$2,0,$C$3*(Datos!$C$14)^(Stock!BA$2-Stock!$B29)*Datos!$C$15^Stock!$B29)</f>
        <v>52315.288437732517</v>
      </c>
    </row>
    <row r="30" spans="2:53" x14ac:dyDescent="0.25">
      <c r="B30">
        <v>27</v>
      </c>
      <c r="D30">
        <f>IF($B30&gt;D$2,0,$C$3*(Datos!$C$14)^(Stock!D$2-Stock!$B30)*Datos!$C$15^Stock!$B30)</f>
        <v>0</v>
      </c>
      <c r="E30">
        <f>IF($B30&gt;E$2,0,$C$3*(Datos!$C$14)^(Stock!E$2-Stock!$B30)*Datos!$C$15^Stock!$B30)</f>
        <v>0</v>
      </c>
      <c r="F30">
        <f>IF($B30&gt;F$2,0,$C$3*(Datos!$C$14)^(Stock!F$2-Stock!$B30)*Datos!$C$15^Stock!$B30)</f>
        <v>0</v>
      </c>
      <c r="G30">
        <f>IF($B30&gt;G$2,0,$C$3*(Datos!$C$14)^(Stock!G$2-Stock!$B30)*Datos!$C$15^Stock!$B30)</f>
        <v>0</v>
      </c>
      <c r="H30">
        <f>IF($B30&gt;H$2,0,$C$3*(Datos!$C$14)^(Stock!H$2-Stock!$B30)*Datos!$C$15^Stock!$B30)</f>
        <v>0</v>
      </c>
      <c r="I30">
        <f>IF($B30&gt;I$2,0,$C$3*(Datos!$C$14)^(Stock!I$2-Stock!$B30)*Datos!$C$15^Stock!$B30)</f>
        <v>0</v>
      </c>
      <c r="J30">
        <f>IF($B30&gt;J$2,0,$C$3*(Datos!$C$14)^(Stock!J$2-Stock!$B30)*Datos!$C$15^Stock!$B30)</f>
        <v>0</v>
      </c>
      <c r="K30">
        <f>IF($B30&gt;K$2,0,$C$3*(Datos!$C$14)^(Stock!K$2-Stock!$B30)*Datos!$C$15^Stock!$B30)</f>
        <v>0</v>
      </c>
      <c r="L30">
        <f>IF($B30&gt;L$2,0,$C$3*(Datos!$C$14)^(Stock!L$2-Stock!$B30)*Datos!$C$15^Stock!$B30)</f>
        <v>0</v>
      </c>
      <c r="M30">
        <f>IF($B30&gt;M$2,0,$C$3*(Datos!$C$14)^(Stock!M$2-Stock!$B30)*Datos!$C$15^Stock!$B30)</f>
        <v>0</v>
      </c>
      <c r="N30">
        <f>IF($B30&gt;N$2,0,$C$3*(Datos!$C$14)^(Stock!N$2-Stock!$B30)*Datos!$C$15^Stock!$B30)</f>
        <v>0</v>
      </c>
      <c r="O30">
        <f>IF($B30&gt;O$2,0,$C$3*(Datos!$C$14)^(Stock!O$2-Stock!$B30)*Datos!$C$15^Stock!$B30)</f>
        <v>0</v>
      </c>
      <c r="P30">
        <f>IF($B30&gt;P$2,0,$C$3*(Datos!$C$14)^(Stock!P$2-Stock!$B30)*Datos!$C$15^Stock!$B30)</f>
        <v>0</v>
      </c>
      <c r="Q30">
        <f>IF($B30&gt;Q$2,0,$C$3*(Datos!$C$14)^(Stock!Q$2-Stock!$B30)*Datos!$C$15^Stock!$B30)</f>
        <v>0</v>
      </c>
      <c r="R30">
        <f>IF($B30&gt;R$2,0,$C$3*(Datos!$C$14)^(Stock!R$2-Stock!$B30)*Datos!$C$15^Stock!$B30)</f>
        <v>0</v>
      </c>
      <c r="S30">
        <f>IF($B30&gt;S$2,0,$C$3*(Datos!$C$14)^(Stock!S$2-Stock!$B30)*Datos!$C$15^Stock!$B30)</f>
        <v>0</v>
      </c>
      <c r="T30">
        <f>IF($B30&gt;T$2,0,$C$3*(Datos!$C$14)^(Stock!T$2-Stock!$B30)*Datos!$C$15^Stock!$B30)</f>
        <v>0</v>
      </c>
      <c r="U30">
        <f>IF($B30&gt;U$2,0,$C$3*(Datos!$C$14)^(Stock!U$2-Stock!$B30)*Datos!$C$15^Stock!$B30)</f>
        <v>0</v>
      </c>
      <c r="V30">
        <f>IF($B30&gt;V$2,0,$C$3*(Datos!$C$14)^(Stock!V$2-Stock!$B30)*Datos!$C$15^Stock!$B30)</f>
        <v>0</v>
      </c>
      <c r="W30">
        <f>IF($B30&gt;W$2,0,$C$3*(Datos!$C$14)^(Stock!W$2-Stock!$B30)*Datos!$C$15^Stock!$B30)</f>
        <v>0</v>
      </c>
      <c r="X30">
        <f>IF($B30&gt;X$2,0,$C$3*(Datos!$C$14)^(Stock!X$2-Stock!$B30)*Datos!$C$15^Stock!$B30)</f>
        <v>0</v>
      </c>
      <c r="Y30">
        <f>IF($B30&gt;Y$2,0,$C$3*(Datos!$C$14)^(Stock!Y$2-Stock!$B30)*Datos!$C$15^Stock!$B30)</f>
        <v>0</v>
      </c>
      <c r="Z30">
        <f>IF($B30&gt;Z$2,0,$C$3*(Datos!$C$14)^(Stock!Z$2-Stock!$B30)*Datos!$C$15^Stock!$B30)</f>
        <v>0</v>
      </c>
      <c r="AA30">
        <f>IF($B30&gt;AA$2,0,$C$3*(Datos!$C$14)^(Stock!AA$2-Stock!$B30)*Datos!$C$15^Stock!$B30)</f>
        <v>0</v>
      </c>
      <c r="AB30">
        <f>IF($B30&gt;AB$2,0,$C$3*(Datos!$C$14)^(Stock!AB$2-Stock!$B30)*Datos!$C$15^Stock!$B30)</f>
        <v>0</v>
      </c>
      <c r="AC30">
        <f>IF($B30&gt;AC$2,0,$C$3*(Datos!$C$14)^(Stock!AC$2-Stock!$B30)*Datos!$C$15^Stock!$B30)</f>
        <v>0</v>
      </c>
      <c r="AD30">
        <f>IF($B30&gt;AD$2,0,$C$3*(Datos!$C$14)^(Stock!AD$2-Stock!$B30)*Datos!$C$15^Stock!$B30)</f>
        <v>3.2661515554597204E-2</v>
      </c>
      <c r="AE30">
        <f>IF($B30&gt;AE$2,0,$C$3*(Datos!$C$14)^(Stock!AE$2-Stock!$B30)*Datos!$C$15^Stock!$B30)</f>
        <v>5.8583996333669057E-2</v>
      </c>
      <c r="AF30">
        <f>IF($B30&gt;AF$2,0,$C$3*(Datos!$C$14)^(Stock!AF$2-Stock!$B30)*Datos!$C$15^Stock!$B30)</f>
        <v>0.10508038491619454</v>
      </c>
      <c r="AG30">
        <f>IF($B30&gt;AG$2,0,$C$3*(Datos!$C$14)^(Stock!AG$2-Stock!$B30)*Datos!$C$15^Stock!$B30)</f>
        <v>0.18847958461634817</v>
      </c>
      <c r="AH30">
        <f>IF($B30&gt;AH$2,0,$C$3*(Datos!$C$14)^(Stock!AH$2-Stock!$B30)*Datos!$C$15^Stock!$B30)</f>
        <v>0.33807026730519951</v>
      </c>
      <c r="AI30">
        <f>IF($B30&gt;AI$2,0,$C$3*(Datos!$C$14)^(Stock!AI$2-Stock!$B30)*Datos!$C$15^Stock!$B30)</f>
        <v>0.60638665916231937</v>
      </c>
      <c r="AJ30">
        <f>IF($B30&gt;AJ$2,0,$C$3*(Datos!$C$14)^(Stock!AJ$2-Stock!$B30)*Datos!$C$15^Stock!$B30)</f>
        <v>1.087657850958204</v>
      </c>
      <c r="AK30">
        <f>IF($B30&gt;AK$2,0,$C$3*(Datos!$C$14)^(Stock!AK$2-Stock!$B30)*Datos!$C$15^Stock!$B30)</f>
        <v>1.9508997813132132</v>
      </c>
      <c r="AL30">
        <f>IF($B30&gt;AL$2,0,$C$3*(Datos!$C$14)^(Stock!AL$2-Stock!$B30)*Datos!$C$15^Stock!$B30)</f>
        <v>3.4992713502457851</v>
      </c>
      <c r="AM30">
        <f>IF($B30&gt;AM$2,0,$C$3*(Datos!$C$14)^(Stock!AM$2-Stock!$B30)*Datos!$C$15^Stock!$B30)</f>
        <v>6.2765397279446731</v>
      </c>
      <c r="AN30">
        <f>IF($B30&gt;AN$2,0,$C$3*(Datos!$C$14)^(Stock!AN$2-Stock!$B30)*Datos!$C$15^Stock!$B30)</f>
        <v>11.258044036425106</v>
      </c>
      <c r="AO30">
        <f>IF($B30&gt;AO$2,0,$C$3*(Datos!$C$14)^(Stock!AO$2-Stock!$B30)*Datos!$C$15^Stock!$B30)</f>
        <v>20.193221268367658</v>
      </c>
      <c r="AP30">
        <f>IF($B30&gt;AP$2,0,$C$3*(Datos!$C$14)^(Stock!AP$2-Stock!$B30)*Datos!$C$15^Stock!$B30)</f>
        <v>36.219984916912665</v>
      </c>
      <c r="AQ30">
        <f>IF($B30&gt;AQ$2,0,$C$3*(Datos!$C$14)^(Stock!AQ$2-Stock!$B30)*Datos!$C$15^Stock!$B30)</f>
        <v>64.966717788430813</v>
      </c>
      <c r="AR30">
        <f>IF($B30&gt;AR$2,0,$C$3*(Datos!$C$14)^(Stock!AR$2-Stock!$B30)*Datos!$C$15^Stock!$B30)</f>
        <v>116.52888398169375</v>
      </c>
      <c r="AS30">
        <f>IF($B30&gt;AS$2,0,$C$3*(Datos!$C$14)^(Stock!AS$2-Stock!$B30)*Datos!$C$15^Stock!$B30)</f>
        <v>209.01441944843288</v>
      </c>
      <c r="AT30">
        <f>IF($B30&gt;AT$2,0,$C$3*(Datos!$C$14)^(Stock!AT$2-Stock!$B30)*Datos!$C$15^Stock!$B30)</f>
        <v>374.90299438745592</v>
      </c>
      <c r="AU30">
        <f>IF($B30&gt;AU$2,0,$C$3*(Datos!$C$14)^(Stock!AU$2-Stock!$B30)*Datos!$C$15^Stock!$B30)</f>
        <v>672.45243448554152</v>
      </c>
      <c r="AV30">
        <f>IF($B30&gt;AV$2,0,$C$3*(Datos!$C$14)^(Stock!AV$2-Stock!$B30)*Datos!$C$15^Stock!$B30)</f>
        <v>1206.1580819976018</v>
      </c>
      <c r="AW30">
        <f>IF($B30&gt;AW$2,0,$C$3*(Datos!$C$14)^(Stock!AW$2-Stock!$B30)*Datos!$C$15^Stock!$B30)</f>
        <v>2163.4501477879826</v>
      </c>
      <c r="AX30">
        <f>IF($B30&gt;AX$2,0,$C$3*(Datos!$C$14)^(Stock!AX$2-Stock!$B30)*Datos!$C$15^Stock!$B30)</f>
        <v>3880.51666843878</v>
      </c>
      <c r="AY30">
        <f>IF($B30&gt;AY$2,0,$C$3*(Datos!$C$14)^(Stock!AY$2-Stock!$B30)*Datos!$C$15^Stock!$B30)</f>
        <v>6960.3682014247806</v>
      </c>
      <c r="AZ30">
        <f>IF($B30&gt;AZ$2,0,$C$3*(Datos!$C$14)^(Stock!AZ$2-Stock!$B30)*Datos!$C$15^Stock!$B30)</f>
        <v>12484.606983764465</v>
      </c>
      <c r="BA30">
        <f>IF($B30&gt;BA$2,0,$C$3*(Datos!$C$14)^(Stock!BA$2-Stock!$B30)*Datos!$C$15^Stock!$B30)</f>
        <v>22393.271020799595</v>
      </c>
    </row>
    <row r="31" spans="2:53" x14ac:dyDescent="0.25">
      <c r="B31">
        <v>28</v>
      </c>
      <c r="D31">
        <f>IF($B31&gt;D$2,0,$C$3*(Datos!$C$14)^(Stock!D$2-Stock!$B31)*Datos!$C$15^Stock!$B31)</f>
        <v>0</v>
      </c>
      <c r="E31">
        <f>IF($B31&gt;E$2,0,$C$3*(Datos!$C$14)^(Stock!E$2-Stock!$B31)*Datos!$C$15^Stock!$B31)</f>
        <v>0</v>
      </c>
      <c r="F31">
        <f>IF($B31&gt;F$2,0,$C$3*(Datos!$C$14)^(Stock!F$2-Stock!$B31)*Datos!$C$15^Stock!$B31)</f>
        <v>0</v>
      </c>
      <c r="G31">
        <f>IF($B31&gt;G$2,0,$C$3*(Datos!$C$14)^(Stock!G$2-Stock!$B31)*Datos!$C$15^Stock!$B31)</f>
        <v>0</v>
      </c>
      <c r="H31">
        <f>IF($B31&gt;H$2,0,$C$3*(Datos!$C$14)^(Stock!H$2-Stock!$B31)*Datos!$C$15^Stock!$B31)</f>
        <v>0</v>
      </c>
      <c r="I31">
        <f>IF($B31&gt;I$2,0,$C$3*(Datos!$C$14)^(Stock!I$2-Stock!$B31)*Datos!$C$15^Stock!$B31)</f>
        <v>0</v>
      </c>
      <c r="J31">
        <f>IF($B31&gt;J$2,0,$C$3*(Datos!$C$14)^(Stock!J$2-Stock!$B31)*Datos!$C$15^Stock!$B31)</f>
        <v>0</v>
      </c>
      <c r="K31">
        <f>IF($B31&gt;K$2,0,$C$3*(Datos!$C$14)^(Stock!K$2-Stock!$B31)*Datos!$C$15^Stock!$B31)</f>
        <v>0</v>
      </c>
      <c r="L31">
        <f>IF($B31&gt;L$2,0,$C$3*(Datos!$C$14)^(Stock!L$2-Stock!$B31)*Datos!$C$15^Stock!$B31)</f>
        <v>0</v>
      </c>
      <c r="M31">
        <f>IF($B31&gt;M$2,0,$C$3*(Datos!$C$14)^(Stock!M$2-Stock!$B31)*Datos!$C$15^Stock!$B31)</f>
        <v>0</v>
      </c>
      <c r="N31">
        <f>IF($B31&gt;N$2,0,$C$3*(Datos!$C$14)^(Stock!N$2-Stock!$B31)*Datos!$C$15^Stock!$B31)</f>
        <v>0</v>
      </c>
      <c r="O31">
        <f>IF($B31&gt;O$2,0,$C$3*(Datos!$C$14)^(Stock!O$2-Stock!$B31)*Datos!$C$15^Stock!$B31)</f>
        <v>0</v>
      </c>
      <c r="P31">
        <f>IF($B31&gt;P$2,0,$C$3*(Datos!$C$14)^(Stock!P$2-Stock!$B31)*Datos!$C$15^Stock!$B31)</f>
        <v>0</v>
      </c>
      <c r="Q31">
        <f>IF($B31&gt;Q$2,0,$C$3*(Datos!$C$14)^(Stock!Q$2-Stock!$B31)*Datos!$C$15^Stock!$B31)</f>
        <v>0</v>
      </c>
      <c r="R31">
        <f>IF($B31&gt;R$2,0,$C$3*(Datos!$C$14)^(Stock!R$2-Stock!$B31)*Datos!$C$15^Stock!$B31)</f>
        <v>0</v>
      </c>
      <c r="S31">
        <f>IF($B31&gt;S$2,0,$C$3*(Datos!$C$14)^(Stock!S$2-Stock!$B31)*Datos!$C$15^Stock!$B31)</f>
        <v>0</v>
      </c>
      <c r="T31">
        <f>IF($B31&gt;T$2,0,$C$3*(Datos!$C$14)^(Stock!T$2-Stock!$B31)*Datos!$C$15^Stock!$B31)</f>
        <v>0</v>
      </c>
      <c r="U31">
        <f>IF($B31&gt;U$2,0,$C$3*(Datos!$C$14)^(Stock!U$2-Stock!$B31)*Datos!$C$15^Stock!$B31)</f>
        <v>0</v>
      </c>
      <c r="V31">
        <f>IF($B31&gt;V$2,0,$C$3*(Datos!$C$14)^(Stock!V$2-Stock!$B31)*Datos!$C$15^Stock!$B31)</f>
        <v>0</v>
      </c>
      <c r="W31">
        <f>IF($B31&gt;W$2,0,$C$3*(Datos!$C$14)^(Stock!W$2-Stock!$B31)*Datos!$C$15^Stock!$B31)</f>
        <v>0</v>
      </c>
      <c r="X31">
        <f>IF($B31&gt;X$2,0,$C$3*(Datos!$C$14)^(Stock!X$2-Stock!$B31)*Datos!$C$15^Stock!$B31)</f>
        <v>0</v>
      </c>
      <c r="Y31">
        <f>IF($B31&gt;Y$2,0,$C$3*(Datos!$C$14)^(Stock!Y$2-Stock!$B31)*Datos!$C$15^Stock!$B31)</f>
        <v>0</v>
      </c>
      <c r="Z31">
        <f>IF($B31&gt;Z$2,0,$C$3*(Datos!$C$14)^(Stock!Z$2-Stock!$B31)*Datos!$C$15^Stock!$B31)</f>
        <v>0</v>
      </c>
      <c r="AA31">
        <f>IF($B31&gt;AA$2,0,$C$3*(Datos!$C$14)^(Stock!AA$2-Stock!$B31)*Datos!$C$15^Stock!$B31)</f>
        <v>0</v>
      </c>
      <c r="AB31">
        <f>IF($B31&gt;AB$2,0,$C$3*(Datos!$C$14)^(Stock!AB$2-Stock!$B31)*Datos!$C$15^Stock!$B31)</f>
        <v>0</v>
      </c>
      <c r="AC31">
        <f>IF($B31&gt;AC$2,0,$C$3*(Datos!$C$14)^(Stock!AC$2-Stock!$B31)*Datos!$C$15^Stock!$B31)</f>
        <v>0</v>
      </c>
      <c r="AD31">
        <f>IF($B31&gt;AD$2,0,$C$3*(Datos!$C$14)^(Stock!AD$2-Stock!$B31)*Datos!$C$15^Stock!$B31)</f>
        <v>0</v>
      </c>
      <c r="AE31">
        <f>IF($B31&gt;AE$2,0,$C$3*(Datos!$C$14)^(Stock!AE$2-Stock!$B31)*Datos!$C$15^Stock!$B31)</f>
        <v>2.5076556902535962E-2</v>
      </c>
      <c r="AF31">
        <f>IF($B31&gt;AF$2,0,$C$3*(Datos!$C$14)^(Stock!AF$2-Stock!$B31)*Datos!$C$15^Stock!$B31)</f>
        <v>4.497907989552654E-2</v>
      </c>
      <c r="AG31">
        <f>IF($B31&gt;AG$2,0,$C$3*(Datos!$C$14)^(Stock!AG$2-Stock!$B31)*Datos!$C$15^Stock!$B31)</f>
        <v>8.0677647896851584E-2</v>
      </c>
      <c r="AH31">
        <f>IF($B31&gt;AH$2,0,$C$3*(Datos!$C$14)^(Stock!AH$2-Stock!$B31)*Datos!$C$15^Stock!$B31)</f>
        <v>0.14470911555520086</v>
      </c>
      <c r="AI31">
        <f>IF($B31&gt;AI$2,0,$C$3*(Datos!$C$14)^(Stock!AI$2-Stock!$B31)*Datos!$C$15^Stock!$B31)</f>
        <v>0.25956046898568147</v>
      </c>
      <c r="AJ31">
        <f>IF($B31&gt;AJ$2,0,$C$3*(Datos!$C$14)^(Stock!AJ$2-Stock!$B31)*Datos!$C$15^Stock!$B31)</f>
        <v>0.46556595140246887</v>
      </c>
      <c r="AK31">
        <f>IF($B31&gt;AK$2,0,$C$3*(Datos!$C$14)^(Stock!AK$2-Stock!$B31)*Datos!$C$15^Stock!$B31)</f>
        <v>0.83507190425535505</v>
      </c>
      <c r="AL31">
        <f>IF($B31&gt;AL$2,0,$C$3*(Datos!$C$14)^(Stock!AL$2-Stock!$B31)*Datos!$C$15^Stock!$B31)</f>
        <v>1.4978438246525232</v>
      </c>
      <c r="AM31">
        <f>IF($B31&gt;AM$2,0,$C$3*(Datos!$C$14)^(Stock!AM$2-Stock!$B31)*Datos!$C$15^Stock!$B31)</f>
        <v>2.6866382542833733</v>
      </c>
      <c r="AN31">
        <f>IF($B31&gt;AN$2,0,$C$3*(Datos!$C$14)^(Stock!AN$2-Stock!$B31)*Datos!$C$15^Stock!$B31)</f>
        <v>4.8189437313688437</v>
      </c>
      <c r="AO31">
        <f>IF($B31&gt;AO$2,0,$C$3*(Datos!$C$14)^(Stock!AO$2-Stock!$B31)*Datos!$C$15^Stock!$B31)</f>
        <v>8.6435971233102649</v>
      </c>
      <c r="AP31">
        <f>IF($B31&gt;AP$2,0,$C$3*(Datos!$C$14)^(Stock!AP$2-Stock!$B31)*Datos!$C$15^Stock!$B31)</f>
        <v>15.503765014677864</v>
      </c>
      <c r="AQ31">
        <f>IF($B31&gt;AQ$2,0,$C$3*(Datos!$C$14)^(Stock!AQ$2-Stock!$B31)*Datos!$C$15^Stock!$B31)</f>
        <v>27.808645660048459</v>
      </c>
      <c r="AR31">
        <f>IF($B31&gt;AR$2,0,$C$3*(Datos!$C$14)^(Stock!AR$2-Stock!$B31)*Datos!$C$15^Stock!$B31)</f>
        <v>49.879546852910025</v>
      </c>
      <c r="AS31">
        <f>IF($B31&gt;AS$2,0,$C$3*(Datos!$C$14)^(Stock!AS$2-Stock!$B31)*Datos!$C$15^Stock!$B31)</f>
        <v>89.467470824226794</v>
      </c>
      <c r="AT31">
        <f>IF($B31&gt;AT$2,0,$C$3*(Datos!$C$14)^(Stock!AT$2-Stock!$B31)*Datos!$C$15^Stock!$B31)</f>
        <v>160.47516147827409</v>
      </c>
      <c r="AU31">
        <f>IF($B31&gt;AU$2,0,$C$3*(Datos!$C$14)^(Stock!AU$2-Stock!$B31)*Datos!$C$15^Stock!$B31)</f>
        <v>287.83956016899845</v>
      </c>
      <c r="AV31">
        <f>IF($B31&gt;AV$2,0,$C$3*(Datos!$C$14)^(Stock!AV$2-Stock!$B31)*Datos!$C$15^Stock!$B31)</f>
        <v>516.28932250365312</v>
      </c>
      <c r="AW31">
        <f>IF($B31&gt;AW$2,0,$C$3*(Datos!$C$14)^(Stock!AW$2-Stock!$B31)*Datos!$C$15^Stock!$B31)</f>
        <v>926.05291772534554</v>
      </c>
      <c r="AX31">
        <f>IF($B31&gt;AX$2,0,$C$3*(Datos!$C$14)^(Stock!AX$2-Stock!$B31)*Datos!$C$15^Stock!$B31)</f>
        <v>1661.0337828971035</v>
      </c>
      <c r="AY31">
        <f>IF($B31&gt;AY$2,0,$C$3*(Datos!$C$14)^(Stock!AY$2-Stock!$B31)*Datos!$C$15^Stock!$B31)</f>
        <v>2979.3472652755604</v>
      </c>
      <c r="AZ31">
        <f>IF($B31&gt;AZ$2,0,$C$3*(Datos!$C$14)^(Stock!AZ$2-Stock!$B31)*Datos!$C$15^Stock!$B31)</f>
        <v>5343.9672440755157</v>
      </c>
      <c r="BA31">
        <f>IF($B31&gt;BA$2,0,$C$3*(Datos!$C$14)^(Stock!BA$2-Stock!$B31)*Datos!$C$15^Stock!$B31)</f>
        <v>9585.3163001831927</v>
      </c>
    </row>
    <row r="32" spans="2:53" x14ac:dyDescent="0.25">
      <c r="B32">
        <v>29</v>
      </c>
      <c r="D32">
        <f>IF($B32&gt;D$2,0,$C$3*(Datos!$C$14)^(Stock!D$2-Stock!$B32)*Datos!$C$15^Stock!$B32)</f>
        <v>0</v>
      </c>
      <c r="E32">
        <f>IF($B32&gt;E$2,0,$C$3*(Datos!$C$14)^(Stock!E$2-Stock!$B32)*Datos!$C$15^Stock!$B32)</f>
        <v>0</v>
      </c>
      <c r="F32">
        <f>IF($B32&gt;F$2,0,$C$3*(Datos!$C$14)^(Stock!F$2-Stock!$B32)*Datos!$C$15^Stock!$B32)</f>
        <v>0</v>
      </c>
      <c r="G32">
        <f>IF($B32&gt;G$2,0,$C$3*(Datos!$C$14)^(Stock!G$2-Stock!$B32)*Datos!$C$15^Stock!$B32)</f>
        <v>0</v>
      </c>
      <c r="H32">
        <f>IF($B32&gt;H$2,0,$C$3*(Datos!$C$14)^(Stock!H$2-Stock!$B32)*Datos!$C$15^Stock!$B32)</f>
        <v>0</v>
      </c>
      <c r="I32">
        <f>IF($B32&gt;I$2,0,$C$3*(Datos!$C$14)^(Stock!I$2-Stock!$B32)*Datos!$C$15^Stock!$B32)</f>
        <v>0</v>
      </c>
      <c r="J32">
        <f>IF($B32&gt;J$2,0,$C$3*(Datos!$C$14)^(Stock!J$2-Stock!$B32)*Datos!$C$15^Stock!$B32)</f>
        <v>0</v>
      </c>
      <c r="K32">
        <f>IF($B32&gt;K$2,0,$C$3*(Datos!$C$14)^(Stock!K$2-Stock!$B32)*Datos!$C$15^Stock!$B32)</f>
        <v>0</v>
      </c>
      <c r="L32">
        <f>IF($B32&gt;L$2,0,$C$3*(Datos!$C$14)^(Stock!L$2-Stock!$B32)*Datos!$C$15^Stock!$B32)</f>
        <v>0</v>
      </c>
      <c r="M32">
        <f>IF($B32&gt;M$2,0,$C$3*(Datos!$C$14)^(Stock!M$2-Stock!$B32)*Datos!$C$15^Stock!$B32)</f>
        <v>0</v>
      </c>
      <c r="N32">
        <f>IF($B32&gt;N$2,0,$C$3*(Datos!$C$14)^(Stock!N$2-Stock!$B32)*Datos!$C$15^Stock!$B32)</f>
        <v>0</v>
      </c>
      <c r="O32">
        <f>IF($B32&gt;O$2,0,$C$3*(Datos!$C$14)^(Stock!O$2-Stock!$B32)*Datos!$C$15^Stock!$B32)</f>
        <v>0</v>
      </c>
      <c r="P32">
        <f>IF($B32&gt;P$2,0,$C$3*(Datos!$C$14)^(Stock!P$2-Stock!$B32)*Datos!$C$15^Stock!$B32)</f>
        <v>0</v>
      </c>
      <c r="Q32">
        <f>IF($B32&gt;Q$2,0,$C$3*(Datos!$C$14)^(Stock!Q$2-Stock!$B32)*Datos!$C$15^Stock!$B32)</f>
        <v>0</v>
      </c>
      <c r="R32">
        <f>IF($B32&gt;R$2,0,$C$3*(Datos!$C$14)^(Stock!R$2-Stock!$B32)*Datos!$C$15^Stock!$B32)</f>
        <v>0</v>
      </c>
      <c r="S32">
        <f>IF($B32&gt;S$2,0,$C$3*(Datos!$C$14)^(Stock!S$2-Stock!$B32)*Datos!$C$15^Stock!$B32)</f>
        <v>0</v>
      </c>
      <c r="T32">
        <f>IF($B32&gt;T$2,0,$C$3*(Datos!$C$14)^(Stock!T$2-Stock!$B32)*Datos!$C$15^Stock!$B32)</f>
        <v>0</v>
      </c>
      <c r="U32">
        <f>IF($B32&gt;U$2,0,$C$3*(Datos!$C$14)^(Stock!U$2-Stock!$B32)*Datos!$C$15^Stock!$B32)</f>
        <v>0</v>
      </c>
      <c r="V32">
        <f>IF($B32&gt;V$2,0,$C$3*(Datos!$C$14)^(Stock!V$2-Stock!$B32)*Datos!$C$15^Stock!$B32)</f>
        <v>0</v>
      </c>
      <c r="W32">
        <f>IF($B32&gt;W$2,0,$C$3*(Datos!$C$14)^(Stock!W$2-Stock!$B32)*Datos!$C$15^Stock!$B32)</f>
        <v>0</v>
      </c>
      <c r="X32">
        <f>IF($B32&gt;X$2,0,$C$3*(Datos!$C$14)^(Stock!X$2-Stock!$B32)*Datos!$C$15^Stock!$B32)</f>
        <v>0</v>
      </c>
      <c r="Y32">
        <f>IF($B32&gt;Y$2,0,$C$3*(Datos!$C$14)^(Stock!Y$2-Stock!$B32)*Datos!$C$15^Stock!$B32)</f>
        <v>0</v>
      </c>
      <c r="Z32">
        <f>IF($B32&gt;Z$2,0,$C$3*(Datos!$C$14)^(Stock!Z$2-Stock!$B32)*Datos!$C$15^Stock!$B32)</f>
        <v>0</v>
      </c>
      <c r="AA32">
        <f>IF($B32&gt;AA$2,0,$C$3*(Datos!$C$14)^(Stock!AA$2-Stock!$B32)*Datos!$C$15^Stock!$B32)</f>
        <v>0</v>
      </c>
      <c r="AB32">
        <f>IF($B32&gt;AB$2,0,$C$3*(Datos!$C$14)^(Stock!AB$2-Stock!$B32)*Datos!$C$15^Stock!$B32)</f>
        <v>0</v>
      </c>
      <c r="AC32">
        <f>IF($B32&gt;AC$2,0,$C$3*(Datos!$C$14)^(Stock!AC$2-Stock!$B32)*Datos!$C$15^Stock!$B32)</f>
        <v>0</v>
      </c>
      <c r="AD32">
        <f>IF($B32&gt;AD$2,0,$C$3*(Datos!$C$14)^(Stock!AD$2-Stock!$B32)*Datos!$C$15^Stock!$B32)</f>
        <v>0</v>
      </c>
      <c r="AE32">
        <f>IF($B32&gt;AE$2,0,$C$3*(Datos!$C$14)^(Stock!AE$2-Stock!$B32)*Datos!$C$15^Stock!$B32)</f>
        <v>0</v>
      </c>
      <c r="AF32">
        <f>IF($B32&gt;AF$2,0,$C$3*(Datos!$C$14)^(Stock!AF$2-Stock!$B32)*Datos!$C$15^Stock!$B32)</f>
        <v>1.9253047368085578E-2</v>
      </c>
      <c r="AG32">
        <f>IF($B32&gt;AG$2,0,$C$3*(Datos!$C$14)^(Stock!AG$2-Stock!$B32)*Datos!$C$15^Stock!$B32)</f>
        <v>3.4533622744432758E-2</v>
      </c>
      <c r="AH32">
        <f>IF($B32&gt;AH$2,0,$C$3*(Datos!$C$14)^(Stock!AH$2-Stock!$B32)*Datos!$C$15^Stock!$B32)</f>
        <v>6.1941939738414845E-2</v>
      </c>
      <c r="AI32">
        <f>IF($B32&gt;AI$2,0,$C$3*(Datos!$C$14)^(Stock!AI$2-Stock!$B32)*Datos!$C$15^Stock!$B32)</f>
        <v>0.11110342888007475</v>
      </c>
      <c r="AJ32">
        <f>IF($B32&gt;AJ$2,0,$C$3*(Datos!$C$14)^(Stock!AJ$2-Stock!$B32)*Datos!$C$15^Stock!$B32)</f>
        <v>0.19928294078356742</v>
      </c>
      <c r="AK32">
        <f>IF($B32&gt;AK$2,0,$C$3*(Datos!$C$14)^(Stock!AK$2-Stock!$B32)*Datos!$C$15^Stock!$B32)</f>
        <v>0.35744792836424399</v>
      </c>
      <c r="AL32">
        <f>IF($B32&gt;AL$2,0,$C$3*(Datos!$C$14)^(Stock!AL$2-Stock!$B32)*Datos!$C$15^Stock!$B32)</f>
        <v>0.64114379780582476</v>
      </c>
      <c r="AM32">
        <f>IF($B32&gt;AM$2,0,$C$3*(Datos!$C$14)^(Stock!AM$2-Stock!$B32)*Datos!$C$15^Stock!$B32)</f>
        <v>1.1500007045669474</v>
      </c>
      <c r="AN32">
        <f>IF($B32&gt;AN$2,0,$C$3*(Datos!$C$14)^(Stock!AN$2-Stock!$B32)*Datos!$C$15^Stock!$B32)</f>
        <v>2.0627223175681486</v>
      </c>
      <c r="AO32">
        <f>IF($B32&gt;AO$2,0,$C$3*(Datos!$C$14)^(Stock!AO$2-Stock!$B32)*Datos!$C$15^Stock!$B32)</f>
        <v>3.6998441327007203</v>
      </c>
      <c r="AP32">
        <f>IF($B32&gt;AP$2,0,$C$3*(Datos!$C$14)^(Stock!AP$2-Stock!$B32)*Datos!$C$15^Stock!$B32)</f>
        <v>6.6363012072407503</v>
      </c>
      <c r="AQ32">
        <f>IF($B32&gt;AQ$2,0,$C$3*(Datos!$C$14)^(Stock!AQ$2-Stock!$B32)*Datos!$C$15^Stock!$B32)</f>
        <v>11.903337582244975</v>
      </c>
      <c r="AR32">
        <f>IF($B32&gt;AR$2,0,$C$3*(Datos!$C$14)^(Stock!AR$2-Stock!$B32)*Datos!$C$15^Stock!$B32)</f>
        <v>21.350665253453354</v>
      </c>
      <c r="AS32">
        <f>IF($B32&gt;AS$2,0,$C$3*(Datos!$C$14)^(Stock!AS$2-Stock!$B32)*Datos!$C$15^Stock!$B32)</f>
        <v>38.296058027033347</v>
      </c>
      <c r="AT32">
        <f>IF($B32&gt;AT$2,0,$C$3*(Datos!$C$14)^(Stock!AT$2-Stock!$B32)*Datos!$C$15^Stock!$B32)</f>
        <v>68.690508843638597</v>
      </c>
      <c r="AU32">
        <f>IF($B32&gt;AU$2,0,$C$3*(Datos!$C$14)^(Stock!AU$2-Stock!$B32)*Datos!$C$15^Stock!$B32)</f>
        <v>123.20813807695993</v>
      </c>
      <c r="AV32">
        <f>IF($B32&gt;AV$2,0,$C$3*(Datos!$C$14)^(Stock!AV$2-Stock!$B32)*Datos!$C$15^Stock!$B32)</f>
        <v>220.99480035802728</v>
      </c>
      <c r="AW32">
        <f>IF($B32&gt;AW$2,0,$C$3*(Datos!$C$14)^(Stock!AW$2-Stock!$B32)*Datos!$C$15^Stock!$B32)</f>
        <v>396.39184998297793</v>
      </c>
      <c r="AX32">
        <f>IF($B32&gt;AX$2,0,$C$3*(Datos!$C$14)^(Stock!AX$2-Stock!$B32)*Datos!$C$15^Stock!$B32)</f>
        <v>710.99636044998169</v>
      </c>
      <c r="AY32">
        <f>IF($B32&gt;AY$2,0,$C$3*(Datos!$C$14)^(Stock!AY$2-Stock!$B32)*Datos!$C$15^Stock!$B32)</f>
        <v>1275.293184243895</v>
      </c>
      <c r="AZ32">
        <f>IF($B32&gt;AZ$2,0,$C$3*(Datos!$C$14)^(Stock!AZ$2-Stock!$B32)*Datos!$C$15^Stock!$B32)</f>
        <v>2287.4557399275855</v>
      </c>
      <c r="BA32">
        <f>IF($B32&gt;BA$2,0,$C$3*(Datos!$C$14)^(Stock!BA$2-Stock!$B32)*Datos!$C$15^Stock!$B32)</f>
        <v>4102.9418386093803</v>
      </c>
    </row>
    <row r="33" spans="2:53" x14ac:dyDescent="0.25">
      <c r="B33">
        <v>30</v>
      </c>
      <c r="D33">
        <f>IF($B33&gt;D$2,0,$C$3*(Datos!$C$14)^(Stock!D$2-Stock!$B33)*Datos!$C$15^Stock!$B33)</f>
        <v>0</v>
      </c>
      <c r="E33">
        <f>IF($B33&gt;E$2,0,$C$3*(Datos!$C$14)^(Stock!E$2-Stock!$B33)*Datos!$C$15^Stock!$B33)</f>
        <v>0</v>
      </c>
      <c r="F33">
        <f>IF($B33&gt;F$2,0,$C$3*(Datos!$C$14)^(Stock!F$2-Stock!$B33)*Datos!$C$15^Stock!$B33)</f>
        <v>0</v>
      </c>
      <c r="G33">
        <f>IF($B33&gt;G$2,0,$C$3*(Datos!$C$14)^(Stock!G$2-Stock!$B33)*Datos!$C$15^Stock!$B33)</f>
        <v>0</v>
      </c>
      <c r="H33">
        <f>IF($B33&gt;H$2,0,$C$3*(Datos!$C$14)^(Stock!H$2-Stock!$B33)*Datos!$C$15^Stock!$B33)</f>
        <v>0</v>
      </c>
      <c r="I33">
        <f>IF($B33&gt;I$2,0,$C$3*(Datos!$C$14)^(Stock!I$2-Stock!$B33)*Datos!$C$15^Stock!$B33)</f>
        <v>0</v>
      </c>
      <c r="J33">
        <f>IF($B33&gt;J$2,0,$C$3*(Datos!$C$14)^(Stock!J$2-Stock!$B33)*Datos!$C$15^Stock!$B33)</f>
        <v>0</v>
      </c>
      <c r="K33">
        <f>IF($B33&gt;K$2,0,$C$3*(Datos!$C$14)^(Stock!K$2-Stock!$B33)*Datos!$C$15^Stock!$B33)</f>
        <v>0</v>
      </c>
      <c r="L33">
        <f>IF($B33&gt;L$2,0,$C$3*(Datos!$C$14)^(Stock!L$2-Stock!$B33)*Datos!$C$15^Stock!$B33)</f>
        <v>0</v>
      </c>
      <c r="M33">
        <f>IF($B33&gt;M$2,0,$C$3*(Datos!$C$14)^(Stock!M$2-Stock!$B33)*Datos!$C$15^Stock!$B33)</f>
        <v>0</v>
      </c>
      <c r="N33">
        <f>IF($B33&gt;N$2,0,$C$3*(Datos!$C$14)^(Stock!N$2-Stock!$B33)*Datos!$C$15^Stock!$B33)</f>
        <v>0</v>
      </c>
      <c r="O33">
        <f>IF($B33&gt;O$2,0,$C$3*(Datos!$C$14)^(Stock!O$2-Stock!$B33)*Datos!$C$15^Stock!$B33)</f>
        <v>0</v>
      </c>
      <c r="P33">
        <f>IF($B33&gt;P$2,0,$C$3*(Datos!$C$14)^(Stock!P$2-Stock!$B33)*Datos!$C$15^Stock!$B33)</f>
        <v>0</v>
      </c>
      <c r="Q33">
        <f>IF($B33&gt;Q$2,0,$C$3*(Datos!$C$14)^(Stock!Q$2-Stock!$B33)*Datos!$C$15^Stock!$B33)</f>
        <v>0</v>
      </c>
      <c r="R33">
        <f>IF($B33&gt;R$2,0,$C$3*(Datos!$C$14)^(Stock!R$2-Stock!$B33)*Datos!$C$15^Stock!$B33)</f>
        <v>0</v>
      </c>
      <c r="S33">
        <f>IF($B33&gt;S$2,0,$C$3*(Datos!$C$14)^(Stock!S$2-Stock!$B33)*Datos!$C$15^Stock!$B33)</f>
        <v>0</v>
      </c>
      <c r="T33">
        <f>IF($B33&gt;T$2,0,$C$3*(Datos!$C$14)^(Stock!T$2-Stock!$B33)*Datos!$C$15^Stock!$B33)</f>
        <v>0</v>
      </c>
      <c r="U33">
        <f>IF($B33&gt;U$2,0,$C$3*(Datos!$C$14)^(Stock!U$2-Stock!$B33)*Datos!$C$15^Stock!$B33)</f>
        <v>0</v>
      </c>
      <c r="V33">
        <f>IF($B33&gt;V$2,0,$C$3*(Datos!$C$14)^(Stock!V$2-Stock!$B33)*Datos!$C$15^Stock!$B33)</f>
        <v>0</v>
      </c>
      <c r="W33">
        <f>IF($B33&gt;W$2,0,$C$3*(Datos!$C$14)^(Stock!W$2-Stock!$B33)*Datos!$C$15^Stock!$B33)</f>
        <v>0</v>
      </c>
      <c r="X33">
        <f>IF($B33&gt;X$2,0,$C$3*(Datos!$C$14)^(Stock!X$2-Stock!$B33)*Datos!$C$15^Stock!$B33)</f>
        <v>0</v>
      </c>
      <c r="Y33">
        <f>IF($B33&gt;Y$2,0,$C$3*(Datos!$C$14)^(Stock!Y$2-Stock!$B33)*Datos!$C$15^Stock!$B33)</f>
        <v>0</v>
      </c>
      <c r="Z33">
        <f>IF($B33&gt;Z$2,0,$C$3*(Datos!$C$14)^(Stock!Z$2-Stock!$B33)*Datos!$C$15^Stock!$B33)</f>
        <v>0</v>
      </c>
      <c r="AA33">
        <f>IF($B33&gt;AA$2,0,$C$3*(Datos!$C$14)^(Stock!AA$2-Stock!$B33)*Datos!$C$15^Stock!$B33)</f>
        <v>0</v>
      </c>
      <c r="AB33">
        <f>IF($B33&gt;AB$2,0,$C$3*(Datos!$C$14)^(Stock!AB$2-Stock!$B33)*Datos!$C$15^Stock!$B33)</f>
        <v>0</v>
      </c>
      <c r="AC33">
        <f>IF($B33&gt;AC$2,0,$C$3*(Datos!$C$14)^(Stock!AC$2-Stock!$B33)*Datos!$C$15^Stock!$B33)</f>
        <v>0</v>
      </c>
      <c r="AD33">
        <f>IF($B33&gt;AD$2,0,$C$3*(Datos!$C$14)^(Stock!AD$2-Stock!$B33)*Datos!$C$15^Stock!$B33)</f>
        <v>0</v>
      </c>
      <c r="AE33">
        <f>IF($B33&gt;AE$2,0,$C$3*(Datos!$C$14)^(Stock!AE$2-Stock!$B33)*Datos!$C$15^Stock!$B33)</f>
        <v>0</v>
      </c>
      <c r="AF33">
        <f>IF($B33&gt;AF$2,0,$C$3*(Datos!$C$14)^(Stock!AF$2-Stock!$B33)*Datos!$C$15^Stock!$B33)</f>
        <v>0</v>
      </c>
      <c r="AG33">
        <f>IF($B33&gt;AG$2,0,$C$3*(Datos!$C$14)^(Stock!AG$2-Stock!$B33)*Datos!$C$15^Stock!$B33)</f>
        <v>1.4781926976596244E-2</v>
      </c>
      <c r="AH33">
        <f>IF($B33&gt;AH$2,0,$C$3*(Datos!$C$14)^(Stock!AH$2-Stock!$B33)*Datos!$C$15^Stock!$B33)</f>
        <v>2.6513906078665977E-2</v>
      </c>
      <c r="AI33">
        <f>IF($B33&gt;AI$2,0,$C$3*(Datos!$C$14)^(Stock!AI$2-Stock!$B33)*Datos!$C$15^Stock!$B33)</f>
        <v>4.7557210684462038E-2</v>
      </c>
      <c r="AJ33">
        <f>IF($B33&gt;AJ$2,0,$C$3*(Datos!$C$14)^(Stock!AJ$2-Stock!$B33)*Datos!$C$15^Stock!$B33)</f>
        <v>8.5301964990595822E-2</v>
      </c>
      <c r="AK33">
        <f>IF($B33&gt;AK$2,0,$C$3*(Datos!$C$14)^(Stock!AK$2-Stock!$B33)*Datos!$C$15^Stock!$B33)</f>
        <v>0.15300361662367634</v>
      </c>
      <c r="AL33">
        <f>IF($B33&gt;AL$2,0,$C$3*(Datos!$C$14)^(Stock!AL$2-Stock!$B33)*Datos!$C$15^Stock!$B33)</f>
        <v>0.27443807071156912</v>
      </c>
      <c r="AM33">
        <f>IF($B33&gt;AM$2,0,$C$3*(Datos!$C$14)^(Stock!AM$2-Stock!$B33)*Datos!$C$15^Stock!$B33)</f>
        <v>0.49225146645477064</v>
      </c>
      <c r="AN33">
        <f>IF($B33&gt;AN$2,0,$C$3*(Datos!$C$14)^(Stock!AN$2-Stock!$B33)*Datos!$C$15^Stock!$B33)</f>
        <v>0.88293692489020026</v>
      </c>
      <c r="AO33">
        <f>IF($B33&gt;AO$2,0,$C$3*(Datos!$C$14)^(Stock!AO$2-Stock!$B33)*Datos!$C$15^Stock!$B33)</f>
        <v>1.5836978992650557</v>
      </c>
      <c r="AP33">
        <f>IF($B33&gt;AP$2,0,$C$3*(Datos!$C$14)^(Stock!AP$2-Stock!$B33)*Datos!$C$15^Stock!$B33)</f>
        <v>2.8406321736385087</v>
      </c>
      <c r="AQ33">
        <f>IF($B33&gt;AQ$2,0,$C$3*(Datos!$C$14)^(Stock!AQ$2-Stock!$B33)*Datos!$C$15^Stock!$B33)</f>
        <v>5.0951580788576507</v>
      </c>
      <c r="AR33">
        <f>IF($B33&gt;AR$2,0,$C$3*(Datos!$C$14)^(Stock!AR$2-Stock!$B33)*Datos!$C$15^Stock!$B33)</f>
        <v>9.1390346449874666</v>
      </c>
      <c r="AS33">
        <f>IF($B33&gt;AS$2,0,$C$3*(Datos!$C$14)^(Stock!AS$2-Stock!$B33)*Datos!$C$15^Stock!$B33)</f>
        <v>16.392416672773201</v>
      </c>
      <c r="AT33">
        <f>IF($B33&gt;AT$2,0,$C$3*(Datos!$C$14)^(Stock!AT$2-Stock!$B33)*Datos!$C$15^Stock!$B33)</f>
        <v>29.402593907573614</v>
      </c>
      <c r="AU33">
        <f>IF($B33&gt;AU$2,0,$C$3*(Datos!$C$14)^(Stock!AU$2-Stock!$B33)*Datos!$C$15^Stock!$B33)</f>
        <v>52.738564773648505</v>
      </c>
      <c r="AV33">
        <f>IF($B33&gt;AV$2,0,$C$3*(Datos!$C$14)^(Stock!AV$2-Stock!$B33)*Datos!$C$15^Stock!$B33)</f>
        <v>94.595606874939321</v>
      </c>
      <c r="AW33">
        <f>IF($B33&gt;AW$2,0,$C$3*(Datos!$C$14)^(Stock!AW$2-Stock!$B33)*Datos!$C$15^Stock!$B33)</f>
        <v>169.67334773791973</v>
      </c>
      <c r="AX33">
        <f>IF($B33&gt;AX$2,0,$C$3*(Datos!$C$14)^(Stock!AX$2-Stock!$B33)*Datos!$C$15^Stock!$B33)</f>
        <v>304.33807534692124</v>
      </c>
      <c r="AY33">
        <f>IF($B33&gt;AY$2,0,$C$3*(Datos!$C$14)^(Stock!AY$2-Stock!$B33)*Datos!$C$15^Stock!$B33)</f>
        <v>545.88222216805252</v>
      </c>
      <c r="AZ33">
        <f>IF($B33&gt;AZ$2,0,$C$3*(Datos!$C$14)^(Stock!AZ$2-Stock!$B33)*Datos!$C$15^Stock!$B33)</f>
        <v>979.13282831748563</v>
      </c>
      <c r="BA33">
        <f>IF($B33&gt;BA$2,0,$C$3*(Datos!$C$14)^(Stock!BA$2-Stock!$B33)*Datos!$C$15^Stock!$B33)</f>
        <v>1756.2416516906787</v>
      </c>
    </row>
    <row r="34" spans="2:53" x14ac:dyDescent="0.25">
      <c r="B34">
        <v>31</v>
      </c>
      <c r="D34">
        <f>IF($B34&gt;D$2,0,$C$3*(Datos!$C$14)^(Stock!D$2-Stock!$B34)*Datos!$C$15^Stock!$B34)</f>
        <v>0</v>
      </c>
      <c r="E34">
        <f>IF($B34&gt;E$2,0,$C$3*(Datos!$C$14)^(Stock!E$2-Stock!$B34)*Datos!$C$15^Stock!$B34)</f>
        <v>0</v>
      </c>
      <c r="F34">
        <f>IF($B34&gt;F$2,0,$C$3*(Datos!$C$14)^(Stock!F$2-Stock!$B34)*Datos!$C$15^Stock!$B34)</f>
        <v>0</v>
      </c>
      <c r="G34">
        <f>IF($B34&gt;G$2,0,$C$3*(Datos!$C$14)^(Stock!G$2-Stock!$B34)*Datos!$C$15^Stock!$B34)</f>
        <v>0</v>
      </c>
      <c r="H34">
        <f>IF($B34&gt;H$2,0,$C$3*(Datos!$C$14)^(Stock!H$2-Stock!$B34)*Datos!$C$15^Stock!$B34)</f>
        <v>0</v>
      </c>
      <c r="I34">
        <f>IF($B34&gt;I$2,0,$C$3*(Datos!$C$14)^(Stock!I$2-Stock!$B34)*Datos!$C$15^Stock!$B34)</f>
        <v>0</v>
      </c>
      <c r="J34">
        <f>IF($B34&gt;J$2,0,$C$3*(Datos!$C$14)^(Stock!J$2-Stock!$B34)*Datos!$C$15^Stock!$B34)</f>
        <v>0</v>
      </c>
      <c r="K34">
        <f>IF($B34&gt;K$2,0,$C$3*(Datos!$C$14)^(Stock!K$2-Stock!$B34)*Datos!$C$15^Stock!$B34)</f>
        <v>0</v>
      </c>
      <c r="L34">
        <f>IF($B34&gt;L$2,0,$C$3*(Datos!$C$14)^(Stock!L$2-Stock!$B34)*Datos!$C$15^Stock!$B34)</f>
        <v>0</v>
      </c>
      <c r="M34">
        <f>IF($B34&gt;M$2,0,$C$3*(Datos!$C$14)^(Stock!M$2-Stock!$B34)*Datos!$C$15^Stock!$B34)</f>
        <v>0</v>
      </c>
      <c r="N34">
        <f>IF($B34&gt;N$2,0,$C$3*(Datos!$C$14)^(Stock!N$2-Stock!$B34)*Datos!$C$15^Stock!$B34)</f>
        <v>0</v>
      </c>
      <c r="O34">
        <f>IF($B34&gt;O$2,0,$C$3*(Datos!$C$14)^(Stock!O$2-Stock!$B34)*Datos!$C$15^Stock!$B34)</f>
        <v>0</v>
      </c>
      <c r="P34">
        <f>IF($B34&gt;P$2,0,$C$3*(Datos!$C$14)^(Stock!P$2-Stock!$B34)*Datos!$C$15^Stock!$B34)</f>
        <v>0</v>
      </c>
      <c r="Q34">
        <f>IF($B34&gt;Q$2,0,$C$3*(Datos!$C$14)^(Stock!Q$2-Stock!$B34)*Datos!$C$15^Stock!$B34)</f>
        <v>0</v>
      </c>
      <c r="R34">
        <f>IF($B34&gt;R$2,0,$C$3*(Datos!$C$14)^(Stock!R$2-Stock!$B34)*Datos!$C$15^Stock!$B34)</f>
        <v>0</v>
      </c>
      <c r="S34">
        <f>IF($B34&gt;S$2,0,$C$3*(Datos!$C$14)^(Stock!S$2-Stock!$B34)*Datos!$C$15^Stock!$B34)</f>
        <v>0</v>
      </c>
      <c r="T34">
        <f>IF($B34&gt;T$2,0,$C$3*(Datos!$C$14)^(Stock!T$2-Stock!$B34)*Datos!$C$15^Stock!$B34)</f>
        <v>0</v>
      </c>
      <c r="U34">
        <f>IF($B34&gt;U$2,0,$C$3*(Datos!$C$14)^(Stock!U$2-Stock!$B34)*Datos!$C$15^Stock!$B34)</f>
        <v>0</v>
      </c>
      <c r="V34">
        <f>IF($B34&gt;V$2,0,$C$3*(Datos!$C$14)^(Stock!V$2-Stock!$B34)*Datos!$C$15^Stock!$B34)</f>
        <v>0</v>
      </c>
      <c r="W34">
        <f>IF($B34&gt;W$2,0,$C$3*(Datos!$C$14)^(Stock!W$2-Stock!$B34)*Datos!$C$15^Stock!$B34)</f>
        <v>0</v>
      </c>
      <c r="X34">
        <f>IF($B34&gt;X$2,0,$C$3*(Datos!$C$14)^(Stock!X$2-Stock!$B34)*Datos!$C$15^Stock!$B34)</f>
        <v>0</v>
      </c>
      <c r="Y34">
        <f>IF($B34&gt;Y$2,0,$C$3*(Datos!$C$14)^(Stock!Y$2-Stock!$B34)*Datos!$C$15^Stock!$B34)</f>
        <v>0</v>
      </c>
      <c r="Z34">
        <f>IF($B34&gt;Z$2,0,$C$3*(Datos!$C$14)^(Stock!Z$2-Stock!$B34)*Datos!$C$15^Stock!$B34)</f>
        <v>0</v>
      </c>
      <c r="AA34">
        <f>IF($B34&gt;AA$2,0,$C$3*(Datos!$C$14)^(Stock!AA$2-Stock!$B34)*Datos!$C$15^Stock!$B34)</f>
        <v>0</v>
      </c>
      <c r="AB34">
        <f>IF($B34&gt;AB$2,0,$C$3*(Datos!$C$14)^(Stock!AB$2-Stock!$B34)*Datos!$C$15^Stock!$B34)</f>
        <v>0</v>
      </c>
      <c r="AC34">
        <f>IF($B34&gt;AC$2,0,$C$3*(Datos!$C$14)^(Stock!AC$2-Stock!$B34)*Datos!$C$15^Stock!$B34)</f>
        <v>0</v>
      </c>
      <c r="AD34">
        <f>IF($B34&gt;AD$2,0,$C$3*(Datos!$C$14)^(Stock!AD$2-Stock!$B34)*Datos!$C$15^Stock!$B34)</f>
        <v>0</v>
      </c>
      <c r="AE34">
        <f>IF($B34&gt;AE$2,0,$C$3*(Datos!$C$14)^(Stock!AE$2-Stock!$B34)*Datos!$C$15^Stock!$B34)</f>
        <v>0</v>
      </c>
      <c r="AF34">
        <f>IF($B34&gt;AF$2,0,$C$3*(Datos!$C$14)^(Stock!AF$2-Stock!$B34)*Datos!$C$15^Stock!$B34)</f>
        <v>0</v>
      </c>
      <c r="AG34">
        <f>IF($B34&gt;AG$2,0,$C$3*(Datos!$C$14)^(Stock!AG$2-Stock!$B34)*Datos!$C$15^Stock!$B34)</f>
        <v>0</v>
      </c>
      <c r="AH34">
        <f>IF($B34&gt;AH$2,0,$C$3*(Datos!$C$14)^(Stock!AH$2-Stock!$B34)*Datos!$C$15^Stock!$B34)</f>
        <v>1.1349131436908256E-2</v>
      </c>
      <c r="AI34">
        <f>IF($B34&gt;AI$2,0,$C$3*(Datos!$C$14)^(Stock!AI$2-Stock!$B34)*Datos!$C$15^Stock!$B34)</f>
        <v>2.0356602049857363E-2</v>
      </c>
      <c r="AJ34">
        <f>IF($B34&gt;AJ$2,0,$C$3*(Datos!$C$14)^(Stock!AJ$2-Stock!$B34)*Datos!$C$15^Stock!$B34)</f>
        <v>3.6513036201926821E-2</v>
      </c>
      <c r="AK34">
        <f>IF($B34&gt;AK$2,0,$C$3*(Datos!$C$14)^(Stock!AK$2-Stock!$B34)*Datos!$C$15^Stock!$B34)</f>
        <v>6.5492355227947316E-2</v>
      </c>
      <c r="AL34">
        <f>IF($B34&gt;AL$2,0,$C$3*(Datos!$C$14)^(Stock!AL$2-Stock!$B34)*Datos!$C$15^Stock!$B34)</f>
        <v>0.11747170434096332</v>
      </c>
      <c r="AM34">
        <f>IF($B34&gt;AM$2,0,$C$3*(Datos!$C$14)^(Stock!AM$2-Stock!$B34)*Datos!$C$15^Stock!$B34)</f>
        <v>0.21070552849627933</v>
      </c>
      <c r="AN34">
        <f>IF($B34&gt;AN$2,0,$C$3*(Datos!$C$14)^(Stock!AN$2-Stock!$B34)*Datos!$C$15^Stock!$B34)</f>
        <v>0.37793628676769653</v>
      </c>
      <c r="AO34">
        <f>IF($B34&gt;AO$2,0,$C$3*(Datos!$C$14)^(Stock!AO$2-Stock!$B34)*Datos!$C$15^Stock!$B34)</f>
        <v>0.67789316148995471</v>
      </c>
      <c r="AP34">
        <f>IF($B34&gt;AP$2,0,$C$3*(Datos!$C$14)^(Stock!AP$2-Stock!$B34)*Datos!$C$15^Stock!$B34)</f>
        <v>1.2159169534237066</v>
      </c>
      <c r="AQ34">
        <f>IF($B34&gt;AQ$2,0,$C$3*(Datos!$C$14)^(Stock!AQ$2-Stock!$B34)*Datos!$C$15^Stock!$B34)</f>
        <v>2.1809543473984383</v>
      </c>
      <c r="AR34">
        <f>IF($B34&gt;AR$2,0,$C$3*(Datos!$C$14)^(Stock!AR$2-Stock!$B34)*Datos!$C$15^Stock!$B34)</f>
        <v>3.9119134345835902</v>
      </c>
      <c r="AS34">
        <f>IF($B34&gt;AS$2,0,$C$3*(Datos!$C$14)^(Stock!AS$2-Stock!$B34)*Datos!$C$15^Stock!$B34)</f>
        <v>7.0166836540755275</v>
      </c>
      <c r="AT34">
        <f>IF($B34&gt;AT$2,0,$C$3*(Datos!$C$14)^(Stock!AT$2-Stock!$B34)*Datos!$C$15^Stock!$B34)</f>
        <v>12.585618348840452</v>
      </c>
      <c r="AU34">
        <f>IF($B34&gt;AU$2,0,$C$3*(Datos!$C$14)^(Stock!AU$2-Stock!$B34)*Datos!$C$15^Stock!$B34)</f>
        <v>22.574452124639627</v>
      </c>
      <c r="AV34">
        <f>IF($B34&gt;AV$2,0,$C$3*(Datos!$C$14)^(Stock!AV$2-Stock!$B34)*Datos!$C$15^Stock!$B34)</f>
        <v>40.491128413614888</v>
      </c>
      <c r="AW34">
        <f>IF($B34&gt;AW$2,0,$C$3*(Datos!$C$14)^(Stock!AW$2-Stock!$B34)*Datos!$C$15^Stock!$B34)</f>
        <v>72.627741801021656</v>
      </c>
      <c r="AX34">
        <f>IF($B34&gt;AX$2,0,$C$3*(Datos!$C$14)^(Stock!AX$2-Stock!$B34)*Datos!$C$15^Stock!$B34)</f>
        <v>130.27023661168832</v>
      </c>
      <c r="AY34">
        <f>IF($B34&gt;AY$2,0,$C$3*(Datos!$C$14)^(Stock!AY$2-Stock!$B34)*Datos!$C$15^Stock!$B34)</f>
        <v>233.66187803771885</v>
      </c>
      <c r="AZ34">
        <f>IF($B34&gt;AZ$2,0,$C$3*(Datos!$C$14)^(Stock!AZ$2-Stock!$B34)*Datos!$C$15^Stock!$B34)</f>
        <v>419.1124133048138</v>
      </c>
      <c r="BA34">
        <f>IF($B34&gt;BA$2,0,$C$3*(Datos!$C$14)^(Stock!BA$2-Stock!$B34)*Datos!$C$15^Stock!$B34)</f>
        <v>751.74956420503452</v>
      </c>
    </row>
    <row r="35" spans="2:53" x14ac:dyDescent="0.25">
      <c r="B35">
        <v>32</v>
      </c>
      <c r="D35">
        <f>IF($B35&gt;D$2,0,$C$3*(Datos!$C$14)^(Stock!D$2-Stock!$B35)*Datos!$C$15^Stock!$B35)</f>
        <v>0</v>
      </c>
      <c r="E35">
        <f>IF($B35&gt;E$2,0,$C$3*(Datos!$C$14)^(Stock!E$2-Stock!$B35)*Datos!$C$15^Stock!$B35)</f>
        <v>0</v>
      </c>
      <c r="F35">
        <f>IF($B35&gt;F$2,0,$C$3*(Datos!$C$14)^(Stock!F$2-Stock!$B35)*Datos!$C$15^Stock!$B35)</f>
        <v>0</v>
      </c>
      <c r="G35">
        <f>IF($B35&gt;G$2,0,$C$3*(Datos!$C$14)^(Stock!G$2-Stock!$B35)*Datos!$C$15^Stock!$B35)</f>
        <v>0</v>
      </c>
      <c r="H35">
        <f>IF($B35&gt;H$2,0,$C$3*(Datos!$C$14)^(Stock!H$2-Stock!$B35)*Datos!$C$15^Stock!$B35)</f>
        <v>0</v>
      </c>
      <c r="I35">
        <f>IF($B35&gt;I$2,0,$C$3*(Datos!$C$14)^(Stock!I$2-Stock!$B35)*Datos!$C$15^Stock!$B35)</f>
        <v>0</v>
      </c>
      <c r="J35">
        <f>IF($B35&gt;J$2,0,$C$3*(Datos!$C$14)^(Stock!J$2-Stock!$B35)*Datos!$C$15^Stock!$B35)</f>
        <v>0</v>
      </c>
      <c r="K35">
        <f>IF($B35&gt;K$2,0,$C$3*(Datos!$C$14)^(Stock!K$2-Stock!$B35)*Datos!$C$15^Stock!$B35)</f>
        <v>0</v>
      </c>
      <c r="L35">
        <f>IF($B35&gt;L$2,0,$C$3*(Datos!$C$14)^(Stock!L$2-Stock!$B35)*Datos!$C$15^Stock!$B35)</f>
        <v>0</v>
      </c>
      <c r="M35">
        <f>IF($B35&gt;M$2,0,$C$3*(Datos!$C$14)^(Stock!M$2-Stock!$B35)*Datos!$C$15^Stock!$B35)</f>
        <v>0</v>
      </c>
      <c r="N35">
        <f>IF($B35&gt;N$2,0,$C$3*(Datos!$C$14)^(Stock!N$2-Stock!$B35)*Datos!$C$15^Stock!$B35)</f>
        <v>0</v>
      </c>
      <c r="O35">
        <f>IF($B35&gt;O$2,0,$C$3*(Datos!$C$14)^(Stock!O$2-Stock!$B35)*Datos!$C$15^Stock!$B35)</f>
        <v>0</v>
      </c>
      <c r="P35">
        <f>IF($B35&gt;P$2,0,$C$3*(Datos!$C$14)^(Stock!P$2-Stock!$B35)*Datos!$C$15^Stock!$B35)</f>
        <v>0</v>
      </c>
      <c r="Q35">
        <f>IF($B35&gt;Q$2,0,$C$3*(Datos!$C$14)^(Stock!Q$2-Stock!$B35)*Datos!$C$15^Stock!$B35)</f>
        <v>0</v>
      </c>
      <c r="R35">
        <f>IF($B35&gt;R$2,0,$C$3*(Datos!$C$14)^(Stock!R$2-Stock!$B35)*Datos!$C$15^Stock!$B35)</f>
        <v>0</v>
      </c>
      <c r="S35">
        <f>IF($B35&gt;S$2,0,$C$3*(Datos!$C$14)^(Stock!S$2-Stock!$B35)*Datos!$C$15^Stock!$B35)</f>
        <v>0</v>
      </c>
      <c r="T35">
        <f>IF($B35&gt;T$2,0,$C$3*(Datos!$C$14)^(Stock!T$2-Stock!$B35)*Datos!$C$15^Stock!$B35)</f>
        <v>0</v>
      </c>
      <c r="U35">
        <f>IF($B35&gt;U$2,0,$C$3*(Datos!$C$14)^(Stock!U$2-Stock!$B35)*Datos!$C$15^Stock!$B35)</f>
        <v>0</v>
      </c>
      <c r="V35">
        <f>IF($B35&gt;V$2,0,$C$3*(Datos!$C$14)^(Stock!V$2-Stock!$B35)*Datos!$C$15^Stock!$B35)</f>
        <v>0</v>
      </c>
      <c r="W35">
        <f>IF($B35&gt;W$2,0,$C$3*(Datos!$C$14)^(Stock!W$2-Stock!$B35)*Datos!$C$15^Stock!$B35)</f>
        <v>0</v>
      </c>
      <c r="X35">
        <f>IF($B35&gt;X$2,0,$C$3*(Datos!$C$14)^(Stock!X$2-Stock!$B35)*Datos!$C$15^Stock!$B35)</f>
        <v>0</v>
      </c>
      <c r="Y35">
        <f>IF($B35&gt;Y$2,0,$C$3*(Datos!$C$14)^(Stock!Y$2-Stock!$B35)*Datos!$C$15^Stock!$B35)</f>
        <v>0</v>
      </c>
      <c r="Z35">
        <f>IF($B35&gt;Z$2,0,$C$3*(Datos!$C$14)^(Stock!Z$2-Stock!$B35)*Datos!$C$15^Stock!$B35)</f>
        <v>0</v>
      </c>
      <c r="AA35">
        <f>IF($B35&gt;AA$2,0,$C$3*(Datos!$C$14)^(Stock!AA$2-Stock!$B35)*Datos!$C$15^Stock!$B35)</f>
        <v>0</v>
      </c>
      <c r="AB35">
        <f>IF($B35&gt;AB$2,0,$C$3*(Datos!$C$14)^(Stock!AB$2-Stock!$B35)*Datos!$C$15^Stock!$B35)</f>
        <v>0</v>
      </c>
      <c r="AC35">
        <f>IF($B35&gt;AC$2,0,$C$3*(Datos!$C$14)^(Stock!AC$2-Stock!$B35)*Datos!$C$15^Stock!$B35)</f>
        <v>0</v>
      </c>
      <c r="AD35">
        <f>IF($B35&gt;AD$2,0,$C$3*(Datos!$C$14)^(Stock!AD$2-Stock!$B35)*Datos!$C$15^Stock!$B35)</f>
        <v>0</v>
      </c>
      <c r="AE35">
        <f>IF($B35&gt;AE$2,0,$C$3*(Datos!$C$14)^(Stock!AE$2-Stock!$B35)*Datos!$C$15^Stock!$B35)</f>
        <v>0</v>
      </c>
      <c r="AF35">
        <f>IF($B35&gt;AF$2,0,$C$3*(Datos!$C$14)^(Stock!AF$2-Stock!$B35)*Datos!$C$15^Stock!$B35)</f>
        <v>0</v>
      </c>
      <c r="AG35">
        <f>IF($B35&gt;AG$2,0,$C$3*(Datos!$C$14)^(Stock!AG$2-Stock!$B35)*Datos!$C$15^Stock!$B35)</f>
        <v>0</v>
      </c>
      <c r="AH35">
        <f>IF($B35&gt;AH$2,0,$C$3*(Datos!$C$14)^(Stock!AH$2-Stock!$B35)*Datos!$C$15^Stock!$B35)</f>
        <v>0</v>
      </c>
      <c r="AI35">
        <f>IF($B35&gt;AI$2,0,$C$3*(Datos!$C$14)^(Stock!AI$2-Stock!$B35)*Datos!$C$15^Stock!$B35)</f>
        <v>8.7135313667932868E-3</v>
      </c>
      <c r="AJ35">
        <f>IF($B35&gt;AJ$2,0,$C$3*(Datos!$C$14)^(Stock!AJ$2-Stock!$B35)*Datos!$C$15^Stock!$B35)</f>
        <v>1.5629204002864393E-2</v>
      </c>
      <c r="AK35">
        <f>IF($B35&gt;AK$2,0,$C$3*(Datos!$C$14)^(Stock!AK$2-Stock!$B35)*Datos!$C$15^Stock!$B35)</f>
        <v>2.8033641870396826E-2</v>
      </c>
      <c r="AL35">
        <f>IF($B35&gt;AL$2,0,$C$3*(Datos!$C$14)^(Stock!AL$2-Stock!$B35)*Datos!$C$15^Stock!$B35)</f>
        <v>5.0283115913877352E-2</v>
      </c>
      <c r="AM35">
        <f>IF($B35&gt;AM$2,0,$C$3*(Datos!$C$14)^(Stock!AM$2-Stock!$B35)*Datos!$C$15^Stock!$B35)</f>
        <v>9.019134073615942E-2</v>
      </c>
      <c r="AN35">
        <f>IF($B35&gt;AN$2,0,$C$3*(Datos!$C$14)^(Stock!AN$2-Stock!$B35)*Datos!$C$15^Stock!$B35)</f>
        <v>0.16177354557180537</v>
      </c>
      <c r="AO35">
        <f>IF($B35&gt;AO$2,0,$C$3*(Datos!$C$14)^(Stock!AO$2-Stock!$B35)*Datos!$C$15^Stock!$B35)</f>
        <v>0.29016843339130743</v>
      </c>
      <c r="AP35">
        <f>IF($B35&gt;AP$2,0,$C$3*(Datos!$C$14)^(Stock!AP$2-Stock!$B35)*Datos!$C$15^Stock!$B35)</f>
        <v>0.52046655365783101</v>
      </c>
      <c r="AQ35">
        <f>IF($B35&gt;AQ$2,0,$C$3*(Datos!$C$14)^(Stock!AQ$2-Stock!$B35)*Datos!$C$15^Stock!$B35)</f>
        <v>0.93354549394129538</v>
      </c>
      <c r="AR35">
        <f>IF($B35&gt;AR$2,0,$C$3*(Datos!$C$14)^(Stock!AR$2-Stock!$B35)*Datos!$C$15^Stock!$B35)</f>
        <v>1.6744729956865771</v>
      </c>
      <c r="AS35">
        <f>IF($B35&gt;AS$2,0,$C$3*(Datos!$C$14)^(Stock!AS$2-Stock!$B35)*Datos!$C$15^Stock!$B35)</f>
        <v>3.0034527845515977</v>
      </c>
      <c r="AT35">
        <f>IF($B35&gt;AT$2,0,$C$3*(Datos!$C$14)^(Stock!AT$2-Stock!$B35)*Datos!$C$15^Stock!$B35)</f>
        <v>5.3872046024438944</v>
      </c>
      <c r="AU35">
        <f>IF($B35&gt;AU$2,0,$C$3*(Datos!$C$14)^(Stock!AU$2-Stock!$B35)*Datos!$C$15^Stock!$B35)</f>
        <v>9.6628698735896865</v>
      </c>
      <c r="AV35">
        <f>IF($B35&gt;AV$2,0,$C$3*(Datos!$C$14)^(Stock!AV$2-Stock!$B35)*Datos!$C$15^Stock!$B35)</f>
        <v>17.332004459524249</v>
      </c>
      <c r="AW35">
        <f>IF($B35&gt;AW$2,0,$C$3*(Datos!$C$14)^(Stock!AW$2-Stock!$B35)*Datos!$C$15^Stock!$B35)</f>
        <v>31.087904785514063</v>
      </c>
      <c r="AX35">
        <f>IF($B35&gt;AX$2,0,$C$3*(Datos!$C$14)^(Stock!AX$2-Stock!$B35)*Datos!$C$15^Stock!$B35)</f>
        <v>55.761457147681632</v>
      </c>
      <c r="AY35">
        <f>IF($B35&gt;AY$2,0,$C$3*(Datos!$C$14)^(Stock!AY$2-Stock!$B35)*Datos!$C$15^Stock!$B35)</f>
        <v>100.01767969521009</v>
      </c>
      <c r="AZ35">
        <f>IF($B35&gt;AZ$2,0,$C$3*(Datos!$C$14)^(Stock!AZ$2-Stock!$B35)*Datos!$C$15^Stock!$B35)</f>
        <v>179.39875970457047</v>
      </c>
      <c r="BA35">
        <f>IF($B35&gt;BA$2,0,$C$3*(Datos!$C$14)^(Stock!BA$2-Stock!$B35)*Datos!$C$15^Stock!$B35)</f>
        <v>321.78225971262481</v>
      </c>
    </row>
    <row r="36" spans="2:53" x14ac:dyDescent="0.25">
      <c r="B36">
        <v>33</v>
      </c>
      <c r="D36">
        <f>IF($B36&gt;D$2,0,$C$3*(Datos!$C$14)^(Stock!D$2-Stock!$B36)*Datos!$C$15^Stock!$B36)</f>
        <v>0</v>
      </c>
      <c r="E36">
        <f>IF($B36&gt;E$2,0,$C$3*(Datos!$C$14)^(Stock!E$2-Stock!$B36)*Datos!$C$15^Stock!$B36)</f>
        <v>0</v>
      </c>
      <c r="F36">
        <f>IF($B36&gt;F$2,0,$C$3*(Datos!$C$14)^(Stock!F$2-Stock!$B36)*Datos!$C$15^Stock!$B36)</f>
        <v>0</v>
      </c>
      <c r="G36">
        <f>IF($B36&gt;G$2,0,$C$3*(Datos!$C$14)^(Stock!G$2-Stock!$B36)*Datos!$C$15^Stock!$B36)</f>
        <v>0</v>
      </c>
      <c r="H36">
        <f>IF($B36&gt;H$2,0,$C$3*(Datos!$C$14)^(Stock!H$2-Stock!$B36)*Datos!$C$15^Stock!$B36)</f>
        <v>0</v>
      </c>
      <c r="I36">
        <f>IF($B36&gt;I$2,0,$C$3*(Datos!$C$14)^(Stock!I$2-Stock!$B36)*Datos!$C$15^Stock!$B36)</f>
        <v>0</v>
      </c>
      <c r="J36">
        <f>IF($B36&gt;J$2,0,$C$3*(Datos!$C$14)^(Stock!J$2-Stock!$B36)*Datos!$C$15^Stock!$B36)</f>
        <v>0</v>
      </c>
      <c r="K36">
        <f>IF($B36&gt;K$2,0,$C$3*(Datos!$C$14)^(Stock!K$2-Stock!$B36)*Datos!$C$15^Stock!$B36)</f>
        <v>0</v>
      </c>
      <c r="L36">
        <f>IF($B36&gt;L$2,0,$C$3*(Datos!$C$14)^(Stock!L$2-Stock!$B36)*Datos!$C$15^Stock!$B36)</f>
        <v>0</v>
      </c>
      <c r="M36">
        <f>IF($B36&gt;M$2,0,$C$3*(Datos!$C$14)^(Stock!M$2-Stock!$B36)*Datos!$C$15^Stock!$B36)</f>
        <v>0</v>
      </c>
      <c r="N36">
        <f>IF($B36&gt;N$2,0,$C$3*(Datos!$C$14)^(Stock!N$2-Stock!$B36)*Datos!$C$15^Stock!$B36)</f>
        <v>0</v>
      </c>
      <c r="O36">
        <f>IF($B36&gt;O$2,0,$C$3*(Datos!$C$14)^(Stock!O$2-Stock!$B36)*Datos!$C$15^Stock!$B36)</f>
        <v>0</v>
      </c>
      <c r="P36">
        <f>IF($B36&gt;P$2,0,$C$3*(Datos!$C$14)^(Stock!P$2-Stock!$B36)*Datos!$C$15^Stock!$B36)</f>
        <v>0</v>
      </c>
      <c r="Q36">
        <f>IF($B36&gt;Q$2,0,$C$3*(Datos!$C$14)^(Stock!Q$2-Stock!$B36)*Datos!$C$15^Stock!$B36)</f>
        <v>0</v>
      </c>
      <c r="R36">
        <f>IF($B36&gt;R$2,0,$C$3*(Datos!$C$14)^(Stock!R$2-Stock!$B36)*Datos!$C$15^Stock!$B36)</f>
        <v>0</v>
      </c>
      <c r="S36">
        <f>IF($B36&gt;S$2,0,$C$3*(Datos!$C$14)^(Stock!S$2-Stock!$B36)*Datos!$C$15^Stock!$B36)</f>
        <v>0</v>
      </c>
      <c r="T36">
        <f>IF($B36&gt;T$2,0,$C$3*(Datos!$C$14)^(Stock!T$2-Stock!$B36)*Datos!$C$15^Stock!$B36)</f>
        <v>0</v>
      </c>
      <c r="U36">
        <f>IF($B36&gt;U$2,0,$C$3*(Datos!$C$14)^(Stock!U$2-Stock!$B36)*Datos!$C$15^Stock!$B36)</f>
        <v>0</v>
      </c>
      <c r="V36">
        <f>IF($B36&gt;V$2,0,$C$3*(Datos!$C$14)^(Stock!V$2-Stock!$B36)*Datos!$C$15^Stock!$B36)</f>
        <v>0</v>
      </c>
      <c r="W36">
        <f>IF($B36&gt;W$2,0,$C$3*(Datos!$C$14)^(Stock!W$2-Stock!$B36)*Datos!$C$15^Stock!$B36)</f>
        <v>0</v>
      </c>
      <c r="X36">
        <f>IF($B36&gt;X$2,0,$C$3*(Datos!$C$14)^(Stock!X$2-Stock!$B36)*Datos!$C$15^Stock!$B36)</f>
        <v>0</v>
      </c>
      <c r="Y36">
        <f>IF($B36&gt;Y$2,0,$C$3*(Datos!$C$14)^(Stock!Y$2-Stock!$B36)*Datos!$C$15^Stock!$B36)</f>
        <v>0</v>
      </c>
      <c r="Z36">
        <f>IF($B36&gt;Z$2,0,$C$3*(Datos!$C$14)^(Stock!Z$2-Stock!$B36)*Datos!$C$15^Stock!$B36)</f>
        <v>0</v>
      </c>
      <c r="AA36">
        <f>IF($B36&gt;AA$2,0,$C$3*(Datos!$C$14)^(Stock!AA$2-Stock!$B36)*Datos!$C$15^Stock!$B36)</f>
        <v>0</v>
      </c>
      <c r="AB36">
        <f>IF($B36&gt;AB$2,0,$C$3*(Datos!$C$14)^(Stock!AB$2-Stock!$B36)*Datos!$C$15^Stock!$B36)</f>
        <v>0</v>
      </c>
      <c r="AC36">
        <f>IF($B36&gt;AC$2,0,$C$3*(Datos!$C$14)^(Stock!AC$2-Stock!$B36)*Datos!$C$15^Stock!$B36)</f>
        <v>0</v>
      </c>
      <c r="AD36">
        <f>IF($B36&gt;AD$2,0,$C$3*(Datos!$C$14)^(Stock!AD$2-Stock!$B36)*Datos!$C$15^Stock!$B36)</f>
        <v>0</v>
      </c>
      <c r="AE36">
        <f>IF($B36&gt;AE$2,0,$C$3*(Datos!$C$14)^(Stock!AE$2-Stock!$B36)*Datos!$C$15^Stock!$B36)</f>
        <v>0</v>
      </c>
      <c r="AF36">
        <f>IF($B36&gt;AF$2,0,$C$3*(Datos!$C$14)^(Stock!AF$2-Stock!$B36)*Datos!$C$15^Stock!$B36)</f>
        <v>0</v>
      </c>
      <c r="AG36">
        <f>IF($B36&gt;AG$2,0,$C$3*(Datos!$C$14)^(Stock!AG$2-Stock!$B36)*Datos!$C$15^Stock!$B36)</f>
        <v>0</v>
      </c>
      <c r="AH36">
        <f>IF($B36&gt;AH$2,0,$C$3*(Datos!$C$14)^(Stock!AH$2-Stock!$B36)*Datos!$C$15^Stock!$B36)</f>
        <v>0</v>
      </c>
      <c r="AI36">
        <f>IF($B36&gt;AI$2,0,$C$3*(Datos!$C$14)^(Stock!AI$2-Stock!$B36)*Datos!$C$15^Stock!$B36)</f>
        <v>0</v>
      </c>
      <c r="AJ36">
        <f>IF($B36&gt;AJ$2,0,$C$3*(Datos!$C$14)^(Stock!AJ$2-Stock!$B36)*Datos!$C$15^Stock!$B36)</f>
        <v>6.6899946751144716E-3</v>
      </c>
      <c r="AK36">
        <f>IF($B36&gt;AK$2,0,$C$3*(Datos!$C$14)^(Stock!AK$2-Stock!$B36)*Datos!$C$15^Stock!$B36)</f>
        <v>1.1999645970623276E-2</v>
      </c>
      <c r="AL36">
        <f>IF($B36&gt;AL$2,0,$C$3*(Datos!$C$14)^(Stock!AL$2-Stock!$B36)*Datos!$C$15^Stock!$B36)</f>
        <v>2.1523410766815233E-2</v>
      </c>
      <c r="AM36">
        <f>IF($B36&gt;AM$2,0,$C$3*(Datos!$C$14)^(Stock!AM$2-Stock!$B36)*Datos!$C$15^Stock!$B36)</f>
        <v>3.8605906555174464E-2</v>
      </c>
      <c r="AN36">
        <f>IF($B36&gt;AN$2,0,$C$3*(Datos!$C$14)^(Stock!AN$2-Stock!$B36)*Datos!$C$15^Stock!$B36)</f>
        <v>6.9246275002323707E-2</v>
      </c>
      <c r="AO36">
        <f>IF($B36&gt;AO$2,0,$C$3*(Datos!$C$14)^(Stock!AO$2-Stock!$B36)*Datos!$C$15^Stock!$B36)</f>
        <v>0.12420499943044974</v>
      </c>
      <c r="AP36">
        <f>IF($B36&gt;AP$2,0,$C$3*(Datos!$C$14)^(Stock!AP$2-Stock!$B36)*Datos!$C$15^Stock!$B36)</f>
        <v>0.22278284114200136</v>
      </c>
      <c r="AQ36">
        <f>IF($B36&gt;AQ$2,0,$C$3*(Datos!$C$14)^(Stock!AQ$2-Stock!$B36)*Datos!$C$15^Stock!$B36)</f>
        <v>0.39959900595703818</v>
      </c>
      <c r="AR36">
        <f>IF($B36&gt;AR$2,0,$C$3*(Datos!$C$14)^(Stock!AR$2-Stock!$B36)*Datos!$C$15^Stock!$B36)</f>
        <v>0.71674894145044932</v>
      </c>
      <c r="AS36">
        <f>IF($B36&gt;AS$2,0,$C$3*(Datos!$C$14)^(Stock!AS$2-Stock!$B36)*Datos!$C$15^Stock!$B36)</f>
        <v>1.2856114189772827</v>
      </c>
      <c r="AT36">
        <f>IF($B36&gt;AT$2,0,$C$3*(Datos!$C$14)^(Stock!AT$2-Stock!$B36)*Datos!$C$15^Stock!$B36)</f>
        <v>2.3059632529907885</v>
      </c>
      <c r="AU36">
        <f>IF($B36&gt;AU$2,0,$C$3*(Datos!$C$14)^(Stock!AU$2-Stock!$B36)*Datos!$C$15^Stock!$B36)</f>
        <v>4.1361382184781457</v>
      </c>
      <c r="AV36">
        <f>IF($B36&gt;AV$2,0,$C$3*(Datos!$C$14)^(Stock!AV$2-Stock!$B36)*Datos!$C$15^Stock!$B36)</f>
        <v>7.4188690301839397</v>
      </c>
      <c r="AW36">
        <f>IF($B36&gt;AW$2,0,$C$3*(Datos!$C$14)^(Stock!AW$2-Stock!$B36)*Datos!$C$15^Stock!$B36)</f>
        <v>13.307006386085835</v>
      </c>
      <c r="AX36">
        <f>IF($B36&gt;AX$2,0,$C$3*(Datos!$C$14)^(Stock!AX$2-Stock!$B36)*Datos!$C$15^Stock!$B36)</f>
        <v>23.868384552805463</v>
      </c>
      <c r="AY36">
        <f>IF($B36&gt;AY$2,0,$C$3*(Datos!$C$14)^(Stock!AY$2-Stock!$B36)*Datos!$C$15^Stock!$B36)</f>
        <v>42.812016815164085</v>
      </c>
      <c r="AZ36">
        <f>IF($B36&gt;AZ$2,0,$C$3*(Datos!$C$14)^(Stock!AZ$2-Stock!$B36)*Datos!$C$15^Stock!$B36)</f>
        <v>76.790650817902076</v>
      </c>
      <c r="BA36">
        <f>IF($B36&gt;BA$2,0,$C$3*(Datos!$C$14)^(Stock!BA$2-Stock!$B36)*Datos!$C$15^Stock!$B36)</f>
        <v>137.73712363273449</v>
      </c>
    </row>
    <row r="37" spans="2:53" x14ac:dyDescent="0.25">
      <c r="B37">
        <v>34</v>
      </c>
      <c r="D37">
        <f>IF($B37&gt;D$2,0,$C$3*(Datos!$C$14)^(Stock!D$2-Stock!$B37)*Datos!$C$15^Stock!$B37)</f>
        <v>0</v>
      </c>
      <c r="E37">
        <f>IF($B37&gt;E$2,0,$C$3*(Datos!$C$14)^(Stock!E$2-Stock!$B37)*Datos!$C$15^Stock!$B37)</f>
        <v>0</v>
      </c>
      <c r="F37">
        <f>IF($B37&gt;F$2,0,$C$3*(Datos!$C$14)^(Stock!F$2-Stock!$B37)*Datos!$C$15^Stock!$B37)</f>
        <v>0</v>
      </c>
      <c r="G37">
        <f>IF($B37&gt;G$2,0,$C$3*(Datos!$C$14)^(Stock!G$2-Stock!$B37)*Datos!$C$15^Stock!$B37)</f>
        <v>0</v>
      </c>
      <c r="H37">
        <f>IF($B37&gt;H$2,0,$C$3*(Datos!$C$14)^(Stock!H$2-Stock!$B37)*Datos!$C$15^Stock!$B37)</f>
        <v>0</v>
      </c>
      <c r="I37">
        <f>IF($B37&gt;I$2,0,$C$3*(Datos!$C$14)^(Stock!I$2-Stock!$B37)*Datos!$C$15^Stock!$B37)</f>
        <v>0</v>
      </c>
      <c r="J37">
        <f>IF($B37&gt;J$2,0,$C$3*(Datos!$C$14)^(Stock!J$2-Stock!$B37)*Datos!$C$15^Stock!$B37)</f>
        <v>0</v>
      </c>
      <c r="K37">
        <f>IF($B37&gt;K$2,0,$C$3*(Datos!$C$14)^(Stock!K$2-Stock!$B37)*Datos!$C$15^Stock!$B37)</f>
        <v>0</v>
      </c>
      <c r="L37">
        <f>IF($B37&gt;L$2,0,$C$3*(Datos!$C$14)^(Stock!L$2-Stock!$B37)*Datos!$C$15^Stock!$B37)</f>
        <v>0</v>
      </c>
      <c r="M37">
        <f>IF($B37&gt;M$2,0,$C$3*(Datos!$C$14)^(Stock!M$2-Stock!$B37)*Datos!$C$15^Stock!$B37)</f>
        <v>0</v>
      </c>
      <c r="N37">
        <f>IF($B37&gt;N$2,0,$C$3*(Datos!$C$14)^(Stock!N$2-Stock!$B37)*Datos!$C$15^Stock!$B37)</f>
        <v>0</v>
      </c>
      <c r="O37">
        <f>IF($B37&gt;O$2,0,$C$3*(Datos!$C$14)^(Stock!O$2-Stock!$B37)*Datos!$C$15^Stock!$B37)</f>
        <v>0</v>
      </c>
      <c r="P37">
        <f>IF($B37&gt;P$2,0,$C$3*(Datos!$C$14)^(Stock!P$2-Stock!$B37)*Datos!$C$15^Stock!$B37)</f>
        <v>0</v>
      </c>
      <c r="Q37">
        <f>IF($B37&gt;Q$2,0,$C$3*(Datos!$C$14)^(Stock!Q$2-Stock!$B37)*Datos!$C$15^Stock!$B37)</f>
        <v>0</v>
      </c>
      <c r="R37">
        <f>IF($B37&gt;R$2,0,$C$3*(Datos!$C$14)^(Stock!R$2-Stock!$B37)*Datos!$C$15^Stock!$B37)</f>
        <v>0</v>
      </c>
      <c r="S37">
        <f>IF($B37&gt;S$2,0,$C$3*(Datos!$C$14)^(Stock!S$2-Stock!$B37)*Datos!$C$15^Stock!$B37)</f>
        <v>0</v>
      </c>
      <c r="T37">
        <f>IF($B37&gt;T$2,0,$C$3*(Datos!$C$14)^(Stock!T$2-Stock!$B37)*Datos!$C$15^Stock!$B37)</f>
        <v>0</v>
      </c>
      <c r="U37">
        <f>IF($B37&gt;U$2,0,$C$3*(Datos!$C$14)^(Stock!U$2-Stock!$B37)*Datos!$C$15^Stock!$B37)</f>
        <v>0</v>
      </c>
      <c r="V37">
        <f>IF($B37&gt;V$2,0,$C$3*(Datos!$C$14)^(Stock!V$2-Stock!$B37)*Datos!$C$15^Stock!$B37)</f>
        <v>0</v>
      </c>
      <c r="W37">
        <f>IF($B37&gt;W$2,0,$C$3*(Datos!$C$14)^(Stock!W$2-Stock!$B37)*Datos!$C$15^Stock!$B37)</f>
        <v>0</v>
      </c>
      <c r="X37">
        <f>IF($B37&gt;X$2,0,$C$3*(Datos!$C$14)^(Stock!X$2-Stock!$B37)*Datos!$C$15^Stock!$B37)</f>
        <v>0</v>
      </c>
      <c r="Y37">
        <f>IF($B37&gt;Y$2,0,$C$3*(Datos!$C$14)^(Stock!Y$2-Stock!$B37)*Datos!$C$15^Stock!$B37)</f>
        <v>0</v>
      </c>
      <c r="Z37">
        <f>IF($B37&gt;Z$2,0,$C$3*(Datos!$C$14)^(Stock!Z$2-Stock!$B37)*Datos!$C$15^Stock!$B37)</f>
        <v>0</v>
      </c>
      <c r="AA37">
        <f>IF($B37&gt;AA$2,0,$C$3*(Datos!$C$14)^(Stock!AA$2-Stock!$B37)*Datos!$C$15^Stock!$B37)</f>
        <v>0</v>
      </c>
      <c r="AB37">
        <f>IF($B37&gt;AB$2,0,$C$3*(Datos!$C$14)^(Stock!AB$2-Stock!$B37)*Datos!$C$15^Stock!$B37)</f>
        <v>0</v>
      </c>
      <c r="AC37">
        <f>IF($B37&gt;AC$2,0,$C$3*(Datos!$C$14)^(Stock!AC$2-Stock!$B37)*Datos!$C$15^Stock!$B37)</f>
        <v>0</v>
      </c>
      <c r="AD37">
        <f>IF($B37&gt;AD$2,0,$C$3*(Datos!$C$14)^(Stock!AD$2-Stock!$B37)*Datos!$C$15^Stock!$B37)</f>
        <v>0</v>
      </c>
      <c r="AE37">
        <f>IF($B37&gt;AE$2,0,$C$3*(Datos!$C$14)^(Stock!AE$2-Stock!$B37)*Datos!$C$15^Stock!$B37)</f>
        <v>0</v>
      </c>
      <c r="AF37">
        <f>IF($B37&gt;AF$2,0,$C$3*(Datos!$C$14)^(Stock!AF$2-Stock!$B37)*Datos!$C$15^Stock!$B37)</f>
        <v>0</v>
      </c>
      <c r="AG37">
        <f>IF($B37&gt;AG$2,0,$C$3*(Datos!$C$14)^(Stock!AG$2-Stock!$B37)*Datos!$C$15^Stock!$B37)</f>
        <v>0</v>
      </c>
      <c r="AH37">
        <f>IF($B37&gt;AH$2,0,$C$3*(Datos!$C$14)^(Stock!AH$2-Stock!$B37)*Datos!$C$15^Stock!$B37)</f>
        <v>0</v>
      </c>
      <c r="AI37">
        <f>IF($B37&gt;AI$2,0,$C$3*(Datos!$C$14)^(Stock!AI$2-Stock!$B37)*Datos!$C$15^Stock!$B37)</f>
        <v>0</v>
      </c>
      <c r="AJ37">
        <f>IF($B37&gt;AJ$2,0,$C$3*(Datos!$C$14)^(Stock!AJ$2-Stock!$B37)*Datos!$C$15^Stock!$B37)</f>
        <v>0</v>
      </c>
      <c r="AK37">
        <f>IF($B37&gt;AK$2,0,$C$3*(Datos!$C$14)^(Stock!AK$2-Stock!$B37)*Datos!$C$15^Stock!$B37)</f>
        <v>5.1363823539583931E-3</v>
      </c>
      <c r="AL37">
        <f>IF($B37&gt;AL$2,0,$C$3*(Datos!$C$14)^(Stock!AL$2-Stock!$B37)*Datos!$C$15^Stock!$B37)</f>
        <v>9.2129774103598509E-3</v>
      </c>
      <c r="AM37">
        <f>IF($B37&gt;AM$2,0,$C$3*(Datos!$C$14)^(Stock!AM$2-Stock!$B37)*Datos!$C$15^Stock!$B37)</f>
        <v>1.6525045628347407E-2</v>
      </c>
      <c r="AN37">
        <f>IF($B37&gt;AN$2,0,$C$3*(Datos!$C$14)^(Stock!AN$2-Stock!$B37)*Datos!$C$15^Stock!$B37)</f>
        <v>2.9640486550188735E-2</v>
      </c>
      <c r="AO37">
        <f>IF($B37&gt;AO$2,0,$C$3*(Datos!$C$14)^(Stock!AO$2-Stock!$B37)*Datos!$C$15^Stock!$B37)</f>
        <v>5.3165265784490288E-2</v>
      </c>
      <c r="AP37">
        <f>IF($B37&gt;AP$2,0,$C$3*(Datos!$C$14)^(Stock!AP$2-Stock!$B37)*Datos!$C$15^Stock!$B37)</f>
        <v>9.5360967882542919E-2</v>
      </c>
      <c r="AQ37">
        <f>IF($B37&gt;AQ$2,0,$C$3*(Datos!$C$14)^(Stock!AQ$2-Stock!$B37)*Datos!$C$15^Stock!$B37)</f>
        <v>0.1710461531850041</v>
      </c>
      <c r="AR37">
        <f>IF($B37&gt;AR$2,0,$C$3*(Datos!$C$14)^(Stock!AR$2-Stock!$B37)*Datos!$C$15^Stock!$B37)</f>
        <v>0.30680043595429701</v>
      </c>
      <c r="AS37">
        <f>IF($B37&gt;AS$2,0,$C$3*(Datos!$C$14)^(Stock!AS$2-Stock!$B37)*Datos!$C$15^Stock!$B37)</f>
        <v>0.55029888570448693</v>
      </c>
      <c r="AT37">
        <f>IF($B37&gt;AT$2,0,$C$3*(Datos!$C$14)^(Stock!AT$2-Stock!$B37)*Datos!$C$15^Stock!$B37)</f>
        <v>0.98705486732982106</v>
      </c>
      <c r="AU37">
        <f>IF($B37&gt;AU$2,0,$C$3*(Datos!$C$14)^(Stock!AU$2-Stock!$B37)*Datos!$C$15^Stock!$B37)</f>
        <v>1.770451179220963</v>
      </c>
      <c r="AV37">
        <f>IF($B37&gt;AV$2,0,$C$3*(Datos!$C$14)^(Stock!AV$2-Stock!$B37)*Datos!$C$15^Stock!$B37)</f>
        <v>3.1756060192320761</v>
      </c>
      <c r="AW37">
        <f>IF($B37&gt;AW$2,0,$C$3*(Datos!$C$14)^(Stock!AW$2-Stock!$B37)*Datos!$C$15^Stock!$B37)</f>
        <v>5.6959907777973191</v>
      </c>
      <c r="AX37">
        <f>IF($B37&gt;AX$2,0,$C$3*(Datos!$C$14)^(Stock!AX$2-Stock!$B37)*Datos!$C$15^Stock!$B37)</f>
        <v>10.21673052143848</v>
      </c>
      <c r="AY37">
        <f>IF($B37&gt;AY$2,0,$C$3*(Datos!$C$14)^(Stock!AY$2-Stock!$B37)*Datos!$C$15^Stock!$B37)</f>
        <v>18.32544795447469</v>
      </c>
      <c r="AZ37">
        <f>IF($B37&gt;AZ$2,0,$C$3*(Datos!$C$14)^(Stock!AZ$2-Stock!$B37)*Datos!$C$15^Stock!$B37)</f>
        <v>32.869815057515893</v>
      </c>
      <c r="BA37">
        <f>IF($B37&gt;BA$2,0,$C$3*(Datos!$C$14)^(Stock!BA$2-Stock!$B37)*Datos!$C$15^Stock!$B37)</f>
        <v>58.957617003380328</v>
      </c>
    </row>
    <row r="38" spans="2:53" x14ac:dyDescent="0.25">
      <c r="B38">
        <v>35</v>
      </c>
      <c r="D38">
        <f>IF($B38&gt;D$2,0,$C$3*(Datos!$C$14)^(Stock!D$2-Stock!$B38)*Datos!$C$15^Stock!$B38)</f>
        <v>0</v>
      </c>
      <c r="E38">
        <f>IF($B38&gt;E$2,0,$C$3*(Datos!$C$14)^(Stock!E$2-Stock!$B38)*Datos!$C$15^Stock!$B38)</f>
        <v>0</v>
      </c>
      <c r="F38">
        <f>IF($B38&gt;F$2,0,$C$3*(Datos!$C$14)^(Stock!F$2-Stock!$B38)*Datos!$C$15^Stock!$B38)</f>
        <v>0</v>
      </c>
      <c r="G38">
        <f>IF($B38&gt;G$2,0,$C$3*(Datos!$C$14)^(Stock!G$2-Stock!$B38)*Datos!$C$15^Stock!$B38)</f>
        <v>0</v>
      </c>
      <c r="H38">
        <f>IF($B38&gt;H$2,0,$C$3*(Datos!$C$14)^(Stock!H$2-Stock!$B38)*Datos!$C$15^Stock!$B38)</f>
        <v>0</v>
      </c>
      <c r="I38">
        <f>IF($B38&gt;I$2,0,$C$3*(Datos!$C$14)^(Stock!I$2-Stock!$B38)*Datos!$C$15^Stock!$B38)</f>
        <v>0</v>
      </c>
      <c r="J38">
        <f>IF($B38&gt;J$2,0,$C$3*(Datos!$C$14)^(Stock!J$2-Stock!$B38)*Datos!$C$15^Stock!$B38)</f>
        <v>0</v>
      </c>
      <c r="K38">
        <f>IF($B38&gt;K$2,0,$C$3*(Datos!$C$14)^(Stock!K$2-Stock!$B38)*Datos!$C$15^Stock!$B38)</f>
        <v>0</v>
      </c>
      <c r="L38">
        <f>IF($B38&gt;L$2,0,$C$3*(Datos!$C$14)^(Stock!L$2-Stock!$B38)*Datos!$C$15^Stock!$B38)</f>
        <v>0</v>
      </c>
      <c r="M38">
        <f>IF($B38&gt;M$2,0,$C$3*(Datos!$C$14)^(Stock!M$2-Stock!$B38)*Datos!$C$15^Stock!$B38)</f>
        <v>0</v>
      </c>
      <c r="N38">
        <f>IF($B38&gt;N$2,0,$C$3*(Datos!$C$14)^(Stock!N$2-Stock!$B38)*Datos!$C$15^Stock!$B38)</f>
        <v>0</v>
      </c>
      <c r="O38">
        <f>IF($B38&gt;O$2,0,$C$3*(Datos!$C$14)^(Stock!O$2-Stock!$B38)*Datos!$C$15^Stock!$B38)</f>
        <v>0</v>
      </c>
      <c r="P38">
        <f>IF($B38&gt;P$2,0,$C$3*(Datos!$C$14)^(Stock!P$2-Stock!$B38)*Datos!$C$15^Stock!$B38)</f>
        <v>0</v>
      </c>
      <c r="Q38">
        <f>IF($B38&gt;Q$2,0,$C$3*(Datos!$C$14)^(Stock!Q$2-Stock!$B38)*Datos!$C$15^Stock!$B38)</f>
        <v>0</v>
      </c>
      <c r="R38">
        <f>IF($B38&gt;R$2,0,$C$3*(Datos!$C$14)^(Stock!R$2-Stock!$B38)*Datos!$C$15^Stock!$B38)</f>
        <v>0</v>
      </c>
      <c r="S38">
        <f>IF($B38&gt;S$2,0,$C$3*(Datos!$C$14)^(Stock!S$2-Stock!$B38)*Datos!$C$15^Stock!$B38)</f>
        <v>0</v>
      </c>
      <c r="T38">
        <f>IF($B38&gt;T$2,0,$C$3*(Datos!$C$14)^(Stock!T$2-Stock!$B38)*Datos!$C$15^Stock!$B38)</f>
        <v>0</v>
      </c>
      <c r="U38">
        <f>IF($B38&gt;U$2,0,$C$3*(Datos!$C$14)^(Stock!U$2-Stock!$B38)*Datos!$C$15^Stock!$B38)</f>
        <v>0</v>
      </c>
      <c r="V38">
        <f>IF($B38&gt;V$2,0,$C$3*(Datos!$C$14)^(Stock!V$2-Stock!$B38)*Datos!$C$15^Stock!$B38)</f>
        <v>0</v>
      </c>
      <c r="W38">
        <f>IF($B38&gt;W$2,0,$C$3*(Datos!$C$14)^(Stock!W$2-Stock!$B38)*Datos!$C$15^Stock!$B38)</f>
        <v>0</v>
      </c>
      <c r="X38">
        <f>IF($B38&gt;X$2,0,$C$3*(Datos!$C$14)^(Stock!X$2-Stock!$B38)*Datos!$C$15^Stock!$B38)</f>
        <v>0</v>
      </c>
      <c r="Y38">
        <f>IF($B38&gt;Y$2,0,$C$3*(Datos!$C$14)^(Stock!Y$2-Stock!$B38)*Datos!$C$15^Stock!$B38)</f>
        <v>0</v>
      </c>
      <c r="Z38">
        <f>IF($B38&gt;Z$2,0,$C$3*(Datos!$C$14)^(Stock!Z$2-Stock!$B38)*Datos!$C$15^Stock!$B38)</f>
        <v>0</v>
      </c>
      <c r="AA38">
        <f>IF($B38&gt;AA$2,0,$C$3*(Datos!$C$14)^(Stock!AA$2-Stock!$B38)*Datos!$C$15^Stock!$B38)</f>
        <v>0</v>
      </c>
      <c r="AB38">
        <f>IF($B38&gt;AB$2,0,$C$3*(Datos!$C$14)^(Stock!AB$2-Stock!$B38)*Datos!$C$15^Stock!$B38)</f>
        <v>0</v>
      </c>
      <c r="AC38">
        <f>IF($B38&gt;AC$2,0,$C$3*(Datos!$C$14)^(Stock!AC$2-Stock!$B38)*Datos!$C$15^Stock!$B38)</f>
        <v>0</v>
      </c>
      <c r="AD38">
        <f>IF($B38&gt;AD$2,0,$C$3*(Datos!$C$14)^(Stock!AD$2-Stock!$B38)*Datos!$C$15^Stock!$B38)</f>
        <v>0</v>
      </c>
      <c r="AE38">
        <f>IF($B38&gt;AE$2,0,$C$3*(Datos!$C$14)^(Stock!AE$2-Stock!$B38)*Datos!$C$15^Stock!$B38)</f>
        <v>0</v>
      </c>
      <c r="AF38">
        <f>IF($B38&gt;AF$2,0,$C$3*(Datos!$C$14)^(Stock!AF$2-Stock!$B38)*Datos!$C$15^Stock!$B38)</f>
        <v>0</v>
      </c>
      <c r="AG38">
        <f>IF($B38&gt;AG$2,0,$C$3*(Datos!$C$14)^(Stock!AG$2-Stock!$B38)*Datos!$C$15^Stock!$B38)</f>
        <v>0</v>
      </c>
      <c r="AH38">
        <f>IF($B38&gt;AH$2,0,$C$3*(Datos!$C$14)^(Stock!AH$2-Stock!$B38)*Datos!$C$15^Stock!$B38)</f>
        <v>0</v>
      </c>
      <c r="AI38">
        <f>IF($B38&gt;AI$2,0,$C$3*(Datos!$C$14)^(Stock!AI$2-Stock!$B38)*Datos!$C$15^Stock!$B38)</f>
        <v>0</v>
      </c>
      <c r="AJ38">
        <f>IF($B38&gt;AJ$2,0,$C$3*(Datos!$C$14)^(Stock!AJ$2-Stock!$B38)*Datos!$C$15^Stock!$B38)</f>
        <v>0</v>
      </c>
      <c r="AK38">
        <f>IF($B38&gt;AK$2,0,$C$3*(Datos!$C$14)^(Stock!AK$2-Stock!$B38)*Datos!$C$15^Stock!$B38)</f>
        <v>0</v>
      </c>
      <c r="AL38">
        <f>IF($B38&gt;AL$2,0,$C$3*(Datos!$C$14)^(Stock!AL$2-Stock!$B38)*Datos!$C$15^Stock!$B38)</f>
        <v>3.94356422796461E-3</v>
      </c>
      <c r="AM38">
        <f>IF($B38&gt;AM$2,0,$C$3*(Datos!$C$14)^(Stock!AM$2-Stock!$B38)*Datos!$C$15^Stock!$B38)</f>
        <v>7.0734547478813817E-3</v>
      </c>
      <c r="AN38">
        <f>IF($B38&gt;AN$2,0,$C$3*(Datos!$C$14)^(Stock!AN$2-Stock!$B38)*Datos!$C$15^Stock!$B38)</f>
        <v>1.2687446984006534E-2</v>
      </c>
      <c r="AO38">
        <f>IF($B38&gt;AO$2,0,$C$3*(Datos!$C$14)^(Stock!AO$2-Stock!$B38)*Datos!$C$15^Stock!$B38)</f>
        <v>2.2757099141715746E-2</v>
      </c>
      <c r="AP38">
        <f>IF($B38&gt;AP$2,0,$C$3*(Datos!$C$14)^(Stock!AP$2-Stock!$B38)*Datos!$C$15^Stock!$B38)</f>
        <v>4.0818736976691417E-2</v>
      </c>
      <c r="AQ38">
        <f>IF($B38&gt;AQ$2,0,$C$3*(Datos!$C$14)^(Stock!AQ$2-Stock!$B38)*Datos!$C$15^Stock!$B38)</f>
        <v>7.3215363610122056E-2</v>
      </c>
      <c r="AR38">
        <f>IF($B38&gt;AR$2,0,$C$3*(Datos!$C$14)^(Stock!AR$2-Stock!$B38)*Datos!$C$15^Stock!$B38)</f>
        <v>0.13132423650499933</v>
      </c>
      <c r="AS38">
        <f>IF($B38&gt;AS$2,0,$C$3*(Datos!$C$14)^(Stock!AS$2-Stock!$B38)*Datos!$C$15^Stock!$B38)</f>
        <v>0.23555240653393031</v>
      </c>
      <c r="AT38">
        <f>IF($B38&gt;AT$2,0,$C$3*(Datos!$C$14)^(Stock!AT$2-Stock!$B38)*Datos!$C$15^Stock!$B38)</f>
        <v>0.42250339846303808</v>
      </c>
      <c r="AU38">
        <f>IF($B38&gt;AU$2,0,$C$3*(Datos!$C$14)^(Stock!AU$2-Stock!$B38)*Datos!$C$15^Stock!$B38)</f>
        <v>0.75783187418678832</v>
      </c>
      <c r="AV38">
        <f>IF($B38&gt;AV$2,0,$C$3*(Datos!$C$14)^(Stock!AV$2-Stock!$B38)*Datos!$C$15^Stock!$B38)</f>
        <v>1.3593006627228412</v>
      </c>
      <c r="AW38">
        <f>IF($B38&gt;AW$2,0,$C$3*(Datos!$C$14)^(Stock!AW$2-Stock!$B38)*Datos!$C$15^Stock!$B38)</f>
        <v>2.4381374743065232</v>
      </c>
      <c r="AX38">
        <f>IF($B38&gt;AX$2,0,$C$3*(Datos!$C$14)^(Stock!AX$2-Stock!$B38)*Datos!$C$15^Stock!$B38)</f>
        <v>4.3732152176768775</v>
      </c>
      <c r="AY38">
        <f>IF($B38&gt;AY$2,0,$C$3*(Datos!$C$14)^(Stock!AY$2-Stock!$B38)*Datos!$C$15^Stock!$B38)</f>
        <v>7.8441070455062496</v>
      </c>
      <c r="AZ38">
        <f>IF($B38&gt;AZ$2,0,$C$3*(Datos!$C$14)^(Stock!AZ$2-Stock!$B38)*Datos!$C$15^Stock!$B38)</f>
        <v>14.069743261811507</v>
      </c>
      <c r="BA38">
        <f>IF($B38&gt;BA$2,0,$C$3*(Datos!$C$14)^(Stock!BA$2-Stock!$B38)*Datos!$C$15^Stock!$B38)</f>
        <v>25.236483172000671</v>
      </c>
    </row>
    <row r="39" spans="2:53" x14ac:dyDescent="0.25">
      <c r="B39">
        <v>36</v>
      </c>
      <c r="D39">
        <f>IF($B39&gt;D$2,0,$C$3*(Datos!$C$14)^(Stock!D$2-Stock!$B39)*Datos!$C$15^Stock!$B39)</f>
        <v>0</v>
      </c>
      <c r="E39">
        <f>IF($B39&gt;E$2,0,$C$3*(Datos!$C$14)^(Stock!E$2-Stock!$B39)*Datos!$C$15^Stock!$B39)</f>
        <v>0</v>
      </c>
      <c r="F39">
        <f>IF($B39&gt;F$2,0,$C$3*(Datos!$C$14)^(Stock!F$2-Stock!$B39)*Datos!$C$15^Stock!$B39)</f>
        <v>0</v>
      </c>
      <c r="G39">
        <f>IF($B39&gt;G$2,0,$C$3*(Datos!$C$14)^(Stock!G$2-Stock!$B39)*Datos!$C$15^Stock!$B39)</f>
        <v>0</v>
      </c>
      <c r="H39">
        <f>IF($B39&gt;H$2,0,$C$3*(Datos!$C$14)^(Stock!H$2-Stock!$B39)*Datos!$C$15^Stock!$B39)</f>
        <v>0</v>
      </c>
      <c r="I39">
        <f>IF($B39&gt;I$2,0,$C$3*(Datos!$C$14)^(Stock!I$2-Stock!$B39)*Datos!$C$15^Stock!$B39)</f>
        <v>0</v>
      </c>
      <c r="J39">
        <f>IF($B39&gt;J$2,0,$C$3*(Datos!$C$14)^(Stock!J$2-Stock!$B39)*Datos!$C$15^Stock!$B39)</f>
        <v>0</v>
      </c>
      <c r="K39">
        <f>IF($B39&gt;K$2,0,$C$3*(Datos!$C$14)^(Stock!K$2-Stock!$B39)*Datos!$C$15^Stock!$B39)</f>
        <v>0</v>
      </c>
      <c r="L39">
        <f>IF($B39&gt;L$2,0,$C$3*(Datos!$C$14)^(Stock!L$2-Stock!$B39)*Datos!$C$15^Stock!$B39)</f>
        <v>0</v>
      </c>
      <c r="M39">
        <f>IF($B39&gt;M$2,0,$C$3*(Datos!$C$14)^(Stock!M$2-Stock!$B39)*Datos!$C$15^Stock!$B39)</f>
        <v>0</v>
      </c>
      <c r="N39">
        <f>IF($B39&gt;N$2,0,$C$3*(Datos!$C$14)^(Stock!N$2-Stock!$B39)*Datos!$C$15^Stock!$B39)</f>
        <v>0</v>
      </c>
      <c r="O39">
        <f>IF($B39&gt;O$2,0,$C$3*(Datos!$C$14)^(Stock!O$2-Stock!$B39)*Datos!$C$15^Stock!$B39)</f>
        <v>0</v>
      </c>
      <c r="P39">
        <f>IF($B39&gt;P$2,0,$C$3*(Datos!$C$14)^(Stock!P$2-Stock!$B39)*Datos!$C$15^Stock!$B39)</f>
        <v>0</v>
      </c>
      <c r="Q39">
        <f>IF($B39&gt;Q$2,0,$C$3*(Datos!$C$14)^(Stock!Q$2-Stock!$B39)*Datos!$C$15^Stock!$B39)</f>
        <v>0</v>
      </c>
      <c r="R39">
        <f>IF($B39&gt;R$2,0,$C$3*(Datos!$C$14)^(Stock!R$2-Stock!$B39)*Datos!$C$15^Stock!$B39)</f>
        <v>0</v>
      </c>
      <c r="S39">
        <f>IF($B39&gt;S$2,0,$C$3*(Datos!$C$14)^(Stock!S$2-Stock!$B39)*Datos!$C$15^Stock!$B39)</f>
        <v>0</v>
      </c>
      <c r="T39">
        <f>IF($B39&gt;T$2,0,$C$3*(Datos!$C$14)^(Stock!T$2-Stock!$B39)*Datos!$C$15^Stock!$B39)</f>
        <v>0</v>
      </c>
      <c r="U39">
        <f>IF($B39&gt;U$2,0,$C$3*(Datos!$C$14)^(Stock!U$2-Stock!$B39)*Datos!$C$15^Stock!$B39)</f>
        <v>0</v>
      </c>
      <c r="V39">
        <f>IF($B39&gt;V$2,0,$C$3*(Datos!$C$14)^(Stock!V$2-Stock!$B39)*Datos!$C$15^Stock!$B39)</f>
        <v>0</v>
      </c>
      <c r="W39">
        <f>IF($B39&gt;W$2,0,$C$3*(Datos!$C$14)^(Stock!W$2-Stock!$B39)*Datos!$C$15^Stock!$B39)</f>
        <v>0</v>
      </c>
      <c r="X39">
        <f>IF($B39&gt;X$2,0,$C$3*(Datos!$C$14)^(Stock!X$2-Stock!$B39)*Datos!$C$15^Stock!$B39)</f>
        <v>0</v>
      </c>
      <c r="Y39">
        <f>IF($B39&gt;Y$2,0,$C$3*(Datos!$C$14)^(Stock!Y$2-Stock!$B39)*Datos!$C$15^Stock!$B39)</f>
        <v>0</v>
      </c>
      <c r="Z39">
        <f>IF($B39&gt;Z$2,0,$C$3*(Datos!$C$14)^(Stock!Z$2-Stock!$B39)*Datos!$C$15^Stock!$B39)</f>
        <v>0</v>
      </c>
      <c r="AA39">
        <f>IF($B39&gt;AA$2,0,$C$3*(Datos!$C$14)^(Stock!AA$2-Stock!$B39)*Datos!$C$15^Stock!$B39)</f>
        <v>0</v>
      </c>
      <c r="AB39">
        <f>IF($B39&gt;AB$2,0,$C$3*(Datos!$C$14)^(Stock!AB$2-Stock!$B39)*Datos!$C$15^Stock!$B39)</f>
        <v>0</v>
      </c>
      <c r="AC39">
        <f>IF($B39&gt;AC$2,0,$C$3*(Datos!$C$14)^(Stock!AC$2-Stock!$B39)*Datos!$C$15^Stock!$B39)</f>
        <v>0</v>
      </c>
      <c r="AD39">
        <f>IF($B39&gt;AD$2,0,$C$3*(Datos!$C$14)^(Stock!AD$2-Stock!$B39)*Datos!$C$15^Stock!$B39)</f>
        <v>0</v>
      </c>
      <c r="AE39">
        <f>IF($B39&gt;AE$2,0,$C$3*(Datos!$C$14)^(Stock!AE$2-Stock!$B39)*Datos!$C$15^Stock!$B39)</f>
        <v>0</v>
      </c>
      <c r="AF39">
        <f>IF($B39&gt;AF$2,0,$C$3*(Datos!$C$14)^(Stock!AF$2-Stock!$B39)*Datos!$C$15^Stock!$B39)</f>
        <v>0</v>
      </c>
      <c r="AG39">
        <f>IF($B39&gt;AG$2,0,$C$3*(Datos!$C$14)^(Stock!AG$2-Stock!$B39)*Datos!$C$15^Stock!$B39)</f>
        <v>0</v>
      </c>
      <c r="AH39">
        <f>IF($B39&gt;AH$2,0,$C$3*(Datos!$C$14)^(Stock!AH$2-Stock!$B39)*Datos!$C$15^Stock!$B39)</f>
        <v>0</v>
      </c>
      <c r="AI39">
        <f>IF($B39&gt;AI$2,0,$C$3*(Datos!$C$14)^(Stock!AI$2-Stock!$B39)*Datos!$C$15^Stock!$B39)</f>
        <v>0</v>
      </c>
      <c r="AJ39">
        <f>IF($B39&gt;AJ$2,0,$C$3*(Datos!$C$14)^(Stock!AJ$2-Stock!$B39)*Datos!$C$15^Stock!$B39)</f>
        <v>0</v>
      </c>
      <c r="AK39">
        <f>IF($B39&gt;AK$2,0,$C$3*(Datos!$C$14)^(Stock!AK$2-Stock!$B39)*Datos!$C$15^Stock!$B39)</f>
        <v>0</v>
      </c>
      <c r="AL39">
        <f>IF($B39&gt;AL$2,0,$C$3*(Datos!$C$14)^(Stock!AL$2-Stock!$B39)*Datos!$C$15^Stock!$B39)</f>
        <v>0</v>
      </c>
      <c r="AM39">
        <f>IF($B39&gt;AM$2,0,$C$3*(Datos!$C$14)^(Stock!AM$2-Stock!$B39)*Datos!$C$15^Stock!$B39)</f>
        <v>3.0277533385140373E-3</v>
      </c>
      <c r="AN39">
        <f>IF($B39&gt;AN$2,0,$C$3*(Datos!$C$14)^(Stock!AN$2-Stock!$B39)*Datos!$C$15^Stock!$B39)</f>
        <v>5.4307917887721586E-3</v>
      </c>
      <c r="AO39">
        <f>IF($B39&gt;AO$2,0,$C$3*(Datos!$C$14)^(Stock!AO$2-Stock!$B39)*Datos!$C$15^Stock!$B39)</f>
        <v>9.7410509230814474E-3</v>
      </c>
      <c r="AP39">
        <f>IF($B39&gt;AP$2,0,$C$3*(Datos!$C$14)^(Stock!AP$2-Stock!$B39)*Datos!$C$15^Stock!$B39)</f>
        <v>1.7472235500215906E-2</v>
      </c>
      <c r="AQ39">
        <f>IF($B39&gt;AQ$2,0,$C$3*(Datos!$C$14)^(Stock!AQ$2-Stock!$B39)*Datos!$C$15^Stock!$B39)</f>
        <v>3.1339433063802734E-2</v>
      </c>
      <c r="AR39">
        <f>IF($B39&gt;AR$2,0,$C$3*(Datos!$C$14)^(Stock!AR$2-Stock!$B39)*Datos!$C$15^Stock!$B39)</f>
        <v>5.6212615995728514E-2</v>
      </c>
      <c r="AS39">
        <f>IF($B39&gt;AS$2,0,$C$3*(Datos!$C$14)^(Stock!AS$2-Stock!$B39)*Datos!$C$15^Stock!$B39)</f>
        <v>0.10082691000345158</v>
      </c>
      <c r="AT39">
        <f>IF($B39&gt;AT$2,0,$C$3*(Datos!$C$14)^(Stock!AT$2-Stock!$B39)*Datos!$C$15^Stock!$B39)</f>
        <v>0.1808502522212562</v>
      </c>
      <c r="AU39">
        <f>IF($B39&gt;AU$2,0,$C$3*(Datos!$C$14)^(Stock!AU$2-Stock!$B39)*Datos!$C$15^Stock!$B39)</f>
        <v>0.324385758994026</v>
      </c>
      <c r="AV39">
        <f>IF($B39&gt;AV$2,0,$C$3*(Datos!$C$14)^(Stock!AV$2-Stock!$B39)*Datos!$C$15^Stock!$B39)</f>
        <v>0.58184116054974766</v>
      </c>
      <c r="AW39">
        <f>IF($B39&gt;AW$2,0,$C$3*(Datos!$C$14)^(Stock!AW$2-Stock!$B39)*Datos!$C$15^Stock!$B39)</f>
        <v>1.0436313146413803</v>
      </c>
      <c r="AX39">
        <f>IF($B39&gt;AX$2,0,$C$3*(Datos!$C$14)^(Stock!AX$2-Stock!$B39)*Datos!$C$15^Stock!$B39)</f>
        <v>1.8719306827158912</v>
      </c>
      <c r="AY39">
        <f>IF($B39&gt;AY$2,0,$C$3*(Datos!$C$14)^(Stock!AY$2-Stock!$B39)*Datos!$C$15^Stock!$B39)</f>
        <v>3.3576268091354602</v>
      </c>
      <c r="AZ39">
        <f>IF($B39&gt;AZ$2,0,$C$3*(Datos!$C$14)^(Stock!AZ$2-Stock!$B39)*Datos!$C$15^Stock!$B39)</f>
        <v>6.0224760956793437</v>
      </c>
      <c r="BA39">
        <f>IF($B39&gt;BA$2,0,$C$3*(Datos!$C$14)^(Stock!BA$2-Stock!$B39)*Datos!$C$15^Stock!$B39)</f>
        <v>10.802337598789951</v>
      </c>
    </row>
    <row r="40" spans="2:53" x14ac:dyDescent="0.25">
      <c r="B40">
        <v>37</v>
      </c>
      <c r="D40">
        <f>IF($B40&gt;D$2,0,$C$3*(Datos!$C$14)^(Stock!D$2-Stock!$B40)*Datos!$C$15^Stock!$B40)</f>
        <v>0</v>
      </c>
      <c r="E40">
        <f>IF($B40&gt;E$2,0,$C$3*(Datos!$C$14)^(Stock!E$2-Stock!$B40)*Datos!$C$15^Stock!$B40)</f>
        <v>0</v>
      </c>
      <c r="F40">
        <f>IF($B40&gt;F$2,0,$C$3*(Datos!$C$14)^(Stock!F$2-Stock!$B40)*Datos!$C$15^Stock!$B40)</f>
        <v>0</v>
      </c>
      <c r="G40">
        <f>IF($B40&gt;G$2,0,$C$3*(Datos!$C$14)^(Stock!G$2-Stock!$B40)*Datos!$C$15^Stock!$B40)</f>
        <v>0</v>
      </c>
      <c r="H40">
        <f>IF($B40&gt;H$2,0,$C$3*(Datos!$C$14)^(Stock!H$2-Stock!$B40)*Datos!$C$15^Stock!$B40)</f>
        <v>0</v>
      </c>
      <c r="I40">
        <f>IF($B40&gt;I$2,0,$C$3*(Datos!$C$14)^(Stock!I$2-Stock!$B40)*Datos!$C$15^Stock!$B40)</f>
        <v>0</v>
      </c>
      <c r="J40">
        <f>IF($B40&gt;J$2,0,$C$3*(Datos!$C$14)^(Stock!J$2-Stock!$B40)*Datos!$C$15^Stock!$B40)</f>
        <v>0</v>
      </c>
      <c r="K40">
        <f>IF($B40&gt;K$2,0,$C$3*(Datos!$C$14)^(Stock!K$2-Stock!$B40)*Datos!$C$15^Stock!$B40)</f>
        <v>0</v>
      </c>
      <c r="L40">
        <f>IF($B40&gt;L$2,0,$C$3*(Datos!$C$14)^(Stock!L$2-Stock!$B40)*Datos!$C$15^Stock!$B40)</f>
        <v>0</v>
      </c>
      <c r="M40">
        <f>IF($B40&gt;M$2,0,$C$3*(Datos!$C$14)^(Stock!M$2-Stock!$B40)*Datos!$C$15^Stock!$B40)</f>
        <v>0</v>
      </c>
      <c r="N40">
        <f>IF($B40&gt;N$2,0,$C$3*(Datos!$C$14)^(Stock!N$2-Stock!$B40)*Datos!$C$15^Stock!$B40)</f>
        <v>0</v>
      </c>
      <c r="O40">
        <f>IF($B40&gt;O$2,0,$C$3*(Datos!$C$14)^(Stock!O$2-Stock!$B40)*Datos!$C$15^Stock!$B40)</f>
        <v>0</v>
      </c>
      <c r="P40">
        <f>IF($B40&gt;P$2,0,$C$3*(Datos!$C$14)^(Stock!P$2-Stock!$B40)*Datos!$C$15^Stock!$B40)</f>
        <v>0</v>
      </c>
      <c r="Q40">
        <f>IF($B40&gt;Q$2,0,$C$3*(Datos!$C$14)^(Stock!Q$2-Stock!$B40)*Datos!$C$15^Stock!$B40)</f>
        <v>0</v>
      </c>
      <c r="R40">
        <f>IF($B40&gt;R$2,0,$C$3*(Datos!$C$14)^(Stock!R$2-Stock!$B40)*Datos!$C$15^Stock!$B40)</f>
        <v>0</v>
      </c>
      <c r="S40">
        <f>IF($B40&gt;S$2,0,$C$3*(Datos!$C$14)^(Stock!S$2-Stock!$B40)*Datos!$C$15^Stock!$B40)</f>
        <v>0</v>
      </c>
      <c r="T40">
        <f>IF($B40&gt;T$2,0,$C$3*(Datos!$C$14)^(Stock!T$2-Stock!$B40)*Datos!$C$15^Stock!$B40)</f>
        <v>0</v>
      </c>
      <c r="U40">
        <f>IF($B40&gt;U$2,0,$C$3*(Datos!$C$14)^(Stock!U$2-Stock!$B40)*Datos!$C$15^Stock!$B40)</f>
        <v>0</v>
      </c>
      <c r="V40">
        <f>IF($B40&gt;V$2,0,$C$3*(Datos!$C$14)^(Stock!V$2-Stock!$B40)*Datos!$C$15^Stock!$B40)</f>
        <v>0</v>
      </c>
      <c r="W40">
        <f>IF($B40&gt;W$2,0,$C$3*(Datos!$C$14)^(Stock!W$2-Stock!$B40)*Datos!$C$15^Stock!$B40)</f>
        <v>0</v>
      </c>
      <c r="X40">
        <f>IF($B40&gt;X$2,0,$C$3*(Datos!$C$14)^(Stock!X$2-Stock!$B40)*Datos!$C$15^Stock!$B40)</f>
        <v>0</v>
      </c>
      <c r="Y40">
        <f>IF($B40&gt;Y$2,0,$C$3*(Datos!$C$14)^(Stock!Y$2-Stock!$B40)*Datos!$C$15^Stock!$B40)</f>
        <v>0</v>
      </c>
      <c r="Z40">
        <f>IF($B40&gt;Z$2,0,$C$3*(Datos!$C$14)^(Stock!Z$2-Stock!$B40)*Datos!$C$15^Stock!$B40)</f>
        <v>0</v>
      </c>
      <c r="AA40">
        <f>IF($B40&gt;AA$2,0,$C$3*(Datos!$C$14)^(Stock!AA$2-Stock!$B40)*Datos!$C$15^Stock!$B40)</f>
        <v>0</v>
      </c>
      <c r="AB40">
        <f>IF($B40&gt;AB$2,0,$C$3*(Datos!$C$14)^(Stock!AB$2-Stock!$B40)*Datos!$C$15^Stock!$B40)</f>
        <v>0</v>
      </c>
      <c r="AC40">
        <f>IF($B40&gt;AC$2,0,$C$3*(Datos!$C$14)^(Stock!AC$2-Stock!$B40)*Datos!$C$15^Stock!$B40)</f>
        <v>0</v>
      </c>
      <c r="AD40">
        <f>IF($B40&gt;AD$2,0,$C$3*(Datos!$C$14)^(Stock!AD$2-Stock!$B40)*Datos!$C$15^Stock!$B40)</f>
        <v>0</v>
      </c>
      <c r="AE40">
        <f>IF($B40&gt;AE$2,0,$C$3*(Datos!$C$14)^(Stock!AE$2-Stock!$B40)*Datos!$C$15^Stock!$B40)</f>
        <v>0</v>
      </c>
      <c r="AF40">
        <f>IF($B40&gt;AF$2,0,$C$3*(Datos!$C$14)^(Stock!AF$2-Stock!$B40)*Datos!$C$15^Stock!$B40)</f>
        <v>0</v>
      </c>
      <c r="AG40">
        <f>IF($B40&gt;AG$2,0,$C$3*(Datos!$C$14)^(Stock!AG$2-Stock!$B40)*Datos!$C$15^Stock!$B40)</f>
        <v>0</v>
      </c>
      <c r="AH40">
        <f>IF($B40&gt;AH$2,0,$C$3*(Datos!$C$14)^(Stock!AH$2-Stock!$B40)*Datos!$C$15^Stock!$B40)</f>
        <v>0</v>
      </c>
      <c r="AI40">
        <f>IF($B40&gt;AI$2,0,$C$3*(Datos!$C$14)^(Stock!AI$2-Stock!$B40)*Datos!$C$15^Stock!$B40)</f>
        <v>0</v>
      </c>
      <c r="AJ40">
        <f>IF($B40&gt;AJ$2,0,$C$3*(Datos!$C$14)^(Stock!AJ$2-Stock!$B40)*Datos!$C$15^Stock!$B40)</f>
        <v>0</v>
      </c>
      <c r="AK40">
        <f>IF($B40&gt;AK$2,0,$C$3*(Datos!$C$14)^(Stock!AK$2-Stock!$B40)*Datos!$C$15^Stock!$B40)</f>
        <v>0</v>
      </c>
      <c r="AL40">
        <f>IF($B40&gt;AL$2,0,$C$3*(Datos!$C$14)^(Stock!AL$2-Stock!$B40)*Datos!$C$15^Stock!$B40)</f>
        <v>0</v>
      </c>
      <c r="AM40">
        <f>IF($B40&gt;AM$2,0,$C$3*(Datos!$C$14)^(Stock!AM$2-Stock!$B40)*Datos!$C$15^Stock!$B40)</f>
        <v>0</v>
      </c>
      <c r="AN40">
        <f>IF($B40&gt;AN$2,0,$C$3*(Datos!$C$14)^(Stock!AN$2-Stock!$B40)*Datos!$C$15^Stock!$B40)</f>
        <v>2.3246205079850845E-3</v>
      </c>
      <c r="AO40">
        <f>IF($B40&gt;AO$2,0,$C$3*(Datos!$C$14)^(Stock!AO$2-Stock!$B40)*Datos!$C$15^Stock!$B40)</f>
        <v>4.1696031860285667E-3</v>
      </c>
      <c r="AP40">
        <f>IF($B40&gt;AP$2,0,$C$3*(Datos!$C$14)^(Stock!AP$2-Stock!$B40)*Datos!$C$15^Stock!$B40)</f>
        <v>7.4788941546458758E-3</v>
      </c>
      <c r="AQ40">
        <f>IF($B40&gt;AQ$2,0,$C$3*(Datos!$C$14)^(Stock!AQ$2-Stock!$B40)*Datos!$C$15^Stock!$B40)</f>
        <v>1.3414671679985868E-2</v>
      </c>
      <c r="AR40">
        <f>IF($B40&gt;AR$2,0,$C$3*(Datos!$C$14)^(Stock!AR$2-Stock!$B40)*Datos!$C$15^Stock!$B40)</f>
        <v>2.4061500612363673E-2</v>
      </c>
      <c r="AS40">
        <f>IF($B40&gt;AS$2,0,$C$3*(Datos!$C$14)^(Stock!AS$2-Stock!$B40)*Datos!$C$15^Stock!$B40)</f>
        <v>4.3158403390711038E-2</v>
      </c>
      <c r="AT40">
        <f>IF($B40&gt;AT$2,0,$C$3*(Datos!$C$14)^(Stock!AT$2-Stock!$B40)*Datos!$C$15^Stock!$B40)</f>
        <v>7.7411954193673263E-2</v>
      </c>
      <c r="AU40">
        <f>IF($B40&gt;AU$2,0,$C$3*(Datos!$C$14)^(Stock!AU$2-Stock!$B40)*Datos!$C$15^Stock!$B40)</f>
        <v>0.13885153715795601</v>
      </c>
      <c r="AV40">
        <f>IF($B40&gt;AV$2,0,$C$3*(Datos!$C$14)^(Stock!AV$2-Stock!$B40)*Datos!$C$15^Stock!$B40)</f>
        <v>0.24905390352105253</v>
      </c>
      <c r="AW40">
        <f>IF($B40&gt;AW$2,0,$C$3*(Datos!$C$14)^(Stock!AW$2-Stock!$B40)*Datos!$C$15^Stock!$B40)</f>
        <v>0.44672063506586557</v>
      </c>
      <c r="AX40">
        <f>IF($B40&gt;AX$2,0,$C$3*(Datos!$C$14)^(Stock!AX$2-Stock!$B40)*Datos!$C$15^Stock!$B40)</f>
        <v>0.80126961662651275</v>
      </c>
      <c r="AY40">
        <f>IF($B40&gt;AY$2,0,$C$3*(Datos!$C$14)^(Stock!AY$2-Stock!$B40)*Datos!$C$15^Stock!$B40)</f>
        <v>1.4372136591230797</v>
      </c>
      <c r="AZ40">
        <f>IF($B40&gt;AZ$2,0,$C$3*(Datos!$C$14)^(Stock!AZ$2-Stock!$B40)*Datos!$C$15^Stock!$B40)</f>
        <v>2.5778877160804177</v>
      </c>
      <c r="BA40">
        <f>IF($B40&gt;BA$2,0,$C$3*(Datos!$C$14)^(Stock!BA$2-Stock!$B40)*Datos!$C$15^Stock!$B40)</f>
        <v>4.6238811011391894</v>
      </c>
    </row>
    <row r="41" spans="2:53" x14ac:dyDescent="0.25">
      <c r="B41">
        <v>38</v>
      </c>
      <c r="D41">
        <f>IF($B41&gt;D$2,0,$C$3*(Datos!$C$14)^(Stock!D$2-Stock!$B41)*Datos!$C$15^Stock!$B41)</f>
        <v>0</v>
      </c>
      <c r="E41">
        <f>IF($B41&gt;E$2,0,$C$3*(Datos!$C$14)^(Stock!E$2-Stock!$B41)*Datos!$C$15^Stock!$B41)</f>
        <v>0</v>
      </c>
      <c r="F41">
        <f>IF($B41&gt;F$2,0,$C$3*(Datos!$C$14)^(Stock!F$2-Stock!$B41)*Datos!$C$15^Stock!$B41)</f>
        <v>0</v>
      </c>
      <c r="G41">
        <f>IF($B41&gt;G$2,0,$C$3*(Datos!$C$14)^(Stock!G$2-Stock!$B41)*Datos!$C$15^Stock!$B41)</f>
        <v>0</v>
      </c>
      <c r="H41">
        <f>IF($B41&gt;H$2,0,$C$3*(Datos!$C$14)^(Stock!H$2-Stock!$B41)*Datos!$C$15^Stock!$B41)</f>
        <v>0</v>
      </c>
      <c r="I41">
        <f>IF($B41&gt;I$2,0,$C$3*(Datos!$C$14)^(Stock!I$2-Stock!$B41)*Datos!$C$15^Stock!$B41)</f>
        <v>0</v>
      </c>
      <c r="J41">
        <f>IF($B41&gt;J$2,0,$C$3*(Datos!$C$14)^(Stock!J$2-Stock!$B41)*Datos!$C$15^Stock!$B41)</f>
        <v>0</v>
      </c>
      <c r="K41">
        <f>IF($B41&gt;K$2,0,$C$3*(Datos!$C$14)^(Stock!K$2-Stock!$B41)*Datos!$C$15^Stock!$B41)</f>
        <v>0</v>
      </c>
      <c r="L41">
        <f>IF($B41&gt;L$2,0,$C$3*(Datos!$C$14)^(Stock!L$2-Stock!$B41)*Datos!$C$15^Stock!$B41)</f>
        <v>0</v>
      </c>
      <c r="M41">
        <f>IF($B41&gt;M$2,0,$C$3*(Datos!$C$14)^(Stock!M$2-Stock!$B41)*Datos!$C$15^Stock!$B41)</f>
        <v>0</v>
      </c>
      <c r="N41">
        <f>IF($B41&gt;N$2,0,$C$3*(Datos!$C$14)^(Stock!N$2-Stock!$B41)*Datos!$C$15^Stock!$B41)</f>
        <v>0</v>
      </c>
      <c r="O41">
        <f>IF($B41&gt;O$2,0,$C$3*(Datos!$C$14)^(Stock!O$2-Stock!$B41)*Datos!$C$15^Stock!$B41)</f>
        <v>0</v>
      </c>
      <c r="P41">
        <f>IF($B41&gt;P$2,0,$C$3*(Datos!$C$14)^(Stock!P$2-Stock!$B41)*Datos!$C$15^Stock!$B41)</f>
        <v>0</v>
      </c>
      <c r="Q41">
        <f>IF($B41&gt;Q$2,0,$C$3*(Datos!$C$14)^(Stock!Q$2-Stock!$B41)*Datos!$C$15^Stock!$B41)</f>
        <v>0</v>
      </c>
      <c r="R41">
        <f>IF($B41&gt;R$2,0,$C$3*(Datos!$C$14)^(Stock!R$2-Stock!$B41)*Datos!$C$15^Stock!$B41)</f>
        <v>0</v>
      </c>
      <c r="S41">
        <f>IF($B41&gt;S$2,0,$C$3*(Datos!$C$14)^(Stock!S$2-Stock!$B41)*Datos!$C$15^Stock!$B41)</f>
        <v>0</v>
      </c>
      <c r="T41">
        <f>IF($B41&gt;T$2,0,$C$3*(Datos!$C$14)^(Stock!T$2-Stock!$B41)*Datos!$C$15^Stock!$B41)</f>
        <v>0</v>
      </c>
      <c r="U41">
        <f>IF($B41&gt;U$2,0,$C$3*(Datos!$C$14)^(Stock!U$2-Stock!$B41)*Datos!$C$15^Stock!$B41)</f>
        <v>0</v>
      </c>
      <c r="V41">
        <f>IF($B41&gt;V$2,0,$C$3*(Datos!$C$14)^(Stock!V$2-Stock!$B41)*Datos!$C$15^Stock!$B41)</f>
        <v>0</v>
      </c>
      <c r="W41">
        <f>IF($B41&gt;W$2,0,$C$3*(Datos!$C$14)^(Stock!W$2-Stock!$B41)*Datos!$C$15^Stock!$B41)</f>
        <v>0</v>
      </c>
      <c r="X41">
        <f>IF($B41&gt;X$2,0,$C$3*(Datos!$C$14)^(Stock!X$2-Stock!$B41)*Datos!$C$15^Stock!$B41)</f>
        <v>0</v>
      </c>
      <c r="Y41">
        <f>IF($B41&gt;Y$2,0,$C$3*(Datos!$C$14)^(Stock!Y$2-Stock!$B41)*Datos!$C$15^Stock!$B41)</f>
        <v>0</v>
      </c>
      <c r="Z41">
        <f>IF($B41&gt;Z$2,0,$C$3*(Datos!$C$14)^(Stock!Z$2-Stock!$B41)*Datos!$C$15^Stock!$B41)</f>
        <v>0</v>
      </c>
      <c r="AA41">
        <f>IF($B41&gt;AA$2,0,$C$3*(Datos!$C$14)^(Stock!AA$2-Stock!$B41)*Datos!$C$15^Stock!$B41)</f>
        <v>0</v>
      </c>
      <c r="AB41">
        <f>IF($B41&gt;AB$2,0,$C$3*(Datos!$C$14)^(Stock!AB$2-Stock!$B41)*Datos!$C$15^Stock!$B41)</f>
        <v>0</v>
      </c>
      <c r="AC41">
        <f>IF($B41&gt;AC$2,0,$C$3*(Datos!$C$14)^(Stock!AC$2-Stock!$B41)*Datos!$C$15^Stock!$B41)</f>
        <v>0</v>
      </c>
      <c r="AD41">
        <f>IF($B41&gt;AD$2,0,$C$3*(Datos!$C$14)^(Stock!AD$2-Stock!$B41)*Datos!$C$15^Stock!$B41)</f>
        <v>0</v>
      </c>
      <c r="AE41">
        <f>IF($B41&gt;AE$2,0,$C$3*(Datos!$C$14)^(Stock!AE$2-Stock!$B41)*Datos!$C$15^Stock!$B41)</f>
        <v>0</v>
      </c>
      <c r="AF41">
        <f>IF($B41&gt;AF$2,0,$C$3*(Datos!$C$14)^(Stock!AF$2-Stock!$B41)*Datos!$C$15^Stock!$B41)</f>
        <v>0</v>
      </c>
      <c r="AG41">
        <f>IF($B41&gt;AG$2,0,$C$3*(Datos!$C$14)^(Stock!AG$2-Stock!$B41)*Datos!$C$15^Stock!$B41)</f>
        <v>0</v>
      </c>
      <c r="AH41">
        <f>IF($B41&gt;AH$2,0,$C$3*(Datos!$C$14)^(Stock!AH$2-Stock!$B41)*Datos!$C$15^Stock!$B41)</f>
        <v>0</v>
      </c>
      <c r="AI41">
        <f>IF($B41&gt;AI$2,0,$C$3*(Datos!$C$14)^(Stock!AI$2-Stock!$B41)*Datos!$C$15^Stock!$B41)</f>
        <v>0</v>
      </c>
      <c r="AJ41">
        <f>IF($B41&gt;AJ$2,0,$C$3*(Datos!$C$14)^(Stock!AJ$2-Stock!$B41)*Datos!$C$15^Stock!$B41)</f>
        <v>0</v>
      </c>
      <c r="AK41">
        <f>IF($B41&gt;AK$2,0,$C$3*(Datos!$C$14)^(Stock!AK$2-Stock!$B41)*Datos!$C$15^Stock!$B41)</f>
        <v>0</v>
      </c>
      <c r="AL41">
        <f>IF($B41&gt;AL$2,0,$C$3*(Datos!$C$14)^(Stock!AL$2-Stock!$B41)*Datos!$C$15^Stock!$B41)</f>
        <v>0</v>
      </c>
      <c r="AM41">
        <f>IF($B41&gt;AM$2,0,$C$3*(Datos!$C$14)^(Stock!AM$2-Stock!$B41)*Datos!$C$15^Stock!$B41)</f>
        <v>0</v>
      </c>
      <c r="AN41">
        <f>IF($B41&gt;AN$2,0,$C$3*(Datos!$C$14)^(Stock!AN$2-Stock!$B41)*Datos!$C$15^Stock!$B41)</f>
        <v>0</v>
      </c>
      <c r="AO41">
        <f>IF($B41&gt;AO$2,0,$C$3*(Datos!$C$14)^(Stock!AO$2-Stock!$B41)*Datos!$C$15^Stock!$B41)</f>
        <v>1.7847756742287804E-3</v>
      </c>
      <c r="AP41">
        <f>IF($B41&gt;AP$2,0,$C$3*(Datos!$C$14)^(Stock!AP$2-Stock!$B41)*Datos!$C$15^Stock!$B41)</f>
        <v>3.2012994430910165E-3</v>
      </c>
      <c r="AQ41">
        <f>IF($B41&gt;AQ$2,0,$C$3*(Datos!$C$14)^(Stock!AQ$2-Stock!$B41)*Datos!$C$15^Stock!$B41)</f>
        <v>5.7420763137436036E-3</v>
      </c>
      <c r="AR41">
        <f>IF($B41&gt;AR$2,0,$C$3*(Datos!$C$14)^(Stock!AR$2-Stock!$B41)*Datos!$C$15^Stock!$B41)</f>
        <v>1.0299392786892734E-2</v>
      </c>
      <c r="AS41">
        <f>IF($B41&gt;AS$2,0,$C$3*(Datos!$C$14)^(Stock!AS$2-Stock!$B41)*Datos!$C$15^Stock!$B41)</f>
        <v>1.8473716819959816E-2</v>
      </c>
      <c r="AT41">
        <f>IF($B41&gt;AT$2,0,$C$3*(Datos!$C$14)^(Stock!AT$2-Stock!$B41)*Datos!$C$15^Stock!$B41)</f>
        <v>3.3135760544872647E-2</v>
      </c>
      <c r="AU41">
        <f>IF($B41&gt;AU$2,0,$C$3*(Datos!$C$14)^(Stock!AU$2-Stock!$B41)*Datos!$C$15^Stock!$B41)</f>
        <v>5.9434635573759283E-2</v>
      </c>
      <c r="AV41">
        <f>IF($B41&gt;AV$2,0,$C$3*(Datos!$C$14)^(Stock!AV$2-Stock!$B41)*Datos!$C$15^Stock!$B41)</f>
        <v>0.10660615141161078</v>
      </c>
      <c r="AW41">
        <f>IF($B41&gt;AW$2,0,$C$3*(Datos!$C$14)^(Stock!AW$2-Stock!$B41)*Datos!$C$15^Stock!$B41)</f>
        <v>0.19121630694094707</v>
      </c>
      <c r="AX41">
        <f>IF($B41&gt;AX$2,0,$C$3*(Datos!$C$14)^(Stock!AX$2-Stock!$B41)*Datos!$C$15^Stock!$B41)</f>
        <v>0.34297904535509022</v>
      </c>
      <c r="AY41">
        <f>IF($B41&gt;AY$2,0,$C$3*(Datos!$C$14)^(Stock!AY$2-Stock!$B41)*Datos!$C$15^Stock!$B41)</f>
        <v>0.6151913894509945</v>
      </c>
      <c r="AZ41">
        <f>IF($B41&gt;AZ$2,0,$C$3*(Datos!$C$14)^(Stock!AZ$2-Stock!$B41)*Datos!$C$15^Stock!$B41)</f>
        <v>1.103450635775199</v>
      </c>
      <c r="BA41">
        <f>IF($B41&gt;BA$2,0,$C$3*(Datos!$C$14)^(Stock!BA$2-Stock!$B41)*Datos!$C$15^Stock!$B41)</f>
        <v>1.9792268332612677</v>
      </c>
    </row>
    <row r="42" spans="2:53" x14ac:dyDescent="0.25">
      <c r="B42">
        <v>39</v>
      </c>
      <c r="D42">
        <f>IF($B42&gt;D$2,0,$C$3*(Datos!$C$14)^(Stock!D$2-Stock!$B42)*Datos!$C$15^Stock!$B42)</f>
        <v>0</v>
      </c>
      <c r="E42">
        <f>IF($B42&gt;E$2,0,$C$3*(Datos!$C$14)^(Stock!E$2-Stock!$B42)*Datos!$C$15^Stock!$B42)</f>
        <v>0</v>
      </c>
      <c r="F42">
        <f>IF($B42&gt;F$2,0,$C$3*(Datos!$C$14)^(Stock!F$2-Stock!$B42)*Datos!$C$15^Stock!$B42)</f>
        <v>0</v>
      </c>
      <c r="G42">
        <f>IF($B42&gt;G$2,0,$C$3*(Datos!$C$14)^(Stock!G$2-Stock!$B42)*Datos!$C$15^Stock!$B42)</f>
        <v>0</v>
      </c>
      <c r="H42">
        <f>IF($B42&gt;H$2,0,$C$3*(Datos!$C$14)^(Stock!H$2-Stock!$B42)*Datos!$C$15^Stock!$B42)</f>
        <v>0</v>
      </c>
      <c r="I42">
        <f>IF($B42&gt;I$2,0,$C$3*(Datos!$C$14)^(Stock!I$2-Stock!$B42)*Datos!$C$15^Stock!$B42)</f>
        <v>0</v>
      </c>
      <c r="J42">
        <f>IF($B42&gt;J$2,0,$C$3*(Datos!$C$14)^(Stock!J$2-Stock!$B42)*Datos!$C$15^Stock!$B42)</f>
        <v>0</v>
      </c>
      <c r="K42">
        <f>IF($B42&gt;K$2,0,$C$3*(Datos!$C$14)^(Stock!K$2-Stock!$B42)*Datos!$C$15^Stock!$B42)</f>
        <v>0</v>
      </c>
      <c r="L42">
        <f>IF($B42&gt;L$2,0,$C$3*(Datos!$C$14)^(Stock!L$2-Stock!$B42)*Datos!$C$15^Stock!$B42)</f>
        <v>0</v>
      </c>
      <c r="M42">
        <f>IF($B42&gt;M$2,0,$C$3*(Datos!$C$14)^(Stock!M$2-Stock!$B42)*Datos!$C$15^Stock!$B42)</f>
        <v>0</v>
      </c>
      <c r="N42">
        <f>IF($B42&gt;N$2,0,$C$3*(Datos!$C$14)^(Stock!N$2-Stock!$B42)*Datos!$C$15^Stock!$B42)</f>
        <v>0</v>
      </c>
      <c r="O42">
        <f>IF($B42&gt;O$2,0,$C$3*(Datos!$C$14)^(Stock!O$2-Stock!$B42)*Datos!$C$15^Stock!$B42)</f>
        <v>0</v>
      </c>
      <c r="P42">
        <f>IF($B42&gt;P$2,0,$C$3*(Datos!$C$14)^(Stock!P$2-Stock!$B42)*Datos!$C$15^Stock!$B42)</f>
        <v>0</v>
      </c>
      <c r="Q42">
        <f>IF($B42&gt;Q$2,0,$C$3*(Datos!$C$14)^(Stock!Q$2-Stock!$B42)*Datos!$C$15^Stock!$B42)</f>
        <v>0</v>
      </c>
      <c r="R42">
        <f>IF($B42&gt;R$2,0,$C$3*(Datos!$C$14)^(Stock!R$2-Stock!$B42)*Datos!$C$15^Stock!$B42)</f>
        <v>0</v>
      </c>
      <c r="S42">
        <f>IF($B42&gt;S$2,0,$C$3*(Datos!$C$14)^(Stock!S$2-Stock!$B42)*Datos!$C$15^Stock!$B42)</f>
        <v>0</v>
      </c>
      <c r="T42">
        <f>IF($B42&gt;T$2,0,$C$3*(Datos!$C$14)^(Stock!T$2-Stock!$B42)*Datos!$C$15^Stock!$B42)</f>
        <v>0</v>
      </c>
      <c r="U42">
        <f>IF($B42&gt;U$2,0,$C$3*(Datos!$C$14)^(Stock!U$2-Stock!$B42)*Datos!$C$15^Stock!$B42)</f>
        <v>0</v>
      </c>
      <c r="V42">
        <f>IF($B42&gt;V$2,0,$C$3*(Datos!$C$14)^(Stock!V$2-Stock!$B42)*Datos!$C$15^Stock!$B42)</f>
        <v>0</v>
      </c>
      <c r="W42">
        <f>IF($B42&gt;W$2,0,$C$3*(Datos!$C$14)^(Stock!W$2-Stock!$B42)*Datos!$C$15^Stock!$B42)</f>
        <v>0</v>
      </c>
      <c r="X42">
        <f>IF($B42&gt;X$2,0,$C$3*(Datos!$C$14)^(Stock!X$2-Stock!$B42)*Datos!$C$15^Stock!$B42)</f>
        <v>0</v>
      </c>
      <c r="Y42">
        <f>IF($B42&gt;Y$2,0,$C$3*(Datos!$C$14)^(Stock!Y$2-Stock!$B42)*Datos!$C$15^Stock!$B42)</f>
        <v>0</v>
      </c>
      <c r="Z42">
        <f>IF($B42&gt;Z$2,0,$C$3*(Datos!$C$14)^(Stock!Z$2-Stock!$B42)*Datos!$C$15^Stock!$B42)</f>
        <v>0</v>
      </c>
      <c r="AA42">
        <f>IF($B42&gt;AA$2,0,$C$3*(Datos!$C$14)^(Stock!AA$2-Stock!$B42)*Datos!$C$15^Stock!$B42)</f>
        <v>0</v>
      </c>
      <c r="AB42">
        <f>IF($B42&gt;AB$2,0,$C$3*(Datos!$C$14)^(Stock!AB$2-Stock!$B42)*Datos!$C$15^Stock!$B42)</f>
        <v>0</v>
      </c>
      <c r="AC42">
        <f>IF($B42&gt;AC$2,0,$C$3*(Datos!$C$14)^(Stock!AC$2-Stock!$B42)*Datos!$C$15^Stock!$B42)</f>
        <v>0</v>
      </c>
      <c r="AD42">
        <f>IF($B42&gt;AD$2,0,$C$3*(Datos!$C$14)^(Stock!AD$2-Stock!$B42)*Datos!$C$15^Stock!$B42)</f>
        <v>0</v>
      </c>
      <c r="AE42">
        <f>IF($B42&gt;AE$2,0,$C$3*(Datos!$C$14)^(Stock!AE$2-Stock!$B42)*Datos!$C$15^Stock!$B42)</f>
        <v>0</v>
      </c>
      <c r="AF42">
        <f>IF($B42&gt;AF$2,0,$C$3*(Datos!$C$14)^(Stock!AF$2-Stock!$B42)*Datos!$C$15^Stock!$B42)</f>
        <v>0</v>
      </c>
      <c r="AG42">
        <f>IF($B42&gt;AG$2,0,$C$3*(Datos!$C$14)^(Stock!AG$2-Stock!$B42)*Datos!$C$15^Stock!$B42)</f>
        <v>0</v>
      </c>
      <c r="AH42">
        <f>IF($B42&gt;AH$2,0,$C$3*(Datos!$C$14)^(Stock!AH$2-Stock!$B42)*Datos!$C$15^Stock!$B42)</f>
        <v>0</v>
      </c>
      <c r="AI42">
        <f>IF($B42&gt;AI$2,0,$C$3*(Datos!$C$14)^(Stock!AI$2-Stock!$B42)*Datos!$C$15^Stock!$B42)</f>
        <v>0</v>
      </c>
      <c r="AJ42">
        <f>IF($B42&gt;AJ$2,0,$C$3*(Datos!$C$14)^(Stock!AJ$2-Stock!$B42)*Datos!$C$15^Stock!$B42)</f>
        <v>0</v>
      </c>
      <c r="AK42">
        <f>IF($B42&gt;AK$2,0,$C$3*(Datos!$C$14)^(Stock!AK$2-Stock!$B42)*Datos!$C$15^Stock!$B42)</f>
        <v>0</v>
      </c>
      <c r="AL42">
        <f>IF($B42&gt;AL$2,0,$C$3*(Datos!$C$14)^(Stock!AL$2-Stock!$B42)*Datos!$C$15^Stock!$B42)</f>
        <v>0</v>
      </c>
      <c r="AM42">
        <f>IF($B42&gt;AM$2,0,$C$3*(Datos!$C$14)^(Stock!AM$2-Stock!$B42)*Datos!$C$15^Stock!$B42)</f>
        <v>0</v>
      </c>
      <c r="AN42">
        <f>IF($B42&gt;AN$2,0,$C$3*(Datos!$C$14)^(Stock!AN$2-Stock!$B42)*Datos!$C$15^Stock!$B42)</f>
        <v>0</v>
      </c>
      <c r="AO42">
        <f>IF($B42&gt;AO$2,0,$C$3*(Datos!$C$14)^(Stock!AO$2-Stock!$B42)*Datos!$C$15^Stock!$B42)</f>
        <v>0</v>
      </c>
      <c r="AP42">
        <f>IF($B42&gt;AP$2,0,$C$3*(Datos!$C$14)^(Stock!AP$2-Stock!$B42)*Datos!$C$15^Stock!$B42)</f>
        <v>1.3702985912654763E-3</v>
      </c>
      <c r="AQ42">
        <f>IF($B42&gt;AQ$2,0,$C$3*(Datos!$C$14)^(Stock!AQ$2-Stock!$B42)*Datos!$C$15^Stock!$B42)</f>
        <v>2.4578641340918805E-3</v>
      </c>
      <c r="AR42">
        <f>IF($B42&gt;AR$2,0,$C$3*(Datos!$C$14)^(Stock!AR$2-Stock!$B42)*Datos!$C$15^Stock!$B42)</f>
        <v>4.4085983450338753E-3</v>
      </c>
      <c r="AS42">
        <f>IF($B42&gt;AS$2,0,$C$3*(Datos!$C$14)^(Stock!AS$2-Stock!$B42)*Datos!$C$15^Stock!$B42)</f>
        <v>7.907572716592183E-3</v>
      </c>
      <c r="AT42">
        <f>IF($B42&gt;AT$2,0,$C$3*(Datos!$C$14)^(Stock!AT$2-Stock!$B42)*Datos!$C$15^Stock!$B42)</f>
        <v>1.4183579762631474E-2</v>
      </c>
      <c r="AU42">
        <f>IF($B42&gt;AU$2,0,$C$3*(Datos!$C$14)^(Stock!AU$2-Stock!$B42)*Datos!$C$15^Stock!$B42)</f>
        <v>2.5440668343246826E-2</v>
      </c>
      <c r="AV42">
        <f>IF($B42&gt;AV$2,0,$C$3*(Datos!$C$14)^(Stock!AV$2-Stock!$B42)*Datos!$C$15^Stock!$B42)</f>
        <v>4.5632175838732081E-2</v>
      </c>
      <c r="AW42">
        <f>IF($B42&gt;AW$2,0,$C$3*(Datos!$C$14)^(Stock!AW$2-Stock!$B42)*Datos!$C$15^Stock!$B42)</f>
        <v>8.1849086811813451E-2</v>
      </c>
      <c r="AX42">
        <f>IF($B42&gt;AX$2,0,$C$3*(Datos!$C$14)^(Stock!AX$2-Stock!$B42)*Datos!$C$15^Stock!$B42)</f>
        <v>0.1468102909579321</v>
      </c>
      <c r="AY42">
        <f>IF($B42&gt;AY$2,0,$C$3*(Datos!$C$14)^(Stock!AY$2-Stock!$B42)*Datos!$C$15^Stock!$B42)</f>
        <v>0.26332928528216454</v>
      </c>
      <c r="AZ42">
        <f>IF($B42&gt;AZ$2,0,$C$3*(Datos!$C$14)^(Stock!AZ$2-Stock!$B42)*Datos!$C$15^Stock!$B42)</f>
        <v>0.47232596594393622</v>
      </c>
      <c r="BA42">
        <f>IF($B42&gt;BA$2,0,$C$3*(Datos!$C$14)^(Stock!BA$2-Stock!$B42)*Datos!$C$15^Stock!$B42)</f>
        <v>0.84719714279337899</v>
      </c>
    </row>
    <row r="43" spans="2:53" x14ac:dyDescent="0.25">
      <c r="B43">
        <v>40</v>
      </c>
      <c r="D43">
        <f>IF($B43&gt;D$2,0,$C$3*(Datos!$C$14)^(Stock!D$2-Stock!$B43)*Datos!$C$15^Stock!$B43)</f>
        <v>0</v>
      </c>
      <c r="E43">
        <f>IF($B43&gt;E$2,0,$C$3*(Datos!$C$14)^(Stock!E$2-Stock!$B43)*Datos!$C$15^Stock!$B43)</f>
        <v>0</v>
      </c>
      <c r="F43">
        <f>IF($B43&gt;F$2,0,$C$3*(Datos!$C$14)^(Stock!F$2-Stock!$B43)*Datos!$C$15^Stock!$B43)</f>
        <v>0</v>
      </c>
      <c r="G43">
        <f>IF($B43&gt;G$2,0,$C$3*(Datos!$C$14)^(Stock!G$2-Stock!$B43)*Datos!$C$15^Stock!$B43)</f>
        <v>0</v>
      </c>
      <c r="H43">
        <f>IF($B43&gt;H$2,0,$C$3*(Datos!$C$14)^(Stock!H$2-Stock!$B43)*Datos!$C$15^Stock!$B43)</f>
        <v>0</v>
      </c>
      <c r="I43">
        <f>IF($B43&gt;I$2,0,$C$3*(Datos!$C$14)^(Stock!I$2-Stock!$B43)*Datos!$C$15^Stock!$B43)</f>
        <v>0</v>
      </c>
      <c r="J43">
        <f>IF($B43&gt;J$2,0,$C$3*(Datos!$C$14)^(Stock!J$2-Stock!$B43)*Datos!$C$15^Stock!$B43)</f>
        <v>0</v>
      </c>
      <c r="K43">
        <f>IF($B43&gt;K$2,0,$C$3*(Datos!$C$14)^(Stock!K$2-Stock!$B43)*Datos!$C$15^Stock!$B43)</f>
        <v>0</v>
      </c>
      <c r="L43">
        <f>IF($B43&gt;L$2,0,$C$3*(Datos!$C$14)^(Stock!L$2-Stock!$B43)*Datos!$C$15^Stock!$B43)</f>
        <v>0</v>
      </c>
      <c r="M43">
        <f>IF($B43&gt;M$2,0,$C$3*(Datos!$C$14)^(Stock!M$2-Stock!$B43)*Datos!$C$15^Stock!$B43)</f>
        <v>0</v>
      </c>
      <c r="N43">
        <f>IF($B43&gt;N$2,0,$C$3*(Datos!$C$14)^(Stock!N$2-Stock!$B43)*Datos!$C$15^Stock!$B43)</f>
        <v>0</v>
      </c>
      <c r="O43">
        <f>IF($B43&gt;O$2,0,$C$3*(Datos!$C$14)^(Stock!O$2-Stock!$B43)*Datos!$C$15^Stock!$B43)</f>
        <v>0</v>
      </c>
      <c r="P43">
        <f>IF($B43&gt;P$2,0,$C$3*(Datos!$C$14)^(Stock!P$2-Stock!$B43)*Datos!$C$15^Stock!$B43)</f>
        <v>0</v>
      </c>
      <c r="Q43">
        <f>IF($B43&gt;Q$2,0,$C$3*(Datos!$C$14)^(Stock!Q$2-Stock!$B43)*Datos!$C$15^Stock!$B43)</f>
        <v>0</v>
      </c>
      <c r="R43">
        <f>IF($B43&gt;R$2,0,$C$3*(Datos!$C$14)^(Stock!R$2-Stock!$B43)*Datos!$C$15^Stock!$B43)</f>
        <v>0</v>
      </c>
      <c r="S43">
        <f>IF($B43&gt;S$2,0,$C$3*(Datos!$C$14)^(Stock!S$2-Stock!$B43)*Datos!$C$15^Stock!$B43)</f>
        <v>0</v>
      </c>
      <c r="T43">
        <f>IF($B43&gt;T$2,0,$C$3*(Datos!$C$14)^(Stock!T$2-Stock!$B43)*Datos!$C$15^Stock!$B43)</f>
        <v>0</v>
      </c>
      <c r="U43">
        <f>IF($B43&gt;U$2,0,$C$3*(Datos!$C$14)^(Stock!U$2-Stock!$B43)*Datos!$C$15^Stock!$B43)</f>
        <v>0</v>
      </c>
      <c r="V43">
        <f>IF($B43&gt;V$2,0,$C$3*(Datos!$C$14)^(Stock!V$2-Stock!$B43)*Datos!$C$15^Stock!$B43)</f>
        <v>0</v>
      </c>
      <c r="W43">
        <f>IF($B43&gt;W$2,0,$C$3*(Datos!$C$14)^(Stock!W$2-Stock!$B43)*Datos!$C$15^Stock!$B43)</f>
        <v>0</v>
      </c>
      <c r="X43">
        <f>IF($B43&gt;X$2,0,$C$3*(Datos!$C$14)^(Stock!X$2-Stock!$B43)*Datos!$C$15^Stock!$B43)</f>
        <v>0</v>
      </c>
      <c r="Y43">
        <f>IF($B43&gt;Y$2,0,$C$3*(Datos!$C$14)^(Stock!Y$2-Stock!$B43)*Datos!$C$15^Stock!$B43)</f>
        <v>0</v>
      </c>
      <c r="Z43">
        <f>IF($B43&gt;Z$2,0,$C$3*(Datos!$C$14)^(Stock!Z$2-Stock!$B43)*Datos!$C$15^Stock!$B43)</f>
        <v>0</v>
      </c>
      <c r="AA43">
        <f>IF($B43&gt;AA$2,0,$C$3*(Datos!$C$14)^(Stock!AA$2-Stock!$B43)*Datos!$C$15^Stock!$B43)</f>
        <v>0</v>
      </c>
      <c r="AB43">
        <f>IF($B43&gt;AB$2,0,$C$3*(Datos!$C$14)^(Stock!AB$2-Stock!$B43)*Datos!$C$15^Stock!$B43)</f>
        <v>0</v>
      </c>
      <c r="AC43">
        <f>IF($B43&gt;AC$2,0,$C$3*(Datos!$C$14)^(Stock!AC$2-Stock!$B43)*Datos!$C$15^Stock!$B43)</f>
        <v>0</v>
      </c>
      <c r="AD43">
        <f>IF($B43&gt;AD$2,0,$C$3*(Datos!$C$14)^(Stock!AD$2-Stock!$B43)*Datos!$C$15^Stock!$B43)</f>
        <v>0</v>
      </c>
      <c r="AE43">
        <f>IF($B43&gt;AE$2,0,$C$3*(Datos!$C$14)^(Stock!AE$2-Stock!$B43)*Datos!$C$15^Stock!$B43)</f>
        <v>0</v>
      </c>
      <c r="AF43">
        <f>IF($B43&gt;AF$2,0,$C$3*(Datos!$C$14)^(Stock!AF$2-Stock!$B43)*Datos!$C$15^Stock!$B43)</f>
        <v>0</v>
      </c>
      <c r="AG43">
        <f>IF($B43&gt;AG$2,0,$C$3*(Datos!$C$14)^(Stock!AG$2-Stock!$B43)*Datos!$C$15^Stock!$B43)</f>
        <v>0</v>
      </c>
      <c r="AH43">
        <f>IF($B43&gt;AH$2,0,$C$3*(Datos!$C$14)^(Stock!AH$2-Stock!$B43)*Datos!$C$15^Stock!$B43)</f>
        <v>0</v>
      </c>
      <c r="AI43">
        <f>IF($B43&gt;AI$2,0,$C$3*(Datos!$C$14)^(Stock!AI$2-Stock!$B43)*Datos!$C$15^Stock!$B43)</f>
        <v>0</v>
      </c>
      <c r="AJ43">
        <f>IF($B43&gt;AJ$2,0,$C$3*(Datos!$C$14)^(Stock!AJ$2-Stock!$B43)*Datos!$C$15^Stock!$B43)</f>
        <v>0</v>
      </c>
      <c r="AK43">
        <f>IF($B43&gt;AK$2,0,$C$3*(Datos!$C$14)^(Stock!AK$2-Stock!$B43)*Datos!$C$15^Stock!$B43)</f>
        <v>0</v>
      </c>
      <c r="AL43">
        <f>IF($B43&gt;AL$2,0,$C$3*(Datos!$C$14)^(Stock!AL$2-Stock!$B43)*Datos!$C$15^Stock!$B43)</f>
        <v>0</v>
      </c>
      <c r="AM43">
        <f>IF($B43&gt;AM$2,0,$C$3*(Datos!$C$14)^(Stock!AM$2-Stock!$B43)*Datos!$C$15^Stock!$B43)</f>
        <v>0</v>
      </c>
      <c r="AN43">
        <f>IF($B43&gt;AN$2,0,$C$3*(Datos!$C$14)^(Stock!AN$2-Stock!$B43)*Datos!$C$15^Stock!$B43)</f>
        <v>0</v>
      </c>
      <c r="AO43">
        <f>IF($B43&gt;AO$2,0,$C$3*(Datos!$C$14)^(Stock!AO$2-Stock!$B43)*Datos!$C$15^Stock!$B43)</f>
        <v>0</v>
      </c>
      <c r="AP43">
        <f>IF($B43&gt;AP$2,0,$C$3*(Datos!$C$14)^(Stock!AP$2-Stock!$B43)*Datos!$C$15^Stock!$B43)</f>
        <v>0</v>
      </c>
      <c r="AQ43">
        <f>IF($B43&gt;AQ$2,0,$C$3*(Datos!$C$14)^(Stock!AQ$2-Stock!$B43)*Datos!$C$15^Stock!$B43)</f>
        <v>1.0520752026920864E-3</v>
      </c>
      <c r="AR43">
        <f>IF($B43&gt;AR$2,0,$C$3*(Datos!$C$14)^(Stock!AR$2-Stock!$B43)*Datos!$C$15^Stock!$B43)</f>
        <v>1.8870762354621371E-3</v>
      </c>
      <c r="AS43">
        <f>IF($B43&gt;AS$2,0,$C$3*(Datos!$C$14)^(Stock!AS$2-Stock!$B43)*Datos!$C$15^Stock!$B43)</f>
        <v>3.3847929400234846E-3</v>
      </c>
      <c r="AT43">
        <f>IF($B43&gt;AT$2,0,$C$3*(Datos!$C$14)^(Stock!AT$2-Stock!$B43)*Datos!$C$15^Stock!$B43)</f>
        <v>6.0712031827517016E-3</v>
      </c>
      <c r="AU43">
        <f>IF($B43&gt;AU$2,0,$C$3*(Datos!$C$14)^(Stock!AU$2-Stock!$B43)*Datos!$C$15^Stock!$B43)</f>
        <v>1.0889737936524604E-2</v>
      </c>
      <c r="AV43">
        <f>IF($B43&gt;AV$2,0,$C$3*(Datos!$C$14)^(Stock!AV$2-Stock!$B43)*Datos!$C$15^Stock!$B43)</f>
        <v>1.9532601488793405E-2</v>
      </c>
      <c r="AW43">
        <f>IF($B43&gt;AW$2,0,$C$3*(Datos!$C$14)^(Stock!AW$2-Stock!$B43)*Datos!$C$15^Stock!$B43)</f>
        <v>3.5035050718748059E-2</v>
      </c>
      <c r="AX43">
        <f>IF($B43&gt;AX$2,0,$C$3*(Datos!$C$14)^(Stock!AX$2-Stock!$B43)*Datos!$C$15^Stock!$B43)</f>
        <v>6.2841336294578387E-2</v>
      </c>
      <c r="AY43">
        <f>IF($B43&gt;AY$2,0,$C$3*(Datos!$C$14)^(Stock!AY$2-Stock!$B43)*Datos!$C$15^Stock!$B43)</f>
        <v>0.11271664993409235</v>
      </c>
      <c r="AZ43">
        <f>IF($B43&gt;AZ$2,0,$C$3*(Datos!$C$14)^(Stock!AZ$2-Stock!$B43)*Datos!$C$15^Stock!$B43)</f>
        <v>0.20217652776840841</v>
      </c>
      <c r="BA43">
        <f>IF($B43&gt;BA$2,0,$C$3*(Datos!$C$14)^(Stock!BA$2-Stock!$B43)*Datos!$C$15^Stock!$B43)</f>
        <v>0.36263806992481273</v>
      </c>
    </row>
    <row r="44" spans="2:53" x14ac:dyDescent="0.25">
      <c r="B44">
        <v>41</v>
      </c>
      <c r="D44">
        <f>IF($B44&gt;D$2,0,$C$3*(Datos!$C$14)^(Stock!D$2-Stock!$B44)*Datos!$C$15^Stock!$B44)</f>
        <v>0</v>
      </c>
      <c r="E44">
        <f>IF($B44&gt;E$2,0,$C$3*(Datos!$C$14)^(Stock!E$2-Stock!$B44)*Datos!$C$15^Stock!$B44)</f>
        <v>0</v>
      </c>
      <c r="F44">
        <f>IF($B44&gt;F$2,0,$C$3*(Datos!$C$14)^(Stock!F$2-Stock!$B44)*Datos!$C$15^Stock!$B44)</f>
        <v>0</v>
      </c>
      <c r="G44">
        <f>IF($B44&gt;G$2,0,$C$3*(Datos!$C$14)^(Stock!G$2-Stock!$B44)*Datos!$C$15^Stock!$B44)</f>
        <v>0</v>
      </c>
      <c r="H44">
        <f>IF($B44&gt;H$2,0,$C$3*(Datos!$C$14)^(Stock!H$2-Stock!$B44)*Datos!$C$15^Stock!$B44)</f>
        <v>0</v>
      </c>
      <c r="I44">
        <f>IF($B44&gt;I$2,0,$C$3*(Datos!$C$14)^(Stock!I$2-Stock!$B44)*Datos!$C$15^Stock!$B44)</f>
        <v>0</v>
      </c>
      <c r="J44">
        <f>IF($B44&gt;J$2,0,$C$3*(Datos!$C$14)^(Stock!J$2-Stock!$B44)*Datos!$C$15^Stock!$B44)</f>
        <v>0</v>
      </c>
      <c r="K44">
        <f>IF($B44&gt;K$2,0,$C$3*(Datos!$C$14)^(Stock!K$2-Stock!$B44)*Datos!$C$15^Stock!$B44)</f>
        <v>0</v>
      </c>
      <c r="L44">
        <f>IF($B44&gt;L$2,0,$C$3*(Datos!$C$14)^(Stock!L$2-Stock!$B44)*Datos!$C$15^Stock!$B44)</f>
        <v>0</v>
      </c>
      <c r="M44">
        <f>IF($B44&gt;M$2,0,$C$3*(Datos!$C$14)^(Stock!M$2-Stock!$B44)*Datos!$C$15^Stock!$B44)</f>
        <v>0</v>
      </c>
      <c r="N44">
        <f>IF($B44&gt;N$2,0,$C$3*(Datos!$C$14)^(Stock!N$2-Stock!$B44)*Datos!$C$15^Stock!$B44)</f>
        <v>0</v>
      </c>
      <c r="O44">
        <f>IF($B44&gt;O$2,0,$C$3*(Datos!$C$14)^(Stock!O$2-Stock!$B44)*Datos!$C$15^Stock!$B44)</f>
        <v>0</v>
      </c>
      <c r="P44">
        <f>IF($B44&gt;P$2,0,$C$3*(Datos!$C$14)^(Stock!P$2-Stock!$B44)*Datos!$C$15^Stock!$B44)</f>
        <v>0</v>
      </c>
      <c r="Q44">
        <f>IF($B44&gt;Q$2,0,$C$3*(Datos!$C$14)^(Stock!Q$2-Stock!$B44)*Datos!$C$15^Stock!$B44)</f>
        <v>0</v>
      </c>
      <c r="R44">
        <f>IF($B44&gt;R$2,0,$C$3*(Datos!$C$14)^(Stock!R$2-Stock!$B44)*Datos!$C$15^Stock!$B44)</f>
        <v>0</v>
      </c>
      <c r="S44">
        <f>IF($B44&gt;S$2,0,$C$3*(Datos!$C$14)^(Stock!S$2-Stock!$B44)*Datos!$C$15^Stock!$B44)</f>
        <v>0</v>
      </c>
      <c r="T44">
        <f>IF($B44&gt;T$2,0,$C$3*(Datos!$C$14)^(Stock!T$2-Stock!$B44)*Datos!$C$15^Stock!$B44)</f>
        <v>0</v>
      </c>
      <c r="U44">
        <f>IF($B44&gt;U$2,0,$C$3*(Datos!$C$14)^(Stock!U$2-Stock!$B44)*Datos!$C$15^Stock!$B44)</f>
        <v>0</v>
      </c>
      <c r="V44">
        <f>IF($B44&gt;V$2,0,$C$3*(Datos!$C$14)^(Stock!V$2-Stock!$B44)*Datos!$C$15^Stock!$B44)</f>
        <v>0</v>
      </c>
      <c r="W44">
        <f>IF($B44&gt;W$2,0,$C$3*(Datos!$C$14)^(Stock!W$2-Stock!$B44)*Datos!$C$15^Stock!$B44)</f>
        <v>0</v>
      </c>
      <c r="X44">
        <f>IF($B44&gt;X$2,0,$C$3*(Datos!$C$14)^(Stock!X$2-Stock!$B44)*Datos!$C$15^Stock!$B44)</f>
        <v>0</v>
      </c>
      <c r="Y44">
        <f>IF($B44&gt;Y$2,0,$C$3*(Datos!$C$14)^(Stock!Y$2-Stock!$B44)*Datos!$C$15^Stock!$B44)</f>
        <v>0</v>
      </c>
      <c r="Z44">
        <f>IF($B44&gt;Z$2,0,$C$3*(Datos!$C$14)^(Stock!Z$2-Stock!$B44)*Datos!$C$15^Stock!$B44)</f>
        <v>0</v>
      </c>
      <c r="AA44">
        <f>IF($B44&gt;AA$2,0,$C$3*(Datos!$C$14)^(Stock!AA$2-Stock!$B44)*Datos!$C$15^Stock!$B44)</f>
        <v>0</v>
      </c>
      <c r="AB44">
        <f>IF($B44&gt;AB$2,0,$C$3*(Datos!$C$14)^(Stock!AB$2-Stock!$B44)*Datos!$C$15^Stock!$B44)</f>
        <v>0</v>
      </c>
      <c r="AC44">
        <f>IF($B44&gt;AC$2,0,$C$3*(Datos!$C$14)^(Stock!AC$2-Stock!$B44)*Datos!$C$15^Stock!$B44)</f>
        <v>0</v>
      </c>
      <c r="AD44">
        <f>IF($B44&gt;AD$2,0,$C$3*(Datos!$C$14)^(Stock!AD$2-Stock!$B44)*Datos!$C$15^Stock!$B44)</f>
        <v>0</v>
      </c>
      <c r="AE44">
        <f>IF($B44&gt;AE$2,0,$C$3*(Datos!$C$14)^(Stock!AE$2-Stock!$B44)*Datos!$C$15^Stock!$B44)</f>
        <v>0</v>
      </c>
      <c r="AF44">
        <f>IF($B44&gt;AF$2,0,$C$3*(Datos!$C$14)^(Stock!AF$2-Stock!$B44)*Datos!$C$15^Stock!$B44)</f>
        <v>0</v>
      </c>
      <c r="AG44">
        <f>IF($B44&gt;AG$2,0,$C$3*(Datos!$C$14)^(Stock!AG$2-Stock!$B44)*Datos!$C$15^Stock!$B44)</f>
        <v>0</v>
      </c>
      <c r="AH44">
        <f>IF($B44&gt;AH$2,0,$C$3*(Datos!$C$14)^(Stock!AH$2-Stock!$B44)*Datos!$C$15^Stock!$B44)</f>
        <v>0</v>
      </c>
      <c r="AI44">
        <f>IF($B44&gt;AI$2,0,$C$3*(Datos!$C$14)^(Stock!AI$2-Stock!$B44)*Datos!$C$15^Stock!$B44)</f>
        <v>0</v>
      </c>
      <c r="AJ44">
        <f>IF($B44&gt;AJ$2,0,$C$3*(Datos!$C$14)^(Stock!AJ$2-Stock!$B44)*Datos!$C$15^Stock!$B44)</f>
        <v>0</v>
      </c>
      <c r="AK44">
        <f>IF($B44&gt;AK$2,0,$C$3*(Datos!$C$14)^(Stock!AK$2-Stock!$B44)*Datos!$C$15^Stock!$B44)</f>
        <v>0</v>
      </c>
      <c r="AL44">
        <f>IF($B44&gt;AL$2,0,$C$3*(Datos!$C$14)^(Stock!AL$2-Stock!$B44)*Datos!$C$15^Stock!$B44)</f>
        <v>0</v>
      </c>
      <c r="AM44">
        <f>IF($B44&gt;AM$2,0,$C$3*(Datos!$C$14)^(Stock!AM$2-Stock!$B44)*Datos!$C$15^Stock!$B44)</f>
        <v>0</v>
      </c>
      <c r="AN44">
        <f>IF($B44&gt;AN$2,0,$C$3*(Datos!$C$14)^(Stock!AN$2-Stock!$B44)*Datos!$C$15^Stock!$B44)</f>
        <v>0</v>
      </c>
      <c r="AO44">
        <f>IF($B44&gt;AO$2,0,$C$3*(Datos!$C$14)^(Stock!AO$2-Stock!$B44)*Datos!$C$15^Stock!$B44)</f>
        <v>0</v>
      </c>
      <c r="AP44">
        <f>IF($B44&gt;AP$2,0,$C$3*(Datos!$C$14)^(Stock!AP$2-Stock!$B44)*Datos!$C$15^Stock!$B44)</f>
        <v>0</v>
      </c>
      <c r="AQ44">
        <f>IF($B44&gt;AQ$2,0,$C$3*(Datos!$C$14)^(Stock!AQ$2-Stock!$B44)*Datos!$C$15^Stock!$B44)</f>
        <v>0</v>
      </c>
      <c r="AR44">
        <f>IF($B44&gt;AR$2,0,$C$3*(Datos!$C$14)^(Stock!AR$2-Stock!$B44)*Datos!$C$15^Stock!$B44)</f>
        <v>8.0775258704557438E-4</v>
      </c>
      <c r="AS44">
        <f>IF($B44&gt;AS$2,0,$C$3*(Datos!$C$14)^(Stock!AS$2-Stock!$B44)*Datos!$C$15^Stock!$B44)</f>
        <v>1.4488419717966518E-3</v>
      </c>
      <c r="AT44">
        <f>IF($B44&gt;AT$2,0,$C$3*(Datos!$C$14)^(Stock!AT$2-Stock!$B44)*Datos!$C$15^Stock!$B44)</f>
        <v>2.5987450772734866E-3</v>
      </c>
      <c r="AU44">
        <f>IF($B44&gt;AU$2,0,$C$3*(Datos!$C$14)^(Stock!AU$2-Stock!$B44)*Datos!$C$15^Stock!$B44)</f>
        <v>4.661292334234673E-3</v>
      </c>
      <c r="AV44">
        <f>IF($B44&gt;AV$2,0,$C$3*(Datos!$C$14)^(Stock!AV$2-Stock!$B44)*Datos!$C$15^Stock!$B44)</f>
        <v>8.3608224658921985E-3</v>
      </c>
      <c r="AW44">
        <f>IF($B44&gt;AW$2,0,$C$3*(Datos!$C$14)^(Stock!AW$2-Stock!$B44)*Datos!$C$15^Stock!$B44)</f>
        <v>1.4996560458730587E-2</v>
      </c>
      <c r="AX44">
        <f>IF($B44&gt;AX$2,0,$C$3*(Datos!$C$14)^(Stock!AX$2-Stock!$B44)*Datos!$C$15^Stock!$B44)</f>
        <v>2.6898887819927251E-2</v>
      </c>
      <c r="AY44">
        <f>IF($B44&gt;AY$2,0,$C$3*(Datos!$C$14)^(Stock!AY$2-Stock!$B44)*Datos!$C$15^Stock!$B44)</f>
        <v>4.8247741069706383E-2</v>
      </c>
      <c r="AZ44">
        <f>IF($B44&gt;AZ$2,0,$C$3*(Datos!$C$14)^(Stock!AZ$2-Stock!$B44)*Datos!$C$15^Stock!$B44)</f>
        <v>8.6540548959236782E-2</v>
      </c>
      <c r="BA44">
        <f>IF($B44&gt;BA$2,0,$C$3*(Datos!$C$14)^(Stock!BA$2-Stock!$B44)*Datos!$C$15^Stock!$B44)</f>
        <v>0.15522522812717529</v>
      </c>
    </row>
    <row r="45" spans="2:53" x14ac:dyDescent="0.25">
      <c r="B45">
        <v>42</v>
      </c>
      <c r="D45">
        <f>IF($B45&gt;D$2,0,$C$3*(Datos!$C$14)^(Stock!D$2-Stock!$B45)*Datos!$C$15^Stock!$B45)</f>
        <v>0</v>
      </c>
      <c r="E45">
        <f>IF($B45&gt;E$2,0,$C$3*(Datos!$C$14)^(Stock!E$2-Stock!$B45)*Datos!$C$15^Stock!$B45)</f>
        <v>0</v>
      </c>
      <c r="F45">
        <f>IF($B45&gt;F$2,0,$C$3*(Datos!$C$14)^(Stock!F$2-Stock!$B45)*Datos!$C$15^Stock!$B45)</f>
        <v>0</v>
      </c>
      <c r="G45">
        <f>IF($B45&gt;G$2,0,$C$3*(Datos!$C$14)^(Stock!G$2-Stock!$B45)*Datos!$C$15^Stock!$B45)</f>
        <v>0</v>
      </c>
      <c r="H45">
        <f>IF($B45&gt;H$2,0,$C$3*(Datos!$C$14)^(Stock!H$2-Stock!$B45)*Datos!$C$15^Stock!$B45)</f>
        <v>0</v>
      </c>
      <c r="I45">
        <f>IF($B45&gt;I$2,0,$C$3*(Datos!$C$14)^(Stock!I$2-Stock!$B45)*Datos!$C$15^Stock!$B45)</f>
        <v>0</v>
      </c>
      <c r="J45">
        <f>IF($B45&gt;J$2,0,$C$3*(Datos!$C$14)^(Stock!J$2-Stock!$B45)*Datos!$C$15^Stock!$B45)</f>
        <v>0</v>
      </c>
      <c r="K45">
        <f>IF($B45&gt;K$2,0,$C$3*(Datos!$C$14)^(Stock!K$2-Stock!$B45)*Datos!$C$15^Stock!$B45)</f>
        <v>0</v>
      </c>
      <c r="L45">
        <f>IF($B45&gt;L$2,0,$C$3*(Datos!$C$14)^(Stock!L$2-Stock!$B45)*Datos!$C$15^Stock!$B45)</f>
        <v>0</v>
      </c>
      <c r="M45">
        <f>IF($B45&gt;M$2,0,$C$3*(Datos!$C$14)^(Stock!M$2-Stock!$B45)*Datos!$C$15^Stock!$B45)</f>
        <v>0</v>
      </c>
      <c r="N45">
        <f>IF($B45&gt;N$2,0,$C$3*(Datos!$C$14)^(Stock!N$2-Stock!$B45)*Datos!$C$15^Stock!$B45)</f>
        <v>0</v>
      </c>
      <c r="O45">
        <f>IF($B45&gt;O$2,0,$C$3*(Datos!$C$14)^(Stock!O$2-Stock!$B45)*Datos!$C$15^Stock!$B45)</f>
        <v>0</v>
      </c>
      <c r="P45">
        <f>IF($B45&gt;P$2,0,$C$3*(Datos!$C$14)^(Stock!P$2-Stock!$B45)*Datos!$C$15^Stock!$B45)</f>
        <v>0</v>
      </c>
      <c r="Q45">
        <f>IF($B45&gt;Q$2,0,$C$3*(Datos!$C$14)^(Stock!Q$2-Stock!$B45)*Datos!$C$15^Stock!$B45)</f>
        <v>0</v>
      </c>
      <c r="R45">
        <f>IF($B45&gt;R$2,0,$C$3*(Datos!$C$14)^(Stock!R$2-Stock!$B45)*Datos!$C$15^Stock!$B45)</f>
        <v>0</v>
      </c>
      <c r="S45">
        <f>IF($B45&gt;S$2,0,$C$3*(Datos!$C$14)^(Stock!S$2-Stock!$B45)*Datos!$C$15^Stock!$B45)</f>
        <v>0</v>
      </c>
      <c r="T45">
        <f>IF($B45&gt;T$2,0,$C$3*(Datos!$C$14)^(Stock!T$2-Stock!$B45)*Datos!$C$15^Stock!$B45)</f>
        <v>0</v>
      </c>
      <c r="U45">
        <f>IF($B45&gt;U$2,0,$C$3*(Datos!$C$14)^(Stock!U$2-Stock!$B45)*Datos!$C$15^Stock!$B45)</f>
        <v>0</v>
      </c>
      <c r="V45">
        <f>IF($B45&gt;V$2,0,$C$3*(Datos!$C$14)^(Stock!V$2-Stock!$B45)*Datos!$C$15^Stock!$B45)</f>
        <v>0</v>
      </c>
      <c r="W45">
        <f>IF($B45&gt;W$2,0,$C$3*(Datos!$C$14)^(Stock!W$2-Stock!$B45)*Datos!$C$15^Stock!$B45)</f>
        <v>0</v>
      </c>
      <c r="X45">
        <f>IF($B45&gt;X$2,0,$C$3*(Datos!$C$14)^(Stock!X$2-Stock!$B45)*Datos!$C$15^Stock!$B45)</f>
        <v>0</v>
      </c>
      <c r="Y45">
        <f>IF($B45&gt;Y$2,0,$C$3*(Datos!$C$14)^(Stock!Y$2-Stock!$B45)*Datos!$C$15^Stock!$B45)</f>
        <v>0</v>
      </c>
      <c r="Z45">
        <f>IF($B45&gt;Z$2,0,$C$3*(Datos!$C$14)^(Stock!Z$2-Stock!$B45)*Datos!$C$15^Stock!$B45)</f>
        <v>0</v>
      </c>
      <c r="AA45">
        <f>IF($B45&gt;AA$2,0,$C$3*(Datos!$C$14)^(Stock!AA$2-Stock!$B45)*Datos!$C$15^Stock!$B45)</f>
        <v>0</v>
      </c>
      <c r="AB45">
        <f>IF($B45&gt;AB$2,0,$C$3*(Datos!$C$14)^(Stock!AB$2-Stock!$B45)*Datos!$C$15^Stock!$B45)</f>
        <v>0</v>
      </c>
      <c r="AC45">
        <f>IF($B45&gt;AC$2,0,$C$3*(Datos!$C$14)^(Stock!AC$2-Stock!$B45)*Datos!$C$15^Stock!$B45)</f>
        <v>0</v>
      </c>
      <c r="AD45">
        <f>IF($B45&gt;AD$2,0,$C$3*(Datos!$C$14)^(Stock!AD$2-Stock!$B45)*Datos!$C$15^Stock!$B45)</f>
        <v>0</v>
      </c>
      <c r="AE45">
        <f>IF($B45&gt;AE$2,0,$C$3*(Datos!$C$14)^(Stock!AE$2-Stock!$B45)*Datos!$C$15^Stock!$B45)</f>
        <v>0</v>
      </c>
      <c r="AF45">
        <f>IF($B45&gt;AF$2,0,$C$3*(Datos!$C$14)^(Stock!AF$2-Stock!$B45)*Datos!$C$15^Stock!$B45)</f>
        <v>0</v>
      </c>
      <c r="AG45">
        <f>IF($B45&gt;AG$2,0,$C$3*(Datos!$C$14)^(Stock!AG$2-Stock!$B45)*Datos!$C$15^Stock!$B45)</f>
        <v>0</v>
      </c>
      <c r="AH45">
        <f>IF($B45&gt;AH$2,0,$C$3*(Datos!$C$14)^(Stock!AH$2-Stock!$B45)*Datos!$C$15^Stock!$B45)</f>
        <v>0</v>
      </c>
      <c r="AI45">
        <f>IF($B45&gt;AI$2,0,$C$3*(Datos!$C$14)^(Stock!AI$2-Stock!$B45)*Datos!$C$15^Stock!$B45)</f>
        <v>0</v>
      </c>
      <c r="AJ45">
        <f>IF($B45&gt;AJ$2,0,$C$3*(Datos!$C$14)^(Stock!AJ$2-Stock!$B45)*Datos!$C$15^Stock!$B45)</f>
        <v>0</v>
      </c>
      <c r="AK45">
        <f>IF($B45&gt;AK$2,0,$C$3*(Datos!$C$14)^(Stock!AK$2-Stock!$B45)*Datos!$C$15^Stock!$B45)</f>
        <v>0</v>
      </c>
      <c r="AL45">
        <f>IF($B45&gt;AL$2,0,$C$3*(Datos!$C$14)^(Stock!AL$2-Stock!$B45)*Datos!$C$15^Stock!$B45)</f>
        <v>0</v>
      </c>
      <c r="AM45">
        <f>IF($B45&gt;AM$2,0,$C$3*(Datos!$C$14)^(Stock!AM$2-Stock!$B45)*Datos!$C$15^Stock!$B45)</f>
        <v>0</v>
      </c>
      <c r="AN45">
        <f>IF($B45&gt;AN$2,0,$C$3*(Datos!$C$14)^(Stock!AN$2-Stock!$B45)*Datos!$C$15^Stock!$B45)</f>
        <v>0</v>
      </c>
      <c r="AO45">
        <f>IF($B45&gt;AO$2,0,$C$3*(Datos!$C$14)^(Stock!AO$2-Stock!$B45)*Datos!$C$15^Stock!$B45)</f>
        <v>0</v>
      </c>
      <c r="AP45">
        <f>IF($B45&gt;AP$2,0,$C$3*(Datos!$C$14)^(Stock!AP$2-Stock!$B45)*Datos!$C$15^Stock!$B45)</f>
        <v>0</v>
      </c>
      <c r="AQ45">
        <f>IF($B45&gt;AQ$2,0,$C$3*(Datos!$C$14)^(Stock!AQ$2-Stock!$B45)*Datos!$C$15^Stock!$B45)</f>
        <v>0</v>
      </c>
      <c r="AR45">
        <f>IF($B45&gt;AR$2,0,$C$3*(Datos!$C$14)^(Stock!AR$2-Stock!$B45)*Datos!$C$15^Stock!$B45)</f>
        <v>0</v>
      </c>
      <c r="AS45">
        <f>IF($B45&gt;AS$2,0,$C$3*(Datos!$C$14)^(Stock!AS$2-Stock!$B45)*Datos!$C$15^Stock!$B45)</f>
        <v>6.2016882463275459E-4</v>
      </c>
      <c r="AT45">
        <f>IF($B45&gt;AT$2,0,$C$3*(Datos!$C$14)^(Stock!AT$2-Stock!$B45)*Datos!$C$15^Stock!$B45)</f>
        <v>1.1123785143346576E-3</v>
      </c>
      <c r="AU45">
        <f>IF($B45&gt;AU$2,0,$C$3*(Datos!$C$14)^(Stock!AU$2-Stock!$B45)*Datos!$C$15^Stock!$B45)</f>
        <v>1.9952405054964231E-3</v>
      </c>
      <c r="AV45">
        <f>IF($B45&gt;AV$2,0,$C$3*(Datos!$C$14)^(Stock!AV$2-Stock!$B45)*Datos!$C$15^Stock!$B45)</f>
        <v>3.5788039983447113E-3</v>
      </c>
      <c r="AW45">
        <f>IF($B45&gt;AW$2,0,$C$3*(Datos!$C$14)^(Stock!AW$2-Stock!$B45)*Datos!$C$15^Stock!$B45)</f>
        <v>6.4191950911609312E-3</v>
      </c>
      <c r="AX45">
        <f>IF($B45&gt;AX$2,0,$C$3*(Datos!$C$14)^(Stock!AX$2-Stock!$B45)*Datos!$C$15^Stock!$B45)</f>
        <v>1.1513920750463967E-2</v>
      </c>
      <c r="AY45">
        <f>IF($B45&gt;AY$2,0,$C$3*(Datos!$C$14)^(Stock!AY$2-Stock!$B45)*Datos!$C$15^Stock!$B45)</f>
        <v>2.0652179777260669E-2</v>
      </c>
      <c r="AZ45">
        <f>IF($B45&gt;AZ$2,0,$C$3*(Datos!$C$14)^(Stock!AZ$2-Stock!$B45)*Datos!$C$15^Stock!$B45)</f>
        <v>3.704320524658012E-2</v>
      </c>
      <c r="BA45">
        <f>IF($B45&gt;BA$2,0,$C$3*(Datos!$C$14)^(Stock!BA$2-Stock!$B45)*Datos!$C$15^Stock!$B45)</f>
        <v>6.6443303793584901E-2</v>
      </c>
    </row>
    <row r="46" spans="2:53" x14ac:dyDescent="0.25">
      <c r="B46">
        <v>43</v>
      </c>
      <c r="D46">
        <f>IF($B46&gt;D$2,0,$C$3*(Datos!$C$14)^(Stock!D$2-Stock!$B46)*Datos!$C$15^Stock!$B46)</f>
        <v>0</v>
      </c>
      <c r="E46">
        <f>IF($B46&gt;E$2,0,$C$3*(Datos!$C$14)^(Stock!E$2-Stock!$B46)*Datos!$C$15^Stock!$B46)</f>
        <v>0</v>
      </c>
      <c r="F46">
        <f>IF($B46&gt;F$2,0,$C$3*(Datos!$C$14)^(Stock!F$2-Stock!$B46)*Datos!$C$15^Stock!$B46)</f>
        <v>0</v>
      </c>
      <c r="G46">
        <f>IF($B46&gt;G$2,0,$C$3*(Datos!$C$14)^(Stock!G$2-Stock!$B46)*Datos!$C$15^Stock!$B46)</f>
        <v>0</v>
      </c>
      <c r="H46">
        <f>IF($B46&gt;H$2,0,$C$3*(Datos!$C$14)^(Stock!H$2-Stock!$B46)*Datos!$C$15^Stock!$B46)</f>
        <v>0</v>
      </c>
      <c r="I46">
        <f>IF($B46&gt;I$2,0,$C$3*(Datos!$C$14)^(Stock!I$2-Stock!$B46)*Datos!$C$15^Stock!$B46)</f>
        <v>0</v>
      </c>
      <c r="J46">
        <f>IF($B46&gt;J$2,0,$C$3*(Datos!$C$14)^(Stock!J$2-Stock!$B46)*Datos!$C$15^Stock!$B46)</f>
        <v>0</v>
      </c>
      <c r="K46">
        <f>IF($B46&gt;K$2,0,$C$3*(Datos!$C$14)^(Stock!K$2-Stock!$B46)*Datos!$C$15^Stock!$B46)</f>
        <v>0</v>
      </c>
      <c r="L46">
        <f>IF($B46&gt;L$2,0,$C$3*(Datos!$C$14)^(Stock!L$2-Stock!$B46)*Datos!$C$15^Stock!$B46)</f>
        <v>0</v>
      </c>
      <c r="M46">
        <f>IF($B46&gt;M$2,0,$C$3*(Datos!$C$14)^(Stock!M$2-Stock!$B46)*Datos!$C$15^Stock!$B46)</f>
        <v>0</v>
      </c>
      <c r="N46">
        <f>IF($B46&gt;N$2,0,$C$3*(Datos!$C$14)^(Stock!N$2-Stock!$B46)*Datos!$C$15^Stock!$B46)</f>
        <v>0</v>
      </c>
      <c r="O46">
        <f>IF($B46&gt;O$2,0,$C$3*(Datos!$C$14)^(Stock!O$2-Stock!$B46)*Datos!$C$15^Stock!$B46)</f>
        <v>0</v>
      </c>
      <c r="P46">
        <f>IF($B46&gt;P$2,0,$C$3*(Datos!$C$14)^(Stock!P$2-Stock!$B46)*Datos!$C$15^Stock!$B46)</f>
        <v>0</v>
      </c>
      <c r="Q46">
        <f>IF($B46&gt;Q$2,0,$C$3*(Datos!$C$14)^(Stock!Q$2-Stock!$B46)*Datos!$C$15^Stock!$B46)</f>
        <v>0</v>
      </c>
      <c r="R46">
        <f>IF($B46&gt;R$2,0,$C$3*(Datos!$C$14)^(Stock!R$2-Stock!$B46)*Datos!$C$15^Stock!$B46)</f>
        <v>0</v>
      </c>
      <c r="S46">
        <f>IF($B46&gt;S$2,0,$C$3*(Datos!$C$14)^(Stock!S$2-Stock!$B46)*Datos!$C$15^Stock!$B46)</f>
        <v>0</v>
      </c>
      <c r="T46">
        <f>IF($B46&gt;T$2,0,$C$3*(Datos!$C$14)^(Stock!T$2-Stock!$B46)*Datos!$C$15^Stock!$B46)</f>
        <v>0</v>
      </c>
      <c r="U46">
        <f>IF($B46&gt;U$2,0,$C$3*(Datos!$C$14)^(Stock!U$2-Stock!$B46)*Datos!$C$15^Stock!$B46)</f>
        <v>0</v>
      </c>
      <c r="V46">
        <f>IF($B46&gt;V$2,0,$C$3*(Datos!$C$14)^(Stock!V$2-Stock!$B46)*Datos!$C$15^Stock!$B46)</f>
        <v>0</v>
      </c>
      <c r="W46">
        <f>IF($B46&gt;W$2,0,$C$3*(Datos!$C$14)^(Stock!W$2-Stock!$B46)*Datos!$C$15^Stock!$B46)</f>
        <v>0</v>
      </c>
      <c r="X46">
        <f>IF($B46&gt;X$2,0,$C$3*(Datos!$C$14)^(Stock!X$2-Stock!$B46)*Datos!$C$15^Stock!$B46)</f>
        <v>0</v>
      </c>
      <c r="Y46">
        <f>IF($B46&gt;Y$2,0,$C$3*(Datos!$C$14)^(Stock!Y$2-Stock!$B46)*Datos!$C$15^Stock!$B46)</f>
        <v>0</v>
      </c>
      <c r="Z46">
        <f>IF($B46&gt;Z$2,0,$C$3*(Datos!$C$14)^(Stock!Z$2-Stock!$B46)*Datos!$C$15^Stock!$B46)</f>
        <v>0</v>
      </c>
      <c r="AA46">
        <f>IF($B46&gt;AA$2,0,$C$3*(Datos!$C$14)^(Stock!AA$2-Stock!$B46)*Datos!$C$15^Stock!$B46)</f>
        <v>0</v>
      </c>
      <c r="AB46">
        <f>IF($B46&gt;AB$2,0,$C$3*(Datos!$C$14)^(Stock!AB$2-Stock!$B46)*Datos!$C$15^Stock!$B46)</f>
        <v>0</v>
      </c>
      <c r="AC46">
        <f>IF($B46&gt;AC$2,0,$C$3*(Datos!$C$14)^(Stock!AC$2-Stock!$B46)*Datos!$C$15^Stock!$B46)</f>
        <v>0</v>
      </c>
      <c r="AD46">
        <f>IF($B46&gt;AD$2,0,$C$3*(Datos!$C$14)^(Stock!AD$2-Stock!$B46)*Datos!$C$15^Stock!$B46)</f>
        <v>0</v>
      </c>
      <c r="AE46">
        <f>IF($B46&gt;AE$2,0,$C$3*(Datos!$C$14)^(Stock!AE$2-Stock!$B46)*Datos!$C$15^Stock!$B46)</f>
        <v>0</v>
      </c>
      <c r="AF46">
        <f>IF($B46&gt;AF$2,0,$C$3*(Datos!$C$14)^(Stock!AF$2-Stock!$B46)*Datos!$C$15^Stock!$B46)</f>
        <v>0</v>
      </c>
      <c r="AG46">
        <f>IF($B46&gt;AG$2,0,$C$3*(Datos!$C$14)^(Stock!AG$2-Stock!$B46)*Datos!$C$15^Stock!$B46)</f>
        <v>0</v>
      </c>
      <c r="AH46">
        <f>IF($B46&gt;AH$2,0,$C$3*(Datos!$C$14)^(Stock!AH$2-Stock!$B46)*Datos!$C$15^Stock!$B46)</f>
        <v>0</v>
      </c>
      <c r="AI46">
        <f>IF($B46&gt;AI$2,0,$C$3*(Datos!$C$14)^(Stock!AI$2-Stock!$B46)*Datos!$C$15^Stock!$B46)</f>
        <v>0</v>
      </c>
      <c r="AJ46">
        <f>IF($B46&gt;AJ$2,0,$C$3*(Datos!$C$14)^(Stock!AJ$2-Stock!$B46)*Datos!$C$15^Stock!$B46)</f>
        <v>0</v>
      </c>
      <c r="AK46">
        <f>IF($B46&gt;AK$2,0,$C$3*(Datos!$C$14)^(Stock!AK$2-Stock!$B46)*Datos!$C$15^Stock!$B46)</f>
        <v>0</v>
      </c>
      <c r="AL46">
        <f>IF($B46&gt;AL$2,0,$C$3*(Datos!$C$14)^(Stock!AL$2-Stock!$B46)*Datos!$C$15^Stock!$B46)</f>
        <v>0</v>
      </c>
      <c r="AM46">
        <f>IF($B46&gt;AM$2,0,$C$3*(Datos!$C$14)^(Stock!AM$2-Stock!$B46)*Datos!$C$15^Stock!$B46)</f>
        <v>0</v>
      </c>
      <c r="AN46">
        <f>IF($B46&gt;AN$2,0,$C$3*(Datos!$C$14)^(Stock!AN$2-Stock!$B46)*Datos!$C$15^Stock!$B46)</f>
        <v>0</v>
      </c>
      <c r="AO46">
        <f>IF($B46&gt;AO$2,0,$C$3*(Datos!$C$14)^(Stock!AO$2-Stock!$B46)*Datos!$C$15^Stock!$B46)</f>
        <v>0</v>
      </c>
      <c r="AP46">
        <f>IF($B46&gt;AP$2,0,$C$3*(Datos!$C$14)^(Stock!AP$2-Stock!$B46)*Datos!$C$15^Stock!$B46)</f>
        <v>0</v>
      </c>
      <c r="AQ46">
        <f>IF($B46&gt;AQ$2,0,$C$3*(Datos!$C$14)^(Stock!AQ$2-Stock!$B46)*Datos!$C$15^Stock!$B46)</f>
        <v>0</v>
      </c>
      <c r="AR46">
        <f>IF($B46&gt;AR$2,0,$C$3*(Datos!$C$14)^(Stock!AR$2-Stock!$B46)*Datos!$C$15^Stock!$B46)</f>
        <v>0</v>
      </c>
      <c r="AS46">
        <f>IF($B46&gt;AS$2,0,$C$3*(Datos!$C$14)^(Stock!AS$2-Stock!$B46)*Datos!$C$15^Stock!$B46)</f>
        <v>0</v>
      </c>
      <c r="AT46">
        <f>IF($B46&gt;AT$2,0,$C$3*(Datos!$C$14)^(Stock!AT$2-Stock!$B46)*Datos!$C$15^Stock!$B46)</f>
        <v>4.7614749517932783E-4</v>
      </c>
      <c r="AU46">
        <f>IF($B46&gt;AU$2,0,$C$3*(Datos!$C$14)^(Stock!AU$2-Stock!$B46)*Datos!$C$15^Stock!$B46)</f>
        <v>8.5405170697736346E-4</v>
      </c>
      <c r="AV46">
        <f>IF($B46&gt;AV$2,0,$C$3*(Datos!$C$14)^(Stock!AV$2-Stock!$B46)*Datos!$C$15^Stock!$B46)</f>
        <v>1.5318873365410401E-3</v>
      </c>
      <c r="AW46">
        <f>IF($B46&gt;AW$2,0,$C$3*(Datos!$C$14)^(Stock!AW$2-Stock!$B46)*Datos!$C$15^Stock!$B46)</f>
        <v>2.7477010966468337E-3</v>
      </c>
      <c r="AX46">
        <f>IF($B46&gt;AX$2,0,$C$3*(Datos!$C$14)^(Stock!AX$2-Stock!$B46)*Datos!$C$15^Stock!$B46)</f>
        <v>4.9284703492370368E-3</v>
      </c>
      <c r="AY46">
        <f>IF($B46&gt;AY$2,0,$C$3*(Datos!$C$14)^(Stock!AY$2-Stock!$B46)*Datos!$C$15^Stock!$B46)</f>
        <v>8.8400517847268024E-3</v>
      </c>
      <c r="AZ46">
        <f>IF($B46&gt;AZ$2,0,$C$3*(Datos!$C$14)^(Stock!AZ$2-Stock!$B46)*Datos!$C$15^Stock!$B46)</f>
        <v>1.5856139941827829E-2</v>
      </c>
      <c r="BA46">
        <f>IF($B46&gt;BA$2,0,$C$3*(Datos!$C$14)^(Stock!BA$2-Stock!$B46)*Datos!$C$15^Stock!$B46)</f>
        <v>2.8440690165323246E-2</v>
      </c>
    </row>
    <row r="47" spans="2:53" x14ac:dyDescent="0.25">
      <c r="B47">
        <v>44</v>
      </c>
      <c r="D47">
        <f>IF($B47&gt;D$2,0,$C$3*(Datos!$C$14)^(Stock!D$2-Stock!$B47)*Datos!$C$15^Stock!$B47)</f>
        <v>0</v>
      </c>
      <c r="E47">
        <f>IF($B47&gt;E$2,0,$C$3*(Datos!$C$14)^(Stock!E$2-Stock!$B47)*Datos!$C$15^Stock!$B47)</f>
        <v>0</v>
      </c>
      <c r="F47">
        <f>IF($B47&gt;F$2,0,$C$3*(Datos!$C$14)^(Stock!F$2-Stock!$B47)*Datos!$C$15^Stock!$B47)</f>
        <v>0</v>
      </c>
      <c r="G47">
        <f>IF($B47&gt;G$2,0,$C$3*(Datos!$C$14)^(Stock!G$2-Stock!$B47)*Datos!$C$15^Stock!$B47)</f>
        <v>0</v>
      </c>
      <c r="H47">
        <f>IF($B47&gt;H$2,0,$C$3*(Datos!$C$14)^(Stock!H$2-Stock!$B47)*Datos!$C$15^Stock!$B47)</f>
        <v>0</v>
      </c>
      <c r="I47">
        <f>IF($B47&gt;I$2,0,$C$3*(Datos!$C$14)^(Stock!I$2-Stock!$B47)*Datos!$C$15^Stock!$B47)</f>
        <v>0</v>
      </c>
      <c r="J47">
        <f>IF($B47&gt;J$2,0,$C$3*(Datos!$C$14)^(Stock!J$2-Stock!$B47)*Datos!$C$15^Stock!$B47)</f>
        <v>0</v>
      </c>
      <c r="K47">
        <f>IF($B47&gt;K$2,0,$C$3*(Datos!$C$14)^(Stock!K$2-Stock!$B47)*Datos!$C$15^Stock!$B47)</f>
        <v>0</v>
      </c>
      <c r="L47">
        <f>IF($B47&gt;L$2,0,$C$3*(Datos!$C$14)^(Stock!L$2-Stock!$B47)*Datos!$C$15^Stock!$B47)</f>
        <v>0</v>
      </c>
      <c r="M47">
        <f>IF($B47&gt;M$2,0,$C$3*(Datos!$C$14)^(Stock!M$2-Stock!$B47)*Datos!$C$15^Stock!$B47)</f>
        <v>0</v>
      </c>
      <c r="N47">
        <f>IF($B47&gt;N$2,0,$C$3*(Datos!$C$14)^(Stock!N$2-Stock!$B47)*Datos!$C$15^Stock!$B47)</f>
        <v>0</v>
      </c>
      <c r="O47">
        <f>IF($B47&gt;O$2,0,$C$3*(Datos!$C$14)^(Stock!O$2-Stock!$B47)*Datos!$C$15^Stock!$B47)</f>
        <v>0</v>
      </c>
      <c r="P47">
        <f>IF($B47&gt;P$2,0,$C$3*(Datos!$C$14)^(Stock!P$2-Stock!$B47)*Datos!$C$15^Stock!$B47)</f>
        <v>0</v>
      </c>
      <c r="Q47">
        <f>IF($B47&gt;Q$2,0,$C$3*(Datos!$C$14)^(Stock!Q$2-Stock!$B47)*Datos!$C$15^Stock!$B47)</f>
        <v>0</v>
      </c>
      <c r="R47">
        <f>IF($B47&gt;R$2,0,$C$3*(Datos!$C$14)^(Stock!R$2-Stock!$B47)*Datos!$C$15^Stock!$B47)</f>
        <v>0</v>
      </c>
      <c r="S47">
        <f>IF($B47&gt;S$2,0,$C$3*(Datos!$C$14)^(Stock!S$2-Stock!$B47)*Datos!$C$15^Stock!$B47)</f>
        <v>0</v>
      </c>
      <c r="T47">
        <f>IF($B47&gt;T$2,0,$C$3*(Datos!$C$14)^(Stock!T$2-Stock!$B47)*Datos!$C$15^Stock!$B47)</f>
        <v>0</v>
      </c>
      <c r="U47">
        <f>IF($B47&gt;U$2,0,$C$3*(Datos!$C$14)^(Stock!U$2-Stock!$B47)*Datos!$C$15^Stock!$B47)</f>
        <v>0</v>
      </c>
      <c r="V47">
        <f>IF($B47&gt;V$2,0,$C$3*(Datos!$C$14)^(Stock!V$2-Stock!$B47)*Datos!$C$15^Stock!$B47)</f>
        <v>0</v>
      </c>
      <c r="W47">
        <f>IF($B47&gt;W$2,0,$C$3*(Datos!$C$14)^(Stock!W$2-Stock!$B47)*Datos!$C$15^Stock!$B47)</f>
        <v>0</v>
      </c>
      <c r="X47">
        <f>IF($B47&gt;X$2,0,$C$3*(Datos!$C$14)^(Stock!X$2-Stock!$B47)*Datos!$C$15^Stock!$B47)</f>
        <v>0</v>
      </c>
      <c r="Y47">
        <f>IF($B47&gt;Y$2,0,$C$3*(Datos!$C$14)^(Stock!Y$2-Stock!$B47)*Datos!$C$15^Stock!$B47)</f>
        <v>0</v>
      </c>
      <c r="Z47">
        <f>IF($B47&gt;Z$2,0,$C$3*(Datos!$C$14)^(Stock!Z$2-Stock!$B47)*Datos!$C$15^Stock!$B47)</f>
        <v>0</v>
      </c>
      <c r="AA47">
        <f>IF($B47&gt;AA$2,0,$C$3*(Datos!$C$14)^(Stock!AA$2-Stock!$B47)*Datos!$C$15^Stock!$B47)</f>
        <v>0</v>
      </c>
      <c r="AB47">
        <f>IF($B47&gt;AB$2,0,$C$3*(Datos!$C$14)^(Stock!AB$2-Stock!$B47)*Datos!$C$15^Stock!$B47)</f>
        <v>0</v>
      </c>
      <c r="AC47">
        <f>IF($B47&gt;AC$2,0,$C$3*(Datos!$C$14)^(Stock!AC$2-Stock!$B47)*Datos!$C$15^Stock!$B47)</f>
        <v>0</v>
      </c>
      <c r="AD47">
        <f>IF($B47&gt;AD$2,0,$C$3*(Datos!$C$14)^(Stock!AD$2-Stock!$B47)*Datos!$C$15^Stock!$B47)</f>
        <v>0</v>
      </c>
      <c r="AE47">
        <f>IF($B47&gt;AE$2,0,$C$3*(Datos!$C$14)^(Stock!AE$2-Stock!$B47)*Datos!$C$15^Stock!$B47)</f>
        <v>0</v>
      </c>
      <c r="AF47">
        <f>IF($B47&gt;AF$2,0,$C$3*(Datos!$C$14)^(Stock!AF$2-Stock!$B47)*Datos!$C$15^Stock!$B47)</f>
        <v>0</v>
      </c>
      <c r="AG47">
        <f>IF($B47&gt;AG$2,0,$C$3*(Datos!$C$14)^(Stock!AG$2-Stock!$B47)*Datos!$C$15^Stock!$B47)</f>
        <v>0</v>
      </c>
      <c r="AH47">
        <f>IF($B47&gt;AH$2,0,$C$3*(Datos!$C$14)^(Stock!AH$2-Stock!$B47)*Datos!$C$15^Stock!$B47)</f>
        <v>0</v>
      </c>
      <c r="AI47">
        <f>IF($B47&gt;AI$2,0,$C$3*(Datos!$C$14)^(Stock!AI$2-Stock!$B47)*Datos!$C$15^Stock!$B47)</f>
        <v>0</v>
      </c>
      <c r="AJ47">
        <f>IF($B47&gt;AJ$2,0,$C$3*(Datos!$C$14)^(Stock!AJ$2-Stock!$B47)*Datos!$C$15^Stock!$B47)</f>
        <v>0</v>
      </c>
      <c r="AK47">
        <f>IF($B47&gt;AK$2,0,$C$3*(Datos!$C$14)^(Stock!AK$2-Stock!$B47)*Datos!$C$15^Stock!$B47)</f>
        <v>0</v>
      </c>
      <c r="AL47">
        <f>IF($B47&gt;AL$2,0,$C$3*(Datos!$C$14)^(Stock!AL$2-Stock!$B47)*Datos!$C$15^Stock!$B47)</f>
        <v>0</v>
      </c>
      <c r="AM47">
        <f>IF($B47&gt;AM$2,0,$C$3*(Datos!$C$14)^(Stock!AM$2-Stock!$B47)*Datos!$C$15^Stock!$B47)</f>
        <v>0</v>
      </c>
      <c r="AN47">
        <f>IF($B47&gt;AN$2,0,$C$3*(Datos!$C$14)^(Stock!AN$2-Stock!$B47)*Datos!$C$15^Stock!$B47)</f>
        <v>0</v>
      </c>
      <c r="AO47">
        <f>IF($B47&gt;AO$2,0,$C$3*(Datos!$C$14)^(Stock!AO$2-Stock!$B47)*Datos!$C$15^Stock!$B47)</f>
        <v>0</v>
      </c>
      <c r="AP47">
        <f>IF($B47&gt;AP$2,0,$C$3*(Datos!$C$14)^(Stock!AP$2-Stock!$B47)*Datos!$C$15^Stock!$B47)</f>
        <v>0</v>
      </c>
      <c r="AQ47">
        <f>IF($B47&gt;AQ$2,0,$C$3*(Datos!$C$14)^(Stock!AQ$2-Stock!$B47)*Datos!$C$15^Stock!$B47)</f>
        <v>0</v>
      </c>
      <c r="AR47">
        <f>IF($B47&gt;AR$2,0,$C$3*(Datos!$C$14)^(Stock!AR$2-Stock!$B47)*Datos!$C$15^Stock!$B47)</f>
        <v>0</v>
      </c>
      <c r="AS47">
        <f>IF($B47&gt;AS$2,0,$C$3*(Datos!$C$14)^(Stock!AS$2-Stock!$B47)*Datos!$C$15^Stock!$B47)</f>
        <v>0</v>
      </c>
      <c r="AT47">
        <f>IF($B47&gt;AT$2,0,$C$3*(Datos!$C$14)^(Stock!AT$2-Stock!$B47)*Datos!$C$15^Stock!$B47)</f>
        <v>0</v>
      </c>
      <c r="AU47">
        <f>IF($B47&gt;AU$2,0,$C$3*(Datos!$C$14)^(Stock!AU$2-Stock!$B47)*Datos!$C$15^Stock!$B47)</f>
        <v>3.6557212836327714E-4</v>
      </c>
      <c r="AV47">
        <f>IF($B47&gt;AV$2,0,$C$3*(Datos!$C$14)^(Stock!AV$2-Stock!$B47)*Datos!$C$15^Stock!$B47)</f>
        <v>6.5571593553047369E-4</v>
      </c>
      <c r="AW47">
        <f>IF($B47&gt;AW$2,0,$C$3*(Datos!$C$14)^(Stock!AW$2-Stock!$B47)*Datos!$C$15^Stock!$B47)</f>
        <v>1.1761383178570445E-3</v>
      </c>
      <c r="AX47">
        <f>IF($B47&gt;AX$2,0,$C$3*(Datos!$C$14)^(Stock!AX$2-Stock!$B47)*Datos!$C$15^Stock!$B47)</f>
        <v>2.1096045829853264E-3</v>
      </c>
      <c r="AY47">
        <f>IF($B47&gt;AY$2,0,$C$3*(Datos!$C$14)^(Stock!AY$2-Stock!$B47)*Datos!$C$15^Stock!$B47)</f>
        <v>3.7839354682887121E-3</v>
      </c>
      <c r="AZ47">
        <f>IF($B47&gt;AZ$2,0,$C$3*(Datos!$C$14)^(Stock!AZ$2-Stock!$B47)*Datos!$C$15^Stock!$B47)</f>
        <v>6.7871333536408535E-3</v>
      </c>
      <c r="BA47">
        <f>IF($B47&gt;BA$2,0,$C$3*(Datos!$C$14)^(Stock!BA$2-Stock!$B47)*Datos!$C$15^Stock!$B47)</f>
        <v>1.2173880750914908E-2</v>
      </c>
    </row>
    <row r="48" spans="2:53" x14ac:dyDescent="0.25">
      <c r="B48">
        <v>45</v>
      </c>
      <c r="D48">
        <f>IF($B48&gt;D$2,0,$C$3*(Datos!$C$14)^(Stock!D$2-Stock!$B48)*Datos!$C$15^Stock!$B48)</f>
        <v>0</v>
      </c>
      <c r="E48">
        <f>IF($B48&gt;E$2,0,$C$3*(Datos!$C$14)^(Stock!E$2-Stock!$B48)*Datos!$C$15^Stock!$B48)</f>
        <v>0</v>
      </c>
      <c r="F48">
        <f>IF($B48&gt;F$2,0,$C$3*(Datos!$C$14)^(Stock!F$2-Stock!$B48)*Datos!$C$15^Stock!$B48)</f>
        <v>0</v>
      </c>
      <c r="G48">
        <f>IF($B48&gt;G$2,0,$C$3*(Datos!$C$14)^(Stock!G$2-Stock!$B48)*Datos!$C$15^Stock!$B48)</f>
        <v>0</v>
      </c>
      <c r="H48">
        <f>IF($B48&gt;H$2,0,$C$3*(Datos!$C$14)^(Stock!H$2-Stock!$B48)*Datos!$C$15^Stock!$B48)</f>
        <v>0</v>
      </c>
      <c r="I48">
        <f>IF($B48&gt;I$2,0,$C$3*(Datos!$C$14)^(Stock!I$2-Stock!$B48)*Datos!$C$15^Stock!$B48)</f>
        <v>0</v>
      </c>
      <c r="J48">
        <f>IF($B48&gt;J$2,0,$C$3*(Datos!$C$14)^(Stock!J$2-Stock!$B48)*Datos!$C$15^Stock!$B48)</f>
        <v>0</v>
      </c>
      <c r="K48">
        <f>IF($B48&gt;K$2,0,$C$3*(Datos!$C$14)^(Stock!K$2-Stock!$B48)*Datos!$C$15^Stock!$B48)</f>
        <v>0</v>
      </c>
      <c r="L48">
        <f>IF($B48&gt;L$2,0,$C$3*(Datos!$C$14)^(Stock!L$2-Stock!$B48)*Datos!$C$15^Stock!$B48)</f>
        <v>0</v>
      </c>
      <c r="M48">
        <f>IF($B48&gt;M$2,0,$C$3*(Datos!$C$14)^(Stock!M$2-Stock!$B48)*Datos!$C$15^Stock!$B48)</f>
        <v>0</v>
      </c>
      <c r="N48">
        <f>IF($B48&gt;N$2,0,$C$3*(Datos!$C$14)^(Stock!N$2-Stock!$B48)*Datos!$C$15^Stock!$B48)</f>
        <v>0</v>
      </c>
      <c r="O48">
        <f>IF($B48&gt;O$2,0,$C$3*(Datos!$C$14)^(Stock!O$2-Stock!$B48)*Datos!$C$15^Stock!$B48)</f>
        <v>0</v>
      </c>
      <c r="P48">
        <f>IF($B48&gt;P$2,0,$C$3*(Datos!$C$14)^(Stock!P$2-Stock!$B48)*Datos!$C$15^Stock!$B48)</f>
        <v>0</v>
      </c>
      <c r="Q48">
        <f>IF($B48&gt;Q$2,0,$C$3*(Datos!$C$14)^(Stock!Q$2-Stock!$B48)*Datos!$C$15^Stock!$B48)</f>
        <v>0</v>
      </c>
      <c r="R48">
        <f>IF($B48&gt;R$2,0,$C$3*(Datos!$C$14)^(Stock!R$2-Stock!$B48)*Datos!$C$15^Stock!$B48)</f>
        <v>0</v>
      </c>
      <c r="S48">
        <f>IF($B48&gt;S$2,0,$C$3*(Datos!$C$14)^(Stock!S$2-Stock!$B48)*Datos!$C$15^Stock!$B48)</f>
        <v>0</v>
      </c>
      <c r="T48">
        <f>IF($B48&gt;T$2,0,$C$3*(Datos!$C$14)^(Stock!T$2-Stock!$B48)*Datos!$C$15^Stock!$B48)</f>
        <v>0</v>
      </c>
      <c r="U48">
        <f>IF($B48&gt;U$2,0,$C$3*(Datos!$C$14)^(Stock!U$2-Stock!$B48)*Datos!$C$15^Stock!$B48)</f>
        <v>0</v>
      </c>
      <c r="V48">
        <f>IF($B48&gt;V$2,0,$C$3*(Datos!$C$14)^(Stock!V$2-Stock!$B48)*Datos!$C$15^Stock!$B48)</f>
        <v>0</v>
      </c>
      <c r="W48">
        <f>IF($B48&gt;W$2,0,$C$3*(Datos!$C$14)^(Stock!W$2-Stock!$B48)*Datos!$C$15^Stock!$B48)</f>
        <v>0</v>
      </c>
      <c r="X48">
        <f>IF($B48&gt;X$2,0,$C$3*(Datos!$C$14)^(Stock!X$2-Stock!$B48)*Datos!$C$15^Stock!$B48)</f>
        <v>0</v>
      </c>
      <c r="Y48">
        <f>IF($B48&gt;Y$2,0,$C$3*(Datos!$C$14)^(Stock!Y$2-Stock!$B48)*Datos!$C$15^Stock!$B48)</f>
        <v>0</v>
      </c>
      <c r="Z48">
        <f>IF($B48&gt;Z$2,0,$C$3*(Datos!$C$14)^(Stock!Z$2-Stock!$B48)*Datos!$C$15^Stock!$B48)</f>
        <v>0</v>
      </c>
      <c r="AA48">
        <f>IF($B48&gt;AA$2,0,$C$3*(Datos!$C$14)^(Stock!AA$2-Stock!$B48)*Datos!$C$15^Stock!$B48)</f>
        <v>0</v>
      </c>
      <c r="AB48">
        <f>IF($B48&gt;AB$2,0,$C$3*(Datos!$C$14)^(Stock!AB$2-Stock!$B48)*Datos!$C$15^Stock!$B48)</f>
        <v>0</v>
      </c>
      <c r="AC48">
        <f>IF($B48&gt;AC$2,0,$C$3*(Datos!$C$14)^(Stock!AC$2-Stock!$B48)*Datos!$C$15^Stock!$B48)</f>
        <v>0</v>
      </c>
      <c r="AD48">
        <f>IF($B48&gt;AD$2,0,$C$3*(Datos!$C$14)^(Stock!AD$2-Stock!$B48)*Datos!$C$15^Stock!$B48)</f>
        <v>0</v>
      </c>
      <c r="AE48">
        <f>IF($B48&gt;AE$2,0,$C$3*(Datos!$C$14)^(Stock!AE$2-Stock!$B48)*Datos!$C$15^Stock!$B48)</f>
        <v>0</v>
      </c>
      <c r="AF48">
        <f>IF($B48&gt;AF$2,0,$C$3*(Datos!$C$14)^(Stock!AF$2-Stock!$B48)*Datos!$C$15^Stock!$B48)</f>
        <v>0</v>
      </c>
      <c r="AG48">
        <f>IF($B48&gt;AG$2,0,$C$3*(Datos!$C$14)^(Stock!AG$2-Stock!$B48)*Datos!$C$15^Stock!$B48)</f>
        <v>0</v>
      </c>
      <c r="AH48">
        <f>IF($B48&gt;AH$2,0,$C$3*(Datos!$C$14)^(Stock!AH$2-Stock!$B48)*Datos!$C$15^Stock!$B48)</f>
        <v>0</v>
      </c>
      <c r="AI48">
        <f>IF($B48&gt;AI$2,0,$C$3*(Datos!$C$14)^(Stock!AI$2-Stock!$B48)*Datos!$C$15^Stock!$B48)</f>
        <v>0</v>
      </c>
      <c r="AJ48">
        <f>IF($B48&gt;AJ$2,0,$C$3*(Datos!$C$14)^(Stock!AJ$2-Stock!$B48)*Datos!$C$15^Stock!$B48)</f>
        <v>0</v>
      </c>
      <c r="AK48">
        <f>IF($B48&gt;AK$2,0,$C$3*(Datos!$C$14)^(Stock!AK$2-Stock!$B48)*Datos!$C$15^Stock!$B48)</f>
        <v>0</v>
      </c>
      <c r="AL48">
        <f>IF($B48&gt;AL$2,0,$C$3*(Datos!$C$14)^(Stock!AL$2-Stock!$B48)*Datos!$C$15^Stock!$B48)</f>
        <v>0</v>
      </c>
      <c r="AM48">
        <f>IF($B48&gt;AM$2,0,$C$3*(Datos!$C$14)^(Stock!AM$2-Stock!$B48)*Datos!$C$15^Stock!$B48)</f>
        <v>0</v>
      </c>
      <c r="AN48">
        <f>IF($B48&gt;AN$2,0,$C$3*(Datos!$C$14)^(Stock!AN$2-Stock!$B48)*Datos!$C$15^Stock!$B48)</f>
        <v>0</v>
      </c>
      <c r="AO48">
        <f>IF($B48&gt;AO$2,0,$C$3*(Datos!$C$14)^(Stock!AO$2-Stock!$B48)*Datos!$C$15^Stock!$B48)</f>
        <v>0</v>
      </c>
      <c r="AP48">
        <f>IF($B48&gt;AP$2,0,$C$3*(Datos!$C$14)^(Stock!AP$2-Stock!$B48)*Datos!$C$15^Stock!$B48)</f>
        <v>0</v>
      </c>
      <c r="AQ48">
        <f>IF($B48&gt;AQ$2,0,$C$3*(Datos!$C$14)^(Stock!AQ$2-Stock!$B48)*Datos!$C$15^Stock!$B48)</f>
        <v>0</v>
      </c>
      <c r="AR48">
        <f>IF($B48&gt;AR$2,0,$C$3*(Datos!$C$14)^(Stock!AR$2-Stock!$B48)*Datos!$C$15^Stock!$B48)</f>
        <v>0</v>
      </c>
      <c r="AS48">
        <f>IF($B48&gt;AS$2,0,$C$3*(Datos!$C$14)^(Stock!AS$2-Stock!$B48)*Datos!$C$15^Stock!$B48)</f>
        <v>0</v>
      </c>
      <c r="AT48">
        <f>IF($B48&gt;AT$2,0,$C$3*(Datos!$C$14)^(Stock!AT$2-Stock!$B48)*Datos!$C$15^Stock!$B48)</f>
        <v>0</v>
      </c>
      <c r="AU48">
        <f>IF($B48&gt;AU$2,0,$C$3*(Datos!$C$14)^(Stock!AU$2-Stock!$B48)*Datos!$C$15^Stock!$B48)</f>
        <v>0</v>
      </c>
      <c r="AV48">
        <f>IF($B48&gt;AV$2,0,$C$3*(Datos!$C$14)^(Stock!AV$2-Stock!$B48)*Datos!$C$15^Stock!$B48)</f>
        <v>2.8067559398947044E-4</v>
      </c>
      <c r="AW48">
        <f>IF($B48&gt;AW$2,0,$C$3*(Datos!$C$14)^(Stock!AW$2-Stock!$B48)*Datos!$C$15^Stock!$B48)</f>
        <v>5.0343952783645732E-4</v>
      </c>
      <c r="AX48">
        <f>IF($B48&gt;AX$2,0,$C$3*(Datos!$C$14)^(Stock!AX$2-Stock!$B48)*Datos!$C$15^Stock!$B48)</f>
        <v>9.0300462033654169E-4</v>
      </c>
      <c r="AY48">
        <f>IF($B48&gt;AY$2,0,$C$3*(Datos!$C$14)^(Stock!AY$2-Stock!$B48)*Datos!$C$15^Stock!$B48)</f>
        <v>1.6196927322203248E-3</v>
      </c>
      <c r="AZ48">
        <f>IF($B48&gt;AZ$2,0,$C$3*(Datos!$C$14)^(Stock!AZ$2-Stock!$B48)*Datos!$C$15^Stock!$B48)</f>
        <v>2.9051950429994718E-3</v>
      </c>
      <c r="BA48">
        <f>IF($B48&gt;BA$2,0,$C$3*(Datos!$C$14)^(Stock!BA$2-Stock!$B48)*Datos!$C$15^Stock!$B48)</f>
        <v>5.2109625918359669E-3</v>
      </c>
    </row>
    <row r="49" spans="2:53" x14ac:dyDescent="0.25">
      <c r="B49">
        <v>46</v>
      </c>
      <c r="D49">
        <f>IF($B49&gt;D$2,0,$C$3*(Datos!$C$14)^(Stock!D$2-Stock!$B49)*Datos!$C$15^Stock!$B49)</f>
        <v>0</v>
      </c>
      <c r="E49">
        <f>IF($B49&gt;E$2,0,$C$3*(Datos!$C$14)^(Stock!E$2-Stock!$B49)*Datos!$C$15^Stock!$B49)</f>
        <v>0</v>
      </c>
      <c r="F49">
        <f>IF($B49&gt;F$2,0,$C$3*(Datos!$C$14)^(Stock!F$2-Stock!$B49)*Datos!$C$15^Stock!$B49)</f>
        <v>0</v>
      </c>
      <c r="G49">
        <f>IF($B49&gt;G$2,0,$C$3*(Datos!$C$14)^(Stock!G$2-Stock!$B49)*Datos!$C$15^Stock!$B49)</f>
        <v>0</v>
      </c>
      <c r="H49">
        <f>IF($B49&gt;H$2,0,$C$3*(Datos!$C$14)^(Stock!H$2-Stock!$B49)*Datos!$C$15^Stock!$B49)</f>
        <v>0</v>
      </c>
      <c r="I49">
        <f>IF($B49&gt;I$2,0,$C$3*(Datos!$C$14)^(Stock!I$2-Stock!$B49)*Datos!$C$15^Stock!$B49)</f>
        <v>0</v>
      </c>
      <c r="J49">
        <f>IF($B49&gt;J$2,0,$C$3*(Datos!$C$14)^(Stock!J$2-Stock!$B49)*Datos!$C$15^Stock!$B49)</f>
        <v>0</v>
      </c>
      <c r="K49">
        <f>IF($B49&gt;K$2,0,$C$3*(Datos!$C$14)^(Stock!K$2-Stock!$B49)*Datos!$C$15^Stock!$B49)</f>
        <v>0</v>
      </c>
      <c r="L49">
        <f>IF($B49&gt;L$2,0,$C$3*(Datos!$C$14)^(Stock!L$2-Stock!$B49)*Datos!$C$15^Stock!$B49)</f>
        <v>0</v>
      </c>
      <c r="M49">
        <f>IF($B49&gt;M$2,0,$C$3*(Datos!$C$14)^(Stock!M$2-Stock!$B49)*Datos!$C$15^Stock!$B49)</f>
        <v>0</v>
      </c>
      <c r="N49">
        <f>IF($B49&gt;N$2,0,$C$3*(Datos!$C$14)^(Stock!N$2-Stock!$B49)*Datos!$C$15^Stock!$B49)</f>
        <v>0</v>
      </c>
      <c r="O49">
        <f>IF($B49&gt;O$2,0,$C$3*(Datos!$C$14)^(Stock!O$2-Stock!$B49)*Datos!$C$15^Stock!$B49)</f>
        <v>0</v>
      </c>
      <c r="P49">
        <f>IF($B49&gt;P$2,0,$C$3*(Datos!$C$14)^(Stock!P$2-Stock!$B49)*Datos!$C$15^Stock!$B49)</f>
        <v>0</v>
      </c>
      <c r="Q49">
        <f>IF($B49&gt;Q$2,0,$C$3*(Datos!$C$14)^(Stock!Q$2-Stock!$B49)*Datos!$C$15^Stock!$B49)</f>
        <v>0</v>
      </c>
      <c r="R49">
        <f>IF($B49&gt;R$2,0,$C$3*(Datos!$C$14)^(Stock!R$2-Stock!$B49)*Datos!$C$15^Stock!$B49)</f>
        <v>0</v>
      </c>
      <c r="S49">
        <f>IF($B49&gt;S$2,0,$C$3*(Datos!$C$14)^(Stock!S$2-Stock!$B49)*Datos!$C$15^Stock!$B49)</f>
        <v>0</v>
      </c>
      <c r="T49">
        <f>IF($B49&gt;T$2,0,$C$3*(Datos!$C$14)^(Stock!T$2-Stock!$B49)*Datos!$C$15^Stock!$B49)</f>
        <v>0</v>
      </c>
      <c r="U49">
        <f>IF($B49&gt;U$2,0,$C$3*(Datos!$C$14)^(Stock!U$2-Stock!$B49)*Datos!$C$15^Stock!$B49)</f>
        <v>0</v>
      </c>
      <c r="V49">
        <f>IF($B49&gt;V$2,0,$C$3*(Datos!$C$14)^(Stock!V$2-Stock!$B49)*Datos!$C$15^Stock!$B49)</f>
        <v>0</v>
      </c>
      <c r="W49">
        <f>IF($B49&gt;W$2,0,$C$3*(Datos!$C$14)^(Stock!W$2-Stock!$B49)*Datos!$C$15^Stock!$B49)</f>
        <v>0</v>
      </c>
      <c r="X49">
        <f>IF($B49&gt;X$2,0,$C$3*(Datos!$C$14)^(Stock!X$2-Stock!$B49)*Datos!$C$15^Stock!$B49)</f>
        <v>0</v>
      </c>
      <c r="Y49">
        <f>IF($B49&gt;Y$2,0,$C$3*(Datos!$C$14)^(Stock!Y$2-Stock!$B49)*Datos!$C$15^Stock!$B49)</f>
        <v>0</v>
      </c>
      <c r="Z49">
        <f>IF($B49&gt;Z$2,0,$C$3*(Datos!$C$14)^(Stock!Z$2-Stock!$B49)*Datos!$C$15^Stock!$B49)</f>
        <v>0</v>
      </c>
      <c r="AA49">
        <f>IF($B49&gt;AA$2,0,$C$3*(Datos!$C$14)^(Stock!AA$2-Stock!$B49)*Datos!$C$15^Stock!$B49)</f>
        <v>0</v>
      </c>
      <c r="AB49">
        <f>IF($B49&gt;AB$2,0,$C$3*(Datos!$C$14)^(Stock!AB$2-Stock!$B49)*Datos!$C$15^Stock!$B49)</f>
        <v>0</v>
      </c>
      <c r="AC49">
        <f>IF($B49&gt;AC$2,0,$C$3*(Datos!$C$14)^(Stock!AC$2-Stock!$B49)*Datos!$C$15^Stock!$B49)</f>
        <v>0</v>
      </c>
      <c r="AD49">
        <f>IF($B49&gt;AD$2,0,$C$3*(Datos!$C$14)^(Stock!AD$2-Stock!$B49)*Datos!$C$15^Stock!$B49)</f>
        <v>0</v>
      </c>
      <c r="AE49">
        <f>IF($B49&gt;AE$2,0,$C$3*(Datos!$C$14)^(Stock!AE$2-Stock!$B49)*Datos!$C$15^Stock!$B49)</f>
        <v>0</v>
      </c>
      <c r="AF49">
        <f>IF($B49&gt;AF$2,0,$C$3*(Datos!$C$14)^(Stock!AF$2-Stock!$B49)*Datos!$C$15^Stock!$B49)</f>
        <v>0</v>
      </c>
      <c r="AG49">
        <f>IF($B49&gt;AG$2,0,$C$3*(Datos!$C$14)^(Stock!AG$2-Stock!$B49)*Datos!$C$15^Stock!$B49)</f>
        <v>0</v>
      </c>
      <c r="AH49">
        <f>IF($B49&gt;AH$2,0,$C$3*(Datos!$C$14)^(Stock!AH$2-Stock!$B49)*Datos!$C$15^Stock!$B49)</f>
        <v>0</v>
      </c>
      <c r="AI49">
        <f>IF($B49&gt;AI$2,0,$C$3*(Datos!$C$14)^(Stock!AI$2-Stock!$B49)*Datos!$C$15^Stock!$B49)</f>
        <v>0</v>
      </c>
      <c r="AJ49">
        <f>IF($B49&gt;AJ$2,0,$C$3*(Datos!$C$14)^(Stock!AJ$2-Stock!$B49)*Datos!$C$15^Stock!$B49)</f>
        <v>0</v>
      </c>
      <c r="AK49">
        <f>IF($B49&gt;AK$2,0,$C$3*(Datos!$C$14)^(Stock!AK$2-Stock!$B49)*Datos!$C$15^Stock!$B49)</f>
        <v>0</v>
      </c>
      <c r="AL49">
        <f>IF($B49&gt;AL$2,0,$C$3*(Datos!$C$14)^(Stock!AL$2-Stock!$B49)*Datos!$C$15^Stock!$B49)</f>
        <v>0</v>
      </c>
      <c r="AM49">
        <f>IF($B49&gt;AM$2,0,$C$3*(Datos!$C$14)^(Stock!AM$2-Stock!$B49)*Datos!$C$15^Stock!$B49)</f>
        <v>0</v>
      </c>
      <c r="AN49">
        <f>IF($B49&gt;AN$2,0,$C$3*(Datos!$C$14)^(Stock!AN$2-Stock!$B49)*Datos!$C$15^Stock!$B49)</f>
        <v>0</v>
      </c>
      <c r="AO49">
        <f>IF($B49&gt;AO$2,0,$C$3*(Datos!$C$14)^(Stock!AO$2-Stock!$B49)*Datos!$C$15^Stock!$B49)</f>
        <v>0</v>
      </c>
      <c r="AP49">
        <f>IF($B49&gt;AP$2,0,$C$3*(Datos!$C$14)^(Stock!AP$2-Stock!$B49)*Datos!$C$15^Stock!$B49)</f>
        <v>0</v>
      </c>
      <c r="AQ49">
        <f>IF($B49&gt;AQ$2,0,$C$3*(Datos!$C$14)^(Stock!AQ$2-Stock!$B49)*Datos!$C$15^Stock!$B49)</f>
        <v>0</v>
      </c>
      <c r="AR49">
        <f>IF($B49&gt;AR$2,0,$C$3*(Datos!$C$14)^(Stock!AR$2-Stock!$B49)*Datos!$C$15^Stock!$B49)</f>
        <v>0</v>
      </c>
      <c r="AS49">
        <f>IF($B49&gt;AS$2,0,$C$3*(Datos!$C$14)^(Stock!AS$2-Stock!$B49)*Datos!$C$15^Stock!$B49)</f>
        <v>0</v>
      </c>
      <c r="AT49">
        <f>IF($B49&gt;AT$2,0,$C$3*(Datos!$C$14)^(Stock!AT$2-Stock!$B49)*Datos!$C$15^Stock!$B49)</f>
        <v>0</v>
      </c>
      <c r="AU49">
        <f>IF($B49&gt;AU$2,0,$C$3*(Datos!$C$14)^(Stock!AU$2-Stock!$B49)*Datos!$C$15^Stock!$B49)</f>
        <v>0</v>
      </c>
      <c r="AV49">
        <f>IF($B49&gt;AV$2,0,$C$3*(Datos!$C$14)^(Stock!AV$2-Stock!$B49)*Datos!$C$15^Stock!$B49)</f>
        <v>0</v>
      </c>
      <c r="AW49">
        <f>IF($B49&gt;AW$2,0,$C$3*(Datos!$C$14)^(Stock!AW$2-Stock!$B49)*Datos!$C$15^Stock!$B49)</f>
        <v>2.154945165378085E-4</v>
      </c>
      <c r="AX49">
        <f>IF($B49&gt;AX$2,0,$C$3*(Datos!$C$14)^(Stock!AX$2-Stock!$B49)*Datos!$C$15^Stock!$B49)</f>
        <v>3.8652615325438628E-4</v>
      </c>
      <c r="AY49">
        <f>IF($B49&gt;AY$2,0,$C$3*(Datos!$C$14)^(Stock!AY$2-Stock!$B49)*Datos!$C$15^Stock!$B49)</f>
        <v>6.9330055144777036E-4</v>
      </c>
      <c r="AZ49">
        <f>IF($B49&gt;AZ$2,0,$C$3*(Datos!$C$14)^(Stock!AZ$2-Stock!$B49)*Datos!$C$15^Stock!$B49)</f>
        <v>1.2435527339891017E-3</v>
      </c>
      <c r="BA49">
        <f>IF($B49&gt;BA$2,0,$C$3*(Datos!$C$14)^(Stock!BA$2-Stock!$B49)*Datos!$C$15^Stock!$B49)</f>
        <v>2.2305238312337744E-3</v>
      </c>
    </row>
    <row r="50" spans="2:53" x14ac:dyDescent="0.25">
      <c r="B50">
        <v>47</v>
      </c>
      <c r="D50">
        <f>IF($B50&gt;D$2,0,$C$3*(Datos!$C$14)^(Stock!D$2-Stock!$B50)*Datos!$C$15^Stock!$B50)</f>
        <v>0</v>
      </c>
      <c r="E50">
        <f>IF($B50&gt;E$2,0,$C$3*(Datos!$C$14)^(Stock!E$2-Stock!$B50)*Datos!$C$15^Stock!$B50)</f>
        <v>0</v>
      </c>
      <c r="F50">
        <f>IF($B50&gt;F$2,0,$C$3*(Datos!$C$14)^(Stock!F$2-Stock!$B50)*Datos!$C$15^Stock!$B50)</f>
        <v>0</v>
      </c>
      <c r="G50">
        <f>IF($B50&gt;G$2,0,$C$3*(Datos!$C$14)^(Stock!G$2-Stock!$B50)*Datos!$C$15^Stock!$B50)</f>
        <v>0</v>
      </c>
      <c r="H50">
        <f>IF($B50&gt;H$2,0,$C$3*(Datos!$C$14)^(Stock!H$2-Stock!$B50)*Datos!$C$15^Stock!$B50)</f>
        <v>0</v>
      </c>
      <c r="I50">
        <f>IF($B50&gt;I$2,0,$C$3*(Datos!$C$14)^(Stock!I$2-Stock!$B50)*Datos!$C$15^Stock!$B50)</f>
        <v>0</v>
      </c>
      <c r="J50">
        <f>IF($B50&gt;J$2,0,$C$3*(Datos!$C$14)^(Stock!J$2-Stock!$B50)*Datos!$C$15^Stock!$B50)</f>
        <v>0</v>
      </c>
      <c r="K50">
        <f>IF($B50&gt;K$2,0,$C$3*(Datos!$C$14)^(Stock!K$2-Stock!$B50)*Datos!$C$15^Stock!$B50)</f>
        <v>0</v>
      </c>
      <c r="L50">
        <f>IF($B50&gt;L$2,0,$C$3*(Datos!$C$14)^(Stock!L$2-Stock!$B50)*Datos!$C$15^Stock!$B50)</f>
        <v>0</v>
      </c>
      <c r="M50">
        <f>IF($B50&gt;M$2,0,$C$3*(Datos!$C$14)^(Stock!M$2-Stock!$B50)*Datos!$C$15^Stock!$B50)</f>
        <v>0</v>
      </c>
      <c r="N50">
        <f>IF($B50&gt;N$2,0,$C$3*(Datos!$C$14)^(Stock!N$2-Stock!$B50)*Datos!$C$15^Stock!$B50)</f>
        <v>0</v>
      </c>
      <c r="O50">
        <f>IF($B50&gt;O$2,0,$C$3*(Datos!$C$14)^(Stock!O$2-Stock!$B50)*Datos!$C$15^Stock!$B50)</f>
        <v>0</v>
      </c>
      <c r="P50">
        <f>IF($B50&gt;P$2,0,$C$3*(Datos!$C$14)^(Stock!P$2-Stock!$B50)*Datos!$C$15^Stock!$B50)</f>
        <v>0</v>
      </c>
      <c r="Q50">
        <f>IF($B50&gt;Q$2,0,$C$3*(Datos!$C$14)^(Stock!Q$2-Stock!$B50)*Datos!$C$15^Stock!$B50)</f>
        <v>0</v>
      </c>
      <c r="R50">
        <f>IF($B50&gt;R$2,0,$C$3*(Datos!$C$14)^(Stock!R$2-Stock!$B50)*Datos!$C$15^Stock!$B50)</f>
        <v>0</v>
      </c>
      <c r="S50">
        <f>IF($B50&gt;S$2,0,$C$3*(Datos!$C$14)^(Stock!S$2-Stock!$B50)*Datos!$C$15^Stock!$B50)</f>
        <v>0</v>
      </c>
      <c r="T50">
        <f>IF($B50&gt;T$2,0,$C$3*(Datos!$C$14)^(Stock!T$2-Stock!$B50)*Datos!$C$15^Stock!$B50)</f>
        <v>0</v>
      </c>
      <c r="U50">
        <f>IF($B50&gt;U$2,0,$C$3*(Datos!$C$14)^(Stock!U$2-Stock!$B50)*Datos!$C$15^Stock!$B50)</f>
        <v>0</v>
      </c>
      <c r="V50">
        <f>IF($B50&gt;V$2,0,$C$3*(Datos!$C$14)^(Stock!V$2-Stock!$B50)*Datos!$C$15^Stock!$B50)</f>
        <v>0</v>
      </c>
      <c r="W50">
        <f>IF($B50&gt;W$2,0,$C$3*(Datos!$C$14)^(Stock!W$2-Stock!$B50)*Datos!$C$15^Stock!$B50)</f>
        <v>0</v>
      </c>
      <c r="X50">
        <f>IF($B50&gt;X$2,0,$C$3*(Datos!$C$14)^(Stock!X$2-Stock!$B50)*Datos!$C$15^Stock!$B50)</f>
        <v>0</v>
      </c>
      <c r="Y50">
        <f>IF($B50&gt;Y$2,0,$C$3*(Datos!$C$14)^(Stock!Y$2-Stock!$B50)*Datos!$C$15^Stock!$B50)</f>
        <v>0</v>
      </c>
      <c r="Z50">
        <f>IF($B50&gt;Z$2,0,$C$3*(Datos!$C$14)^(Stock!Z$2-Stock!$B50)*Datos!$C$15^Stock!$B50)</f>
        <v>0</v>
      </c>
      <c r="AA50">
        <f>IF($B50&gt;AA$2,0,$C$3*(Datos!$C$14)^(Stock!AA$2-Stock!$B50)*Datos!$C$15^Stock!$B50)</f>
        <v>0</v>
      </c>
      <c r="AB50">
        <f>IF($B50&gt;AB$2,0,$C$3*(Datos!$C$14)^(Stock!AB$2-Stock!$B50)*Datos!$C$15^Stock!$B50)</f>
        <v>0</v>
      </c>
      <c r="AC50">
        <f>IF($B50&gt;AC$2,0,$C$3*(Datos!$C$14)^(Stock!AC$2-Stock!$B50)*Datos!$C$15^Stock!$B50)</f>
        <v>0</v>
      </c>
      <c r="AD50">
        <f>IF($B50&gt;AD$2,0,$C$3*(Datos!$C$14)^(Stock!AD$2-Stock!$B50)*Datos!$C$15^Stock!$B50)</f>
        <v>0</v>
      </c>
      <c r="AE50">
        <f>IF($B50&gt;AE$2,0,$C$3*(Datos!$C$14)^(Stock!AE$2-Stock!$B50)*Datos!$C$15^Stock!$B50)</f>
        <v>0</v>
      </c>
      <c r="AF50">
        <f>IF($B50&gt;AF$2,0,$C$3*(Datos!$C$14)^(Stock!AF$2-Stock!$B50)*Datos!$C$15^Stock!$B50)</f>
        <v>0</v>
      </c>
      <c r="AG50">
        <f>IF($B50&gt;AG$2,0,$C$3*(Datos!$C$14)^(Stock!AG$2-Stock!$B50)*Datos!$C$15^Stock!$B50)</f>
        <v>0</v>
      </c>
      <c r="AH50">
        <f>IF($B50&gt;AH$2,0,$C$3*(Datos!$C$14)^(Stock!AH$2-Stock!$B50)*Datos!$C$15^Stock!$B50)</f>
        <v>0</v>
      </c>
      <c r="AI50">
        <f>IF($B50&gt;AI$2,0,$C$3*(Datos!$C$14)^(Stock!AI$2-Stock!$B50)*Datos!$C$15^Stock!$B50)</f>
        <v>0</v>
      </c>
      <c r="AJ50">
        <f>IF($B50&gt;AJ$2,0,$C$3*(Datos!$C$14)^(Stock!AJ$2-Stock!$B50)*Datos!$C$15^Stock!$B50)</f>
        <v>0</v>
      </c>
      <c r="AK50">
        <f>IF($B50&gt;AK$2,0,$C$3*(Datos!$C$14)^(Stock!AK$2-Stock!$B50)*Datos!$C$15^Stock!$B50)</f>
        <v>0</v>
      </c>
      <c r="AL50">
        <f>IF($B50&gt;AL$2,0,$C$3*(Datos!$C$14)^(Stock!AL$2-Stock!$B50)*Datos!$C$15^Stock!$B50)</f>
        <v>0</v>
      </c>
      <c r="AM50">
        <f>IF($B50&gt;AM$2,0,$C$3*(Datos!$C$14)^(Stock!AM$2-Stock!$B50)*Datos!$C$15^Stock!$B50)</f>
        <v>0</v>
      </c>
      <c r="AN50">
        <f>IF($B50&gt;AN$2,0,$C$3*(Datos!$C$14)^(Stock!AN$2-Stock!$B50)*Datos!$C$15^Stock!$B50)</f>
        <v>0</v>
      </c>
      <c r="AO50">
        <f>IF($B50&gt;AO$2,0,$C$3*(Datos!$C$14)^(Stock!AO$2-Stock!$B50)*Datos!$C$15^Stock!$B50)</f>
        <v>0</v>
      </c>
      <c r="AP50">
        <f>IF($B50&gt;AP$2,0,$C$3*(Datos!$C$14)^(Stock!AP$2-Stock!$B50)*Datos!$C$15^Stock!$B50)</f>
        <v>0</v>
      </c>
      <c r="AQ50">
        <f>IF($B50&gt;AQ$2,0,$C$3*(Datos!$C$14)^(Stock!AQ$2-Stock!$B50)*Datos!$C$15^Stock!$B50)</f>
        <v>0</v>
      </c>
      <c r="AR50">
        <f>IF($B50&gt;AR$2,0,$C$3*(Datos!$C$14)^(Stock!AR$2-Stock!$B50)*Datos!$C$15^Stock!$B50)</f>
        <v>0</v>
      </c>
      <c r="AS50">
        <f>IF($B50&gt;AS$2,0,$C$3*(Datos!$C$14)^(Stock!AS$2-Stock!$B50)*Datos!$C$15^Stock!$B50)</f>
        <v>0</v>
      </c>
      <c r="AT50">
        <f>IF($B50&gt;AT$2,0,$C$3*(Datos!$C$14)^(Stock!AT$2-Stock!$B50)*Datos!$C$15^Stock!$B50)</f>
        <v>0</v>
      </c>
      <c r="AU50">
        <f>IF($B50&gt;AU$2,0,$C$3*(Datos!$C$14)^(Stock!AU$2-Stock!$B50)*Datos!$C$15^Stock!$B50)</f>
        <v>0</v>
      </c>
      <c r="AV50">
        <f>IF($B50&gt;AV$2,0,$C$3*(Datos!$C$14)^(Stock!AV$2-Stock!$B50)*Datos!$C$15^Stock!$B50)</f>
        <v>0</v>
      </c>
      <c r="AW50">
        <f>IF($B50&gt;AW$2,0,$C$3*(Datos!$C$14)^(Stock!AW$2-Stock!$B50)*Datos!$C$15^Stock!$B50)</f>
        <v>0</v>
      </c>
      <c r="AX50">
        <f>IF($B50&gt;AX$2,0,$C$3*(Datos!$C$14)^(Stock!AX$2-Stock!$B50)*Datos!$C$15^Stock!$B50)</f>
        <v>1.6545039060149251E-4</v>
      </c>
      <c r="AY50">
        <f>IF($B50&gt;AY$2,0,$C$3*(Datos!$C$14)^(Stock!AY$2-Stock!$B50)*Datos!$C$15^Stock!$B50)</f>
        <v>2.9676348178637015E-4</v>
      </c>
      <c r="AZ50">
        <f>IF($B50&gt;AZ$2,0,$C$3*(Datos!$C$14)^(Stock!AZ$2-Stock!$B50)*Datos!$C$15^Stock!$B50)</f>
        <v>5.3229589728859045E-4</v>
      </c>
      <c r="BA50">
        <f>IF($B50&gt;BA$2,0,$C$3*(Datos!$C$14)^(Stock!BA$2-Stock!$B50)*Datos!$C$15^Stock!$B50)</f>
        <v>9.5476343842815421E-4</v>
      </c>
    </row>
    <row r="51" spans="2:53" x14ac:dyDescent="0.25">
      <c r="B51">
        <v>48</v>
      </c>
      <c r="D51">
        <f>IF($B51&gt;D$2,0,$C$3*(Datos!$C$14)^(Stock!D$2-Stock!$B51)*Datos!$C$15^Stock!$B51)</f>
        <v>0</v>
      </c>
      <c r="E51">
        <f>IF($B51&gt;E$2,0,$C$3*(Datos!$C$14)^(Stock!E$2-Stock!$B51)*Datos!$C$15^Stock!$B51)</f>
        <v>0</v>
      </c>
      <c r="F51">
        <f>IF($B51&gt;F$2,0,$C$3*(Datos!$C$14)^(Stock!F$2-Stock!$B51)*Datos!$C$15^Stock!$B51)</f>
        <v>0</v>
      </c>
      <c r="G51">
        <f>IF($B51&gt;G$2,0,$C$3*(Datos!$C$14)^(Stock!G$2-Stock!$B51)*Datos!$C$15^Stock!$B51)</f>
        <v>0</v>
      </c>
      <c r="H51">
        <f>IF($B51&gt;H$2,0,$C$3*(Datos!$C$14)^(Stock!H$2-Stock!$B51)*Datos!$C$15^Stock!$B51)</f>
        <v>0</v>
      </c>
      <c r="I51">
        <f>IF($B51&gt;I$2,0,$C$3*(Datos!$C$14)^(Stock!I$2-Stock!$B51)*Datos!$C$15^Stock!$B51)</f>
        <v>0</v>
      </c>
      <c r="J51">
        <f>IF($B51&gt;J$2,0,$C$3*(Datos!$C$14)^(Stock!J$2-Stock!$B51)*Datos!$C$15^Stock!$B51)</f>
        <v>0</v>
      </c>
      <c r="K51">
        <f>IF($B51&gt;K$2,0,$C$3*(Datos!$C$14)^(Stock!K$2-Stock!$B51)*Datos!$C$15^Stock!$B51)</f>
        <v>0</v>
      </c>
      <c r="L51">
        <f>IF($B51&gt;L$2,0,$C$3*(Datos!$C$14)^(Stock!L$2-Stock!$B51)*Datos!$C$15^Stock!$B51)</f>
        <v>0</v>
      </c>
      <c r="M51">
        <f>IF($B51&gt;M$2,0,$C$3*(Datos!$C$14)^(Stock!M$2-Stock!$B51)*Datos!$C$15^Stock!$B51)</f>
        <v>0</v>
      </c>
      <c r="N51">
        <f>IF($B51&gt;N$2,0,$C$3*(Datos!$C$14)^(Stock!N$2-Stock!$B51)*Datos!$C$15^Stock!$B51)</f>
        <v>0</v>
      </c>
      <c r="O51">
        <f>IF($B51&gt;O$2,0,$C$3*(Datos!$C$14)^(Stock!O$2-Stock!$B51)*Datos!$C$15^Stock!$B51)</f>
        <v>0</v>
      </c>
      <c r="P51">
        <f>IF($B51&gt;P$2,0,$C$3*(Datos!$C$14)^(Stock!P$2-Stock!$B51)*Datos!$C$15^Stock!$B51)</f>
        <v>0</v>
      </c>
      <c r="Q51">
        <f>IF($B51&gt;Q$2,0,$C$3*(Datos!$C$14)^(Stock!Q$2-Stock!$B51)*Datos!$C$15^Stock!$B51)</f>
        <v>0</v>
      </c>
      <c r="R51">
        <f>IF($B51&gt;R$2,0,$C$3*(Datos!$C$14)^(Stock!R$2-Stock!$B51)*Datos!$C$15^Stock!$B51)</f>
        <v>0</v>
      </c>
      <c r="S51">
        <f>IF($B51&gt;S$2,0,$C$3*(Datos!$C$14)^(Stock!S$2-Stock!$B51)*Datos!$C$15^Stock!$B51)</f>
        <v>0</v>
      </c>
      <c r="T51">
        <f>IF($B51&gt;T$2,0,$C$3*(Datos!$C$14)^(Stock!T$2-Stock!$B51)*Datos!$C$15^Stock!$B51)</f>
        <v>0</v>
      </c>
      <c r="U51">
        <f>IF($B51&gt;U$2,0,$C$3*(Datos!$C$14)^(Stock!U$2-Stock!$B51)*Datos!$C$15^Stock!$B51)</f>
        <v>0</v>
      </c>
      <c r="V51">
        <f>IF($B51&gt;V$2,0,$C$3*(Datos!$C$14)^(Stock!V$2-Stock!$B51)*Datos!$C$15^Stock!$B51)</f>
        <v>0</v>
      </c>
      <c r="W51">
        <f>IF($B51&gt;W$2,0,$C$3*(Datos!$C$14)^(Stock!W$2-Stock!$B51)*Datos!$C$15^Stock!$B51)</f>
        <v>0</v>
      </c>
      <c r="X51">
        <f>IF($B51&gt;X$2,0,$C$3*(Datos!$C$14)^(Stock!X$2-Stock!$B51)*Datos!$C$15^Stock!$B51)</f>
        <v>0</v>
      </c>
      <c r="Y51">
        <f>IF($B51&gt;Y$2,0,$C$3*(Datos!$C$14)^(Stock!Y$2-Stock!$B51)*Datos!$C$15^Stock!$B51)</f>
        <v>0</v>
      </c>
      <c r="Z51">
        <f>IF($B51&gt;Z$2,0,$C$3*(Datos!$C$14)^(Stock!Z$2-Stock!$B51)*Datos!$C$15^Stock!$B51)</f>
        <v>0</v>
      </c>
      <c r="AA51">
        <f>IF($B51&gt;AA$2,0,$C$3*(Datos!$C$14)^(Stock!AA$2-Stock!$B51)*Datos!$C$15^Stock!$B51)</f>
        <v>0</v>
      </c>
      <c r="AB51">
        <f>IF($B51&gt;AB$2,0,$C$3*(Datos!$C$14)^(Stock!AB$2-Stock!$B51)*Datos!$C$15^Stock!$B51)</f>
        <v>0</v>
      </c>
      <c r="AC51">
        <f>IF($B51&gt;AC$2,0,$C$3*(Datos!$C$14)^(Stock!AC$2-Stock!$B51)*Datos!$C$15^Stock!$B51)</f>
        <v>0</v>
      </c>
      <c r="AD51">
        <f>IF($B51&gt;AD$2,0,$C$3*(Datos!$C$14)^(Stock!AD$2-Stock!$B51)*Datos!$C$15^Stock!$B51)</f>
        <v>0</v>
      </c>
      <c r="AE51">
        <f>IF($B51&gt;AE$2,0,$C$3*(Datos!$C$14)^(Stock!AE$2-Stock!$B51)*Datos!$C$15^Stock!$B51)</f>
        <v>0</v>
      </c>
      <c r="AF51">
        <f>IF($B51&gt;AF$2,0,$C$3*(Datos!$C$14)^(Stock!AF$2-Stock!$B51)*Datos!$C$15^Stock!$B51)</f>
        <v>0</v>
      </c>
      <c r="AG51">
        <f>IF($B51&gt;AG$2,0,$C$3*(Datos!$C$14)^(Stock!AG$2-Stock!$B51)*Datos!$C$15^Stock!$B51)</f>
        <v>0</v>
      </c>
      <c r="AH51">
        <f>IF($B51&gt;AH$2,0,$C$3*(Datos!$C$14)^(Stock!AH$2-Stock!$B51)*Datos!$C$15^Stock!$B51)</f>
        <v>0</v>
      </c>
      <c r="AI51">
        <f>IF($B51&gt;AI$2,0,$C$3*(Datos!$C$14)^(Stock!AI$2-Stock!$B51)*Datos!$C$15^Stock!$B51)</f>
        <v>0</v>
      </c>
      <c r="AJ51">
        <f>IF($B51&gt;AJ$2,0,$C$3*(Datos!$C$14)^(Stock!AJ$2-Stock!$B51)*Datos!$C$15^Stock!$B51)</f>
        <v>0</v>
      </c>
      <c r="AK51">
        <f>IF($B51&gt;AK$2,0,$C$3*(Datos!$C$14)^(Stock!AK$2-Stock!$B51)*Datos!$C$15^Stock!$B51)</f>
        <v>0</v>
      </c>
      <c r="AL51">
        <f>IF($B51&gt;AL$2,0,$C$3*(Datos!$C$14)^(Stock!AL$2-Stock!$B51)*Datos!$C$15^Stock!$B51)</f>
        <v>0</v>
      </c>
      <c r="AM51">
        <f>IF($B51&gt;AM$2,0,$C$3*(Datos!$C$14)^(Stock!AM$2-Stock!$B51)*Datos!$C$15^Stock!$B51)</f>
        <v>0</v>
      </c>
      <c r="AN51">
        <f>IF($B51&gt;AN$2,0,$C$3*(Datos!$C$14)^(Stock!AN$2-Stock!$B51)*Datos!$C$15^Stock!$B51)</f>
        <v>0</v>
      </c>
      <c r="AO51">
        <f>IF($B51&gt;AO$2,0,$C$3*(Datos!$C$14)^(Stock!AO$2-Stock!$B51)*Datos!$C$15^Stock!$B51)</f>
        <v>0</v>
      </c>
      <c r="AP51">
        <f>IF($B51&gt;AP$2,0,$C$3*(Datos!$C$14)^(Stock!AP$2-Stock!$B51)*Datos!$C$15^Stock!$B51)</f>
        <v>0</v>
      </c>
      <c r="AQ51">
        <f>IF($B51&gt;AQ$2,0,$C$3*(Datos!$C$14)^(Stock!AQ$2-Stock!$B51)*Datos!$C$15^Stock!$B51)</f>
        <v>0</v>
      </c>
      <c r="AR51">
        <f>IF($B51&gt;AR$2,0,$C$3*(Datos!$C$14)^(Stock!AR$2-Stock!$B51)*Datos!$C$15^Stock!$B51)</f>
        <v>0</v>
      </c>
      <c r="AS51">
        <f>IF($B51&gt;AS$2,0,$C$3*(Datos!$C$14)^(Stock!AS$2-Stock!$B51)*Datos!$C$15^Stock!$B51)</f>
        <v>0</v>
      </c>
      <c r="AT51">
        <f>IF($B51&gt;AT$2,0,$C$3*(Datos!$C$14)^(Stock!AT$2-Stock!$B51)*Datos!$C$15^Stock!$B51)</f>
        <v>0</v>
      </c>
      <c r="AU51">
        <f>IF($B51&gt;AU$2,0,$C$3*(Datos!$C$14)^(Stock!AU$2-Stock!$B51)*Datos!$C$15^Stock!$B51)</f>
        <v>0</v>
      </c>
      <c r="AV51">
        <f>IF($B51&gt;AV$2,0,$C$3*(Datos!$C$14)^(Stock!AV$2-Stock!$B51)*Datos!$C$15^Stock!$B51)</f>
        <v>0</v>
      </c>
      <c r="AW51">
        <f>IF($B51&gt;AW$2,0,$C$3*(Datos!$C$14)^(Stock!AW$2-Stock!$B51)*Datos!$C$15^Stock!$B51)</f>
        <v>0</v>
      </c>
      <c r="AX51">
        <f>IF($B51&gt;AX$2,0,$C$3*(Datos!$C$14)^(Stock!AX$2-Stock!$B51)*Datos!$C$15^Stock!$B51)</f>
        <v>0</v>
      </c>
      <c r="AY51">
        <f>IF($B51&gt;AY$2,0,$C$3*(Datos!$C$14)^(Stock!AY$2-Stock!$B51)*Datos!$C$15^Stock!$B51)</f>
        <v>1.2702797356508937E-4</v>
      </c>
      <c r="AZ51">
        <f>IF($B51&gt;AZ$2,0,$C$3*(Datos!$C$14)^(Stock!AZ$2-Stock!$B51)*Datos!$C$15^Stock!$B51)</f>
        <v>2.2784632651754429E-4</v>
      </c>
      <c r="BA51">
        <f>IF($B51&gt;BA$2,0,$C$3*(Datos!$C$14)^(Stock!BA$2-Stock!$B51)*Datos!$C$15^Stock!$B51)</f>
        <v>4.0868123020901845E-4</v>
      </c>
    </row>
    <row r="52" spans="2:53" x14ac:dyDescent="0.25">
      <c r="B52">
        <v>49</v>
      </c>
      <c r="D52">
        <f>IF($B52&gt;D$2,0,$C$3*(Datos!$C$14)^(Stock!D$2-Stock!$B52)*Datos!$C$15^Stock!$B52)</f>
        <v>0</v>
      </c>
      <c r="E52">
        <f>IF($B52&gt;E$2,0,$C$3*(Datos!$C$14)^(Stock!E$2-Stock!$B52)*Datos!$C$15^Stock!$B52)</f>
        <v>0</v>
      </c>
      <c r="F52">
        <f>IF($B52&gt;F$2,0,$C$3*(Datos!$C$14)^(Stock!F$2-Stock!$B52)*Datos!$C$15^Stock!$B52)</f>
        <v>0</v>
      </c>
      <c r="G52">
        <f>IF($B52&gt;G$2,0,$C$3*(Datos!$C$14)^(Stock!G$2-Stock!$B52)*Datos!$C$15^Stock!$B52)</f>
        <v>0</v>
      </c>
      <c r="H52">
        <f>IF($B52&gt;H$2,0,$C$3*(Datos!$C$14)^(Stock!H$2-Stock!$B52)*Datos!$C$15^Stock!$B52)</f>
        <v>0</v>
      </c>
      <c r="I52">
        <f>IF($B52&gt;I$2,0,$C$3*(Datos!$C$14)^(Stock!I$2-Stock!$B52)*Datos!$C$15^Stock!$B52)</f>
        <v>0</v>
      </c>
      <c r="J52">
        <f>IF($B52&gt;J$2,0,$C$3*(Datos!$C$14)^(Stock!J$2-Stock!$B52)*Datos!$C$15^Stock!$B52)</f>
        <v>0</v>
      </c>
      <c r="K52">
        <f>IF($B52&gt;K$2,0,$C$3*(Datos!$C$14)^(Stock!K$2-Stock!$B52)*Datos!$C$15^Stock!$B52)</f>
        <v>0</v>
      </c>
      <c r="L52">
        <f>IF($B52&gt;L$2,0,$C$3*(Datos!$C$14)^(Stock!L$2-Stock!$B52)*Datos!$C$15^Stock!$B52)</f>
        <v>0</v>
      </c>
      <c r="M52">
        <f>IF($B52&gt;M$2,0,$C$3*(Datos!$C$14)^(Stock!M$2-Stock!$B52)*Datos!$C$15^Stock!$B52)</f>
        <v>0</v>
      </c>
      <c r="N52">
        <f>IF($B52&gt;N$2,0,$C$3*(Datos!$C$14)^(Stock!N$2-Stock!$B52)*Datos!$C$15^Stock!$B52)</f>
        <v>0</v>
      </c>
      <c r="O52">
        <f>IF($B52&gt;O$2,0,$C$3*(Datos!$C$14)^(Stock!O$2-Stock!$B52)*Datos!$C$15^Stock!$B52)</f>
        <v>0</v>
      </c>
      <c r="P52">
        <f>IF($B52&gt;P$2,0,$C$3*(Datos!$C$14)^(Stock!P$2-Stock!$B52)*Datos!$C$15^Stock!$B52)</f>
        <v>0</v>
      </c>
      <c r="Q52">
        <f>IF($B52&gt;Q$2,0,$C$3*(Datos!$C$14)^(Stock!Q$2-Stock!$B52)*Datos!$C$15^Stock!$B52)</f>
        <v>0</v>
      </c>
      <c r="R52">
        <f>IF($B52&gt;R$2,0,$C$3*(Datos!$C$14)^(Stock!R$2-Stock!$B52)*Datos!$C$15^Stock!$B52)</f>
        <v>0</v>
      </c>
      <c r="S52">
        <f>IF($B52&gt;S$2,0,$C$3*(Datos!$C$14)^(Stock!S$2-Stock!$B52)*Datos!$C$15^Stock!$B52)</f>
        <v>0</v>
      </c>
      <c r="T52">
        <f>IF($B52&gt;T$2,0,$C$3*(Datos!$C$14)^(Stock!T$2-Stock!$B52)*Datos!$C$15^Stock!$B52)</f>
        <v>0</v>
      </c>
      <c r="U52">
        <f>IF($B52&gt;U$2,0,$C$3*(Datos!$C$14)^(Stock!U$2-Stock!$B52)*Datos!$C$15^Stock!$B52)</f>
        <v>0</v>
      </c>
      <c r="V52">
        <f>IF($B52&gt;V$2,0,$C$3*(Datos!$C$14)^(Stock!V$2-Stock!$B52)*Datos!$C$15^Stock!$B52)</f>
        <v>0</v>
      </c>
      <c r="W52">
        <f>IF($B52&gt;W$2,0,$C$3*(Datos!$C$14)^(Stock!W$2-Stock!$B52)*Datos!$C$15^Stock!$B52)</f>
        <v>0</v>
      </c>
      <c r="X52">
        <f>IF($B52&gt;X$2,0,$C$3*(Datos!$C$14)^(Stock!X$2-Stock!$B52)*Datos!$C$15^Stock!$B52)</f>
        <v>0</v>
      </c>
      <c r="Y52">
        <f>IF($B52&gt;Y$2,0,$C$3*(Datos!$C$14)^(Stock!Y$2-Stock!$B52)*Datos!$C$15^Stock!$B52)</f>
        <v>0</v>
      </c>
      <c r="Z52">
        <f>IF($B52&gt;Z$2,0,$C$3*(Datos!$C$14)^(Stock!Z$2-Stock!$B52)*Datos!$C$15^Stock!$B52)</f>
        <v>0</v>
      </c>
      <c r="AA52">
        <f>IF($B52&gt;AA$2,0,$C$3*(Datos!$C$14)^(Stock!AA$2-Stock!$B52)*Datos!$C$15^Stock!$B52)</f>
        <v>0</v>
      </c>
      <c r="AB52">
        <f>IF($B52&gt;AB$2,0,$C$3*(Datos!$C$14)^(Stock!AB$2-Stock!$B52)*Datos!$C$15^Stock!$B52)</f>
        <v>0</v>
      </c>
      <c r="AC52">
        <f>IF($B52&gt;AC$2,0,$C$3*(Datos!$C$14)^(Stock!AC$2-Stock!$B52)*Datos!$C$15^Stock!$B52)</f>
        <v>0</v>
      </c>
      <c r="AD52">
        <f>IF($B52&gt;AD$2,0,$C$3*(Datos!$C$14)^(Stock!AD$2-Stock!$B52)*Datos!$C$15^Stock!$B52)</f>
        <v>0</v>
      </c>
      <c r="AE52">
        <f>IF($B52&gt;AE$2,0,$C$3*(Datos!$C$14)^(Stock!AE$2-Stock!$B52)*Datos!$C$15^Stock!$B52)</f>
        <v>0</v>
      </c>
      <c r="AF52">
        <f>IF($B52&gt;AF$2,0,$C$3*(Datos!$C$14)^(Stock!AF$2-Stock!$B52)*Datos!$C$15^Stock!$B52)</f>
        <v>0</v>
      </c>
      <c r="AG52">
        <f>IF($B52&gt;AG$2,0,$C$3*(Datos!$C$14)^(Stock!AG$2-Stock!$B52)*Datos!$C$15^Stock!$B52)</f>
        <v>0</v>
      </c>
      <c r="AH52">
        <f>IF($B52&gt;AH$2,0,$C$3*(Datos!$C$14)^(Stock!AH$2-Stock!$B52)*Datos!$C$15^Stock!$B52)</f>
        <v>0</v>
      </c>
      <c r="AI52">
        <f>IF($B52&gt;AI$2,0,$C$3*(Datos!$C$14)^(Stock!AI$2-Stock!$B52)*Datos!$C$15^Stock!$B52)</f>
        <v>0</v>
      </c>
      <c r="AJ52">
        <f>IF($B52&gt;AJ$2,0,$C$3*(Datos!$C$14)^(Stock!AJ$2-Stock!$B52)*Datos!$C$15^Stock!$B52)</f>
        <v>0</v>
      </c>
      <c r="AK52">
        <f>IF($B52&gt;AK$2,0,$C$3*(Datos!$C$14)^(Stock!AK$2-Stock!$B52)*Datos!$C$15^Stock!$B52)</f>
        <v>0</v>
      </c>
      <c r="AL52">
        <f>IF($B52&gt;AL$2,0,$C$3*(Datos!$C$14)^(Stock!AL$2-Stock!$B52)*Datos!$C$15^Stock!$B52)</f>
        <v>0</v>
      </c>
      <c r="AM52">
        <f>IF($B52&gt;AM$2,0,$C$3*(Datos!$C$14)^(Stock!AM$2-Stock!$B52)*Datos!$C$15^Stock!$B52)</f>
        <v>0</v>
      </c>
      <c r="AN52">
        <f>IF($B52&gt;AN$2,0,$C$3*(Datos!$C$14)^(Stock!AN$2-Stock!$B52)*Datos!$C$15^Stock!$B52)</f>
        <v>0</v>
      </c>
      <c r="AO52">
        <f>IF($B52&gt;AO$2,0,$C$3*(Datos!$C$14)^(Stock!AO$2-Stock!$B52)*Datos!$C$15^Stock!$B52)</f>
        <v>0</v>
      </c>
      <c r="AP52">
        <f>IF($B52&gt;AP$2,0,$C$3*(Datos!$C$14)^(Stock!AP$2-Stock!$B52)*Datos!$C$15^Stock!$B52)</f>
        <v>0</v>
      </c>
      <c r="AQ52">
        <f>IF($B52&gt;AQ$2,0,$C$3*(Datos!$C$14)^(Stock!AQ$2-Stock!$B52)*Datos!$C$15^Stock!$B52)</f>
        <v>0</v>
      </c>
      <c r="AR52">
        <f>IF($B52&gt;AR$2,0,$C$3*(Datos!$C$14)^(Stock!AR$2-Stock!$B52)*Datos!$C$15^Stock!$B52)</f>
        <v>0</v>
      </c>
      <c r="AS52">
        <f>IF($B52&gt;AS$2,0,$C$3*(Datos!$C$14)^(Stock!AS$2-Stock!$B52)*Datos!$C$15^Stock!$B52)</f>
        <v>0</v>
      </c>
      <c r="AT52">
        <f>IF($B52&gt;AT$2,0,$C$3*(Datos!$C$14)^(Stock!AT$2-Stock!$B52)*Datos!$C$15^Stock!$B52)</f>
        <v>0</v>
      </c>
      <c r="AU52">
        <f>IF($B52&gt;AU$2,0,$C$3*(Datos!$C$14)^(Stock!AU$2-Stock!$B52)*Datos!$C$15^Stock!$B52)</f>
        <v>0</v>
      </c>
      <c r="AV52">
        <f>IF($B52&gt;AV$2,0,$C$3*(Datos!$C$14)^(Stock!AV$2-Stock!$B52)*Datos!$C$15^Stock!$B52)</f>
        <v>0</v>
      </c>
      <c r="AW52">
        <f>IF($B52&gt;AW$2,0,$C$3*(Datos!$C$14)^(Stock!AW$2-Stock!$B52)*Datos!$C$15^Stock!$B52)</f>
        <v>0</v>
      </c>
      <c r="AX52">
        <f>IF($B52&gt;AX$2,0,$C$3*(Datos!$C$14)^(Stock!AX$2-Stock!$B52)*Datos!$C$15^Stock!$B52)</f>
        <v>0</v>
      </c>
      <c r="AY52">
        <f>IF($B52&gt;AY$2,0,$C$3*(Datos!$C$14)^(Stock!AY$2-Stock!$B52)*Datos!$C$15^Stock!$B52)</f>
        <v>0</v>
      </c>
      <c r="AZ52">
        <f>IF($B52&gt;AZ$2,0,$C$3*(Datos!$C$14)^(Stock!AZ$2-Stock!$B52)*Datos!$C$15^Stock!$B52)</f>
        <v>9.7528364903766375E-5</v>
      </c>
      <c r="BA52">
        <f>IF($B52&gt;BA$2,0,$C$3*(Datos!$C$14)^(Stock!BA$2-Stock!$B52)*Datos!$C$15^Stock!$B52)</f>
        <v>1.7493374924381857E-4</v>
      </c>
    </row>
    <row r="53" spans="2:53" x14ac:dyDescent="0.25">
      <c r="B53">
        <v>50</v>
      </c>
      <c r="D53">
        <f>IF($B53&gt;D$2,0,$C$3*(Datos!$C$14)^(Stock!D$2-Stock!$B53)*Datos!$C$15^Stock!$B53)</f>
        <v>0</v>
      </c>
      <c r="E53">
        <f>IF($B53&gt;E$2,0,$C$3*(Datos!$C$14)^(Stock!E$2-Stock!$B53)*Datos!$C$15^Stock!$B53)</f>
        <v>0</v>
      </c>
      <c r="F53">
        <f>IF($B53&gt;F$2,0,$C$3*(Datos!$C$14)^(Stock!F$2-Stock!$B53)*Datos!$C$15^Stock!$B53)</f>
        <v>0</v>
      </c>
      <c r="G53">
        <f>IF($B53&gt;G$2,0,$C$3*(Datos!$C$14)^(Stock!G$2-Stock!$B53)*Datos!$C$15^Stock!$B53)</f>
        <v>0</v>
      </c>
      <c r="H53">
        <f>IF($B53&gt;H$2,0,$C$3*(Datos!$C$14)^(Stock!H$2-Stock!$B53)*Datos!$C$15^Stock!$B53)</f>
        <v>0</v>
      </c>
      <c r="I53">
        <f>IF($B53&gt;I$2,0,$C$3*(Datos!$C$14)^(Stock!I$2-Stock!$B53)*Datos!$C$15^Stock!$B53)</f>
        <v>0</v>
      </c>
      <c r="J53">
        <f>IF($B53&gt;J$2,0,$C$3*(Datos!$C$14)^(Stock!J$2-Stock!$B53)*Datos!$C$15^Stock!$B53)</f>
        <v>0</v>
      </c>
      <c r="K53">
        <f>IF($B53&gt;K$2,0,$C$3*(Datos!$C$14)^(Stock!K$2-Stock!$B53)*Datos!$C$15^Stock!$B53)</f>
        <v>0</v>
      </c>
      <c r="L53">
        <f>IF($B53&gt;L$2,0,$C$3*(Datos!$C$14)^(Stock!L$2-Stock!$B53)*Datos!$C$15^Stock!$B53)</f>
        <v>0</v>
      </c>
      <c r="M53">
        <f>IF($B53&gt;M$2,0,$C$3*(Datos!$C$14)^(Stock!M$2-Stock!$B53)*Datos!$C$15^Stock!$B53)</f>
        <v>0</v>
      </c>
      <c r="N53">
        <f>IF($B53&gt;N$2,0,$C$3*(Datos!$C$14)^(Stock!N$2-Stock!$B53)*Datos!$C$15^Stock!$B53)</f>
        <v>0</v>
      </c>
      <c r="O53">
        <f>IF($B53&gt;O$2,0,$C$3*(Datos!$C$14)^(Stock!O$2-Stock!$B53)*Datos!$C$15^Stock!$B53)</f>
        <v>0</v>
      </c>
      <c r="P53">
        <f>IF($B53&gt;P$2,0,$C$3*(Datos!$C$14)^(Stock!P$2-Stock!$B53)*Datos!$C$15^Stock!$B53)</f>
        <v>0</v>
      </c>
      <c r="Q53">
        <f>IF($B53&gt;Q$2,0,$C$3*(Datos!$C$14)^(Stock!Q$2-Stock!$B53)*Datos!$C$15^Stock!$B53)</f>
        <v>0</v>
      </c>
      <c r="R53">
        <f>IF($B53&gt;R$2,0,$C$3*(Datos!$C$14)^(Stock!R$2-Stock!$B53)*Datos!$C$15^Stock!$B53)</f>
        <v>0</v>
      </c>
      <c r="S53">
        <f>IF($B53&gt;S$2,0,$C$3*(Datos!$C$14)^(Stock!S$2-Stock!$B53)*Datos!$C$15^Stock!$B53)</f>
        <v>0</v>
      </c>
      <c r="T53">
        <f>IF($B53&gt;T$2,0,$C$3*(Datos!$C$14)^(Stock!T$2-Stock!$B53)*Datos!$C$15^Stock!$B53)</f>
        <v>0</v>
      </c>
      <c r="U53">
        <f>IF($B53&gt;U$2,0,$C$3*(Datos!$C$14)^(Stock!U$2-Stock!$B53)*Datos!$C$15^Stock!$B53)</f>
        <v>0</v>
      </c>
      <c r="V53">
        <f>IF($B53&gt;V$2,0,$C$3*(Datos!$C$14)^(Stock!V$2-Stock!$B53)*Datos!$C$15^Stock!$B53)</f>
        <v>0</v>
      </c>
      <c r="W53">
        <f>IF($B53&gt;W$2,0,$C$3*(Datos!$C$14)^(Stock!W$2-Stock!$B53)*Datos!$C$15^Stock!$B53)</f>
        <v>0</v>
      </c>
      <c r="X53">
        <f>IF($B53&gt;X$2,0,$C$3*(Datos!$C$14)^(Stock!X$2-Stock!$B53)*Datos!$C$15^Stock!$B53)</f>
        <v>0</v>
      </c>
      <c r="Y53">
        <f>IF($B53&gt;Y$2,0,$C$3*(Datos!$C$14)^(Stock!Y$2-Stock!$B53)*Datos!$C$15^Stock!$B53)</f>
        <v>0</v>
      </c>
      <c r="Z53">
        <f>IF($B53&gt;Z$2,0,$C$3*(Datos!$C$14)^(Stock!Z$2-Stock!$B53)*Datos!$C$15^Stock!$B53)</f>
        <v>0</v>
      </c>
      <c r="AA53">
        <f>IF($B53&gt;AA$2,0,$C$3*(Datos!$C$14)^(Stock!AA$2-Stock!$B53)*Datos!$C$15^Stock!$B53)</f>
        <v>0</v>
      </c>
      <c r="AB53">
        <f>IF($B53&gt;AB$2,0,$C$3*(Datos!$C$14)^(Stock!AB$2-Stock!$B53)*Datos!$C$15^Stock!$B53)</f>
        <v>0</v>
      </c>
      <c r="AC53">
        <f>IF($B53&gt;AC$2,0,$C$3*(Datos!$C$14)^(Stock!AC$2-Stock!$B53)*Datos!$C$15^Stock!$B53)</f>
        <v>0</v>
      </c>
      <c r="AD53">
        <f>IF($B53&gt;AD$2,0,$C$3*(Datos!$C$14)^(Stock!AD$2-Stock!$B53)*Datos!$C$15^Stock!$B53)</f>
        <v>0</v>
      </c>
      <c r="AE53">
        <f>IF($B53&gt;AE$2,0,$C$3*(Datos!$C$14)^(Stock!AE$2-Stock!$B53)*Datos!$C$15^Stock!$B53)</f>
        <v>0</v>
      </c>
      <c r="AF53">
        <f>IF($B53&gt;AF$2,0,$C$3*(Datos!$C$14)^(Stock!AF$2-Stock!$B53)*Datos!$C$15^Stock!$B53)</f>
        <v>0</v>
      </c>
      <c r="AG53">
        <f>IF($B53&gt;AG$2,0,$C$3*(Datos!$C$14)^(Stock!AG$2-Stock!$B53)*Datos!$C$15^Stock!$B53)</f>
        <v>0</v>
      </c>
      <c r="AH53">
        <f>IF($B53&gt;AH$2,0,$C$3*(Datos!$C$14)^(Stock!AH$2-Stock!$B53)*Datos!$C$15^Stock!$B53)</f>
        <v>0</v>
      </c>
      <c r="AI53">
        <f>IF($B53&gt;AI$2,0,$C$3*(Datos!$C$14)^(Stock!AI$2-Stock!$B53)*Datos!$C$15^Stock!$B53)</f>
        <v>0</v>
      </c>
      <c r="AJ53">
        <f>IF($B53&gt;AJ$2,0,$C$3*(Datos!$C$14)^(Stock!AJ$2-Stock!$B53)*Datos!$C$15^Stock!$B53)</f>
        <v>0</v>
      </c>
      <c r="AK53">
        <f>IF($B53&gt;AK$2,0,$C$3*(Datos!$C$14)^(Stock!AK$2-Stock!$B53)*Datos!$C$15^Stock!$B53)</f>
        <v>0</v>
      </c>
      <c r="AL53">
        <f>IF($B53&gt;AL$2,0,$C$3*(Datos!$C$14)^(Stock!AL$2-Stock!$B53)*Datos!$C$15^Stock!$B53)</f>
        <v>0</v>
      </c>
      <c r="AM53">
        <f>IF($B53&gt;AM$2,0,$C$3*(Datos!$C$14)^(Stock!AM$2-Stock!$B53)*Datos!$C$15^Stock!$B53)</f>
        <v>0</v>
      </c>
      <c r="AN53">
        <f>IF($B53&gt;AN$2,0,$C$3*(Datos!$C$14)^(Stock!AN$2-Stock!$B53)*Datos!$C$15^Stock!$B53)</f>
        <v>0</v>
      </c>
      <c r="AO53">
        <f>IF($B53&gt;AO$2,0,$C$3*(Datos!$C$14)^(Stock!AO$2-Stock!$B53)*Datos!$C$15^Stock!$B53)</f>
        <v>0</v>
      </c>
      <c r="AP53">
        <f>IF($B53&gt;AP$2,0,$C$3*(Datos!$C$14)^(Stock!AP$2-Stock!$B53)*Datos!$C$15^Stock!$B53)</f>
        <v>0</v>
      </c>
      <c r="AQ53">
        <f>IF($B53&gt;AQ$2,0,$C$3*(Datos!$C$14)^(Stock!AQ$2-Stock!$B53)*Datos!$C$15^Stock!$B53)</f>
        <v>0</v>
      </c>
      <c r="AR53">
        <f>IF($B53&gt;AR$2,0,$C$3*(Datos!$C$14)^(Stock!AR$2-Stock!$B53)*Datos!$C$15^Stock!$B53)</f>
        <v>0</v>
      </c>
      <c r="AS53">
        <f>IF($B53&gt;AS$2,0,$C$3*(Datos!$C$14)^(Stock!AS$2-Stock!$B53)*Datos!$C$15^Stock!$B53)</f>
        <v>0</v>
      </c>
      <c r="AT53">
        <f>IF($B53&gt;AT$2,0,$C$3*(Datos!$C$14)^(Stock!AT$2-Stock!$B53)*Datos!$C$15^Stock!$B53)</f>
        <v>0</v>
      </c>
      <c r="AU53">
        <f>IF($B53&gt;AU$2,0,$C$3*(Datos!$C$14)^(Stock!AU$2-Stock!$B53)*Datos!$C$15^Stock!$B53)</f>
        <v>0</v>
      </c>
      <c r="AV53">
        <f>IF($B53&gt;AV$2,0,$C$3*(Datos!$C$14)^(Stock!AV$2-Stock!$B53)*Datos!$C$15^Stock!$B53)</f>
        <v>0</v>
      </c>
      <c r="AW53">
        <f>IF($B53&gt;AW$2,0,$C$3*(Datos!$C$14)^(Stock!AW$2-Stock!$B53)*Datos!$C$15^Stock!$B53)</f>
        <v>0</v>
      </c>
      <c r="AX53">
        <f>IF($B53&gt;AX$2,0,$C$3*(Datos!$C$14)^(Stock!AX$2-Stock!$B53)*Datos!$C$15^Stock!$B53)</f>
        <v>0</v>
      </c>
      <c r="AY53">
        <f>IF($B53&gt;AY$2,0,$C$3*(Datos!$C$14)^(Stock!AY$2-Stock!$B53)*Datos!$C$15^Stock!$B53)</f>
        <v>0</v>
      </c>
      <c r="AZ53">
        <f>IF($B53&gt;AZ$2,0,$C$3*(Datos!$C$14)^(Stock!AZ$2-Stock!$B53)*Datos!$C$15^Stock!$B53)</f>
        <v>0</v>
      </c>
      <c r="BA53">
        <f>IF($B53&gt;BA$2,0,$C$3*(Datos!$C$14)^(Stock!BA$2-Stock!$B53)*Datos!$C$15^Stock!$B53)</f>
        <v>7.4879427687070464E-5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A53"/>
  <sheetViews>
    <sheetView zoomScale="140" zoomScaleNormal="140" workbookViewId="0">
      <selection activeCell="BA53" sqref="BA53"/>
    </sheetView>
  </sheetViews>
  <sheetFormatPr baseColWidth="10" defaultRowHeight="15" x14ac:dyDescent="0.25"/>
  <cols>
    <col min="2" max="2" width="3.140625" bestFit="1" customWidth="1"/>
  </cols>
  <sheetData>
    <row r="1" spans="1:53" x14ac:dyDescent="0.25">
      <c r="A1" t="s">
        <v>7</v>
      </c>
    </row>
    <row r="2" spans="1:53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  <c r="AI2">
        <v>32</v>
      </c>
      <c r="AJ2">
        <v>33</v>
      </c>
      <c r="AK2">
        <v>34</v>
      </c>
      <c r="AL2">
        <v>35</v>
      </c>
      <c r="AM2">
        <v>36</v>
      </c>
      <c r="AN2">
        <v>37</v>
      </c>
      <c r="AO2">
        <v>38</v>
      </c>
      <c r="AP2">
        <v>39</v>
      </c>
      <c r="AQ2">
        <v>40</v>
      </c>
      <c r="AR2">
        <v>41</v>
      </c>
      <c r="AS2">
        <v>42</v>
      </c>
      <c r="AT2">
        <v>43</v>
      </c>
      <c r="AU2">
        <v>44</v>
      </c>
      <c r="AV2">
        <v>45</v>
      </c>
      <c r="AW2">
        <v>46</v>
      </c>
      <c r="AX2">
        <v>47</v>
      </c>
      <c r="AY2">
        <v>48</v>
      </c>
      <c r="AZ2">
        <v>49</v>
      </c>
      <c r="BA2">
        <v>50</v>
      </c>
    </row>
    <row r="3" spans="1:53" x14ac:dyDescent="0.25">
      <c r="B3">
        <v>0</v>
      </c>
      <c r="C3" s="18">
        <f>IF($B3&gt;C$2,0,IF(Datos!$C$4=1,IFERROR(MAX(Stock!C3-Datos!$C$6,0),0),IFERROR(MAX(Datos!$C$6-Stock!C3,0),0)))</f>
        <v>1</v>
      </c>
      <c r="D3" s="18">
        <f>IF($B3&gt;D$2,0,IF(Datos!$C$4=1,IFERROR(MAX(Stock!D3-Datos!$C$6,0),0),IFERROR(MAX(Datos!$C$6-Stock!D3,0),0)))</f>
        <v>33.540489744431071</v>
      </c>
      <c r="E3" s="19">
        <f>IF($B3&gt;E$2,0,IF(Datos!$C$4=1,IFERROR(MAX(Stock!E3-Datos!$C$6,0),0),IFERROR(MAX(Datos!$C$6-Stock!E3,0),0)))</f>
        <v>91.907405654896849</v>
      </c>
      <c r="F3" s="4">
        <f>IF($B3&gt;F$2,0,IF(Datos!$C$4=1,IFERROR(MAX(Stock!F3-Datos!$C$6,0),0),IFERROR(MAX(Datos!$C$6-Stock!F3,0),0)))</f>
        <v>196.59841982386467</v>
      </c>
      <c r="G3" s="4">
        <f>IF($B3&gt;G$2,0,IF(Datos!$C$4=1,IFERROR(MAX(Stock!G3-Datos!$C$6,0),0),IFERROR(MAX(Datos!$C$6-Stock!G3,0),0)))</f>
        <v>384.37960162452481</v>
      </c>
      <c r="H3" s="4">
        <f>IF($B3&gt;H$2,0,IF(Datos!$C$4=1,IFERROR(MAX(Stock!H3-Datos!$C$6,0),0),IFERROR(MAX(Datos!$C$6-Stock!H3,0),0)))</f>
        <v>721.19716441497826</v>
      </c>
      <c r="I3" s="4">
        <f>IF($B3&gt;I$2,0,IF(Datos!$C$4=1,IFERROR(MAX(Stock!I3-Datos!$C$6,0),0),IFERROR(MAX(Datos!$C$6-Stock!I3,0),0)))</f>
        <v>1325.3368844670663</v>
      </c>
      <c r="J3">
        <f>IF($B3&gt;J$2,0,IF(Datos!$C$4=1,IFERROR(MAX(Stock!J3-Datos!$C$6,0),0),IFERROR(MAX(Datos!$C$6-Stock!J3,0),0)))</f>
        <v>2408.9644670693597</v>
      </c>
      <c r="K3">
        <f>IF($B3&gt;K$2,0,IF(Datos!$C$4=1,IFERROR(MAX(Stock!K3-Datos!$C$6,0),0),IFERROR(MAX(Datos!$C$6-Stock!K3,0),0)))</f>
        <v>4352.635274999765</v>
      </c>
      <c r="L3">
        <f>IF($B3&gt;L$2,0,IF(Datos!$C$4=1,IFERROR(MAX(Stock!L3-Datos!$C$6,0),0),IFERROR(MAX(Datos!$C$6-Stock!L3,0),0)))</f>
        <v>7838.9402290767403</v>
      </c>
      <c r="M3">
        <f>IF($B3&gt;M$2,0,IF(Datos!$C$4=1,IFERROR(MAX(Stock!M3-Datos!$C$6,0),0),IFERROR(MAX(Datos!$C$6-Stock!M3,0),0)))</f>
        <v>14092.222514961059</v>
      </c>
      <c r="N3">
        <f>IF($B3&gt;N$2,0,IF(Datos!$C$4=1,IFERROR(MAX(Stock!N3-Datos!$C$6,0),0),IFERROR(MAX(Datos!$C$6-Stock!N3,0),0)))</f>
        <v>25308.550364085648</v>
      </c>
      <c r="O3">
        <f>IF($B3&gt;O$2,0,IF(Datos!$C$4=1,IFERROR(MAX(Stock!O3-Datos!$C$6,0),0),IFERROR(MAX(Datos!$C$6-Stock!O3,0),0)))</f>
        <v>45426.946538688666</v>
      </c>
      <c r="P3">
        <f>IF($B3&gt;P$2,0,IF(Datos!$C$4=1,IFERROR(MAX(Stock!P3-Datos!$C$6,0),0),IFERROR(MAX(Datos!$C$6-Stock!P3,0),0)))</f>
        <v>81512.719893634858</v>
      </c>
      <c r="Q3">
        <f>IF($B3&gt;Q$2,0,IF(Datos!$C$4=1,IFERROR(MAX(Stock!Q3-Datos!$C$6,0),0),IFERROR(MAX(Datos!$C$6-Stock!Q3,0),0)))</f>
        <v>146238.70636508081</v>
      </c>
      <c r="R3">
        <f>IF($B3&gt;R$2,0,IF(Datos!$C$4=1,IFERROR(MAX(Stock!R3-Datos!$C$6,0),0),IFERROR(MAX(Datos!$C$6-Stock!R3,0),0)))</f>
        <v>262335.79768950905</v>
      </c>
      <c r="S3">
        <f>IF($B3&gt;S$2,0,IF(Datos!$C$4=1,IFERROR(MAX(Stock!S3-Datos!$C$6,0),0),IFERROR(MAX(Datos!$C$6-Stock!S3,0),0)))</f>
        <v>470575.72339444543</v>
      </c>
      <c r="T3">
        <f>IF($B3&gt;T$2,0,IF(Datos!$C$4=1,IFERROR(MAX(Stock!T3-Datos!$C$6,0),0),IFERROR(MAX(Datos!$C$6-Stock!T3,0),0)))</f>
        <v>844089.53121602978</v>
      </c>
      <c r="U3">
        <f>IF($B3&gt;U$2,0,IF(Datos!$C$4=1,IFERROR(MAX(Stock!U3-Datos!$C$6,0),0),IFERROR(MAX(Datos!$C$6-Stock!U3,0),0)))</f>
        <v>1514050.2227649719</v>
      </c>
      <c r="V3">
        <f>IF($B3&gt;V$2,0,IF(Datos!$C$4=1,IFERROR(MAX(Stock!V3-Datos!$C$6,0),0),IFERROR(MAX(Datos!$C$6-Stock!V3,0),0)))</f>
        <v>2715738.9390095309</v>
      </c>
      <c r="W3">
        <f>IF($B3&gt;W$2,0,IF(Datos!$C$4=1,IFERROR(MAX(Stock!W3-Datos!$C$6,0),0),IFERROR(MAX(Datos!$C$6-Stock!W3,0),0)))</f>
        <v>4871172.5173749337</v>
      </c>
      <c r="X3">
        <f>IF($B3&gt;X$2,0,IF(Datos!$C$4=1,IFERROR(MAX(Stock!X3-Datos!$C$6,0),0),IFERROR(MAX(Datos!$C$6-Stock!X3,0),0)))</f>
        <v>8737310.1018769667</v>
      </c>
      <c r="Y3">
        <f>IF($B3&gt;Y$2,0,IF(Datos!$C$4=1,IFERROR(MAX(Stock!Y3-Datos!$C$6,0),0),IFERROR(MAX(Datos!$C$6-Stock!Y3,0),0)))</f>
        <v>15671886.964892358</v>
      </c>
      <c r="Z3">
        <f>IF($B3&gt;Z$2,0,IF(Datos!$C$4=1,IFERROR(MAX(Stock!Z3-Datos!$C$6,0),0),IFERROR(MAX(Datos!$C$6-Stock!Z3,0),0)))</f>
        <v>28110232.786271695</v>
      </c>
      <c r="AA3">
        <f>IF($B3&gt;AA$2,0,IF(Datos!$C$4=1,IFERROR(MAX(Stock!AA3-Datos!$C$6,0),0),IFERROR(MAX(Datos!$C$6-Stock!AA3,0),0)))</f>
        <v>50420526.525657885</v>
      </c>
      <c r="AB3">
        <f>IF($B3&gt;AB$2,0,IF(Datos!$C$4=1,IFERROR(MAX(Stock!AB3-Datos!$C$6,0),0),IFERROR(MAX(Datos!$C$6-Stock!AB3,0),0)))</f>
        <v>90437841.841184095</v>
      </c>
      <c r="AC3">
        <f>IF($B3&gt;AC$2,0,IF(Datos!$C$4=1,IFERROR(MAX(Stock!AC3-Datos!$C$6,0),0),IFERROR(MAX(Datos!$C$6-Stock!AC3,0),0)))</f>
        <v>162215719.07438216</v>
      </c>
      <c r="AD3">
        <f>IF($B3&gt;AD$2,0,IF(Datos!$C$4=1,IFERROR(MAX(Stock!AD3-Datos!$C$6,0),0),IFERROR(MAX(Datos!$C$6-Stock!AD3,0),0)))</f>
        <v>290961578.69743174</v>
      </c>
      <c r="AE3">
        <f>IF($B3&gt;AE$2,0,IF(Datos!$C$4=1,IFERROR(MAX(Stock!AE3-Datos!$C$6,0),0),IFERROR(MAX(Datos!$C$6-Stock!AE3,0),0)))</f>
        <v>521889226.72784251</v>
      </c>
      <c r="AF3">
        <f>IF($B3&gt;AF$2,0,IF(Datos!$C$4=1,IFERROR(MAX(Stock!AF3-Datos!$C$6,0),0),IFERROR(MAX(Datos!$C$6-Stock!AF3,0),0)))</f>
        <v>936097332.37872076</v>
      </c>
      <c r="AG3">
        <f>IF($B3&gt;AG$2,0,IF(Datos!$C$4=1,IFERROR(MAX(Stock!AG3-Datos!$C$6,0),0),IFERROR(MAX(Datos!$C$6-Stock!AG3,0),0)))</f>
        <v>1679050184.7123458</v>
      </c>
      <c r="AH3">
        <f>IF($B3&gt;AH$2,0,IF(Datos!$C$4=1,IFERROR(MAX(Stock!AH3-Datos!$C$6,0),0),IFERROR(MAX(Datos!$C$6-Stock!AH3,0),0)))</f>
        <v>3011662785.1425109</v>
      </c>
      <c r="AI3">
        <f>IF($B3&gt;AI$2,0,IF(Datos!$C$4=1,IFERROR(MAX(Stock!AI3-Datos!$C$6,0),0),IFERROR(MAX(Datos!$C$6-Stock!AI3,0),0)))</f>
        <v>5401930669.9043217</v>
      </c>
      <c r="AJ3">
        <f>IF($B3&gt;AJ$2,0,IF(Datos!$C$4=1,IFERROR(MAX(Stock!AJ3-Datos!$C$6,0),0),IFERROR(MAX(Datos!$C$6-Stock!AJ3,0),0)))</f>
        <v>9689283617.8499031</v>
      </c>
      <c r="AK3">
        <f>IF($B3&gt;AK$2,0,IF(Datos!$C$4=1,IFERROR(MAX(Stock!AK3-Datos!$C$6,0),0),IFERROR(MAX(Datos!$C$6-Stock!AK3,0),0)))</f>
        <v>17379382044.658398</v>
      </c>
      <c r="AL3">
        <f>IF($B3&gt;AL$2,0,IF(Datos!$C$4=1,IFERROR(MAX(Stock!AL3-Datos!$C$6,0),0),IFERROR(MAX(Datos!$C$6-Stock!AL3,0),0)))</f>
        <v>31172884593.204147</v>
      </c>
      <c r="AM3">
        <f>IF($B3&gt;AM$2,0,IF(Datos!$C$4=1,IFERROR(MAX(Stock!AM3-Datos!$C$6,0),0),IFERROR(MAX(Datos!$C$6-Stock!AM3,0),0)))</f>
        <v>55913882952.011765</v>
      </c>
      <c r="AN3">
        <f>IF($B3&gt;AN$2,0,IF(Datos!$C$4=1,IFERROR(MAX(Stock!AN3-Datos!$C$6,0),0),IFERROR(MAX(Datos!$C$6-Stock!AN3,0),0)))</f>
        <v>100291081392.81364</v>
      </c>
      <c r="AO3">
        <f>IF($B3&gt;AO$2,0,IF(Datos!$C$4=1,IFERROR(MAX(Stock!AO3-Datos!$C$6,0),0),IFERROR(MAX(Datos!$C$6-Stock!AO3,0),0)))</f>
        <v>179889152290.92032</v>
      </c>
      <c r="AP3">
        <f>IF($B3&gt;AP$2,0,IF(Datos!$C$4=1,IFERROR(MAX(Stock!AP3-Datos!$C$6,0),0),IFERROR(MAX(Datos!$C$6-Stock!AP3,0),0)))</f>
        <v>322661862450.88892</v>
      </c>
      <c r="AQ3">
        <f>IF($B3&gt;AQ$2,0,IF(Datos!$C$4=1,IFERROR(MAX(Stock!AQ3-Datos!$C$6,0),0),IFERROR(MAX(Datos!$C$6-Stock!AQ3,0),0)))</f>
        <v>578749058238.7865</v>
      </c>
      <c r="AR3">
        <f>IF($B3&gt;AR$2,0,IF(Datos!$C$4=1,IFERROR(MAX(Stock!AR3-Datos!$C$6,0),0),IFERROR(MAX(Datos!$C$6-Stock!AR3,0),0)))</f>
        <v>1038085102031.9569</v>
      </c>
      <c r="AS3">
        <f>IF($B3&gt;AS$2,0,IF(Datos!$C$4=1,IFERROR(MAX(Stock!AS3-Datos!$C$6,0),0),IFERROR(MAX(Datos!$C$6-Stock!AS3,0),0)))</f>
        <v>1861982604905.5957</v>
      </c>
      <c r="AT3">
        <f>IF($B3&gt;AT$2,0,IF(Datos!$C$4=1,IFERROR(MAX(Stock!AT3-Datos!$C$6,0),0),IFERROR(MAX(Datos!$C$6-Stock!AT3,0),0)))</f>
        <v>3339783235650.5034</v>
      </c>
      <c r="AU3">
        <f>IF($B3&gt;AU$2,0,IF(Datos!$C$4=1,IFERROR(MAX(Stock!AU3-Datos!$C$6,0),0),IFERROR(MAX(Datos!$C$6-Stock!AU3,0),0)))</f>
        <v>5990470604665.3721</v>
      </c>
      <c r="AV3">
        <f>IF($B3&gt;AV$2,0,IF(Datos!$C$4=1,IFERROR(MAX(Stock!AV3-Datos!$C$6,0),0),IFERROR(MAX(Datos!$C$6-Stock!AV3,0),0)))</f>
        <v>10744930294341.738</v>
      </c>
      <c r="AW3">
        <f>IF($B3&gt;AW$2,0,IF(Datos!$C$4=1,IFERROR(MAX(Stock!AW3-Datos!$C$6,0),0),IFERROR(MAX(Datos!$C$6-Stock!AW3,0),0)))</f>
        <v>19272864295535.777</v>
      </c>
      <c r="AX3">
        <f>IF($B3&gt;AX$2,0,IF(Datos!$C$4=1,IFERROR(MAX(Stock!AX3-Datos!$C$6,0),0),IFERROR(MAX(Datos!$C$6-Stock!AX3,0),0)))</f>
        <v>34569167782267.371</v>
      </c>
      <c r="AY3">
        <f>IF($B3&gt;AY$2,0,IF(Datos!$C$4=1,IFERROR(MAX(Stock!AY3-Datos!$C$6,0),0),IFERROR(MAX(Datos!$C$6-Stock!AY3,0),0)))</f>
        <v>62005695823576.891</v>
      </c>
      <c r="AZ3">
        <f>IF($B3&gt;AZ$2,0,IF(Datos!$C$4=1,IFERROR(MAX(Stock!AZ3-Datos!$C$6,0),0),IFERROR(MAX(Datos!$C$6-Stock!AZ3,0),0)))</f>
        <v>111217786288082.2</v>
      </c>
      <c r="BA3">
        <f>IF($B3&gt;BA$2,0,IF(Datos!$C$4=1,IFERROR(MAX(Stock!BA3-Datos!$C$6,0),0),IFERROR(MAX(Datos!$C$6-Stock!BA3,0),0)))</f>
        <v>199488060290691.12</v>
      </c>
    </row>
    <row r="4" spans="1:53" x14ac:dyDescent="0.25">
      <c r="B4">
        <v>1</v>
      </c>
      <c r="C4" s="19"/>
      <c r="D4" s="19">
        <f>IF($B4&gt;D$2,0,IF(Datos!$C$4=1,IFERROR(MAX(Stock!D4-Datos!$C$6,0),0),IFERROR(MAX(Datos!$C$6-Stock!D4,0),0)))</f>
        <v>0</v>
      </c>
      <c r="E4" s="19">
        <f>IF($B4&gt;E$2,0,IF(Datos!$C$4=1,IFERROR(MAX(Stock!E4-Datos!$C$6,0),0),IFERROR(MAX(Datos!$C$6-Stock!E4,0),0)))</f>
        <v>16.462238337774245</v>
      </c>
      <c r="F4" s="4">
        <f>IF($B4&gt;F$2,0,IF(Datos!$C$4=1,IFERROR(MAX(Stock!F4-Datos!$C$6,0),0),IFERROR(MAX(Datos!$C$6-Stock!F4,0),0)))</f>
        <v>61.274650229919729</v>
      </c>
      <c r="G4" s="4">
        <f>IF($B4&gt;G$2,0,IF(Datos!$C$4=1,IFERROR(MAX(Stock!G4-Datos!$C$6,0),0),IFERROR(MAX(Datos!$C$6-Stock!G4,0),0)))</f>
        <v>141.6533506488843</v>
      </c>
      <c r="H4" s="4">
        <f>IF($B4&gt;H$2,0,IF(Datos!$C$4=1,IFERROR(MAX(Stock!H4-Datos!$C$6,0),0),IFERROR(MAX(Datos!$C$6-Stock!H4,0),0)))</f>
        <v>285.82625293745895</v>
      </c>
      <c r="I4" s="4">
        <f>IF($B4&gt;I$2,0,IF(Datos!$C$4=1,IFERROR(MAX(Stock!I4-Datos!$C$6,0),0),IFERROR(MAX(Datos!$C$6-Stock!I4,0),0)))</f>
        <v>544.42493201496598</v>
      </c>
      <c r="J4">
        <f>IF($B4&gt;J$2,0,IF(Datos!$C$4=1,IFERROR(MAX(Stock!J4-Datos!$C$6,0),0),IFERROR(MAX(Datos!$C$6-Stock!J4,0),0)))</f>
        <v>1008.2657492496689</v>
      </c>
      <c r="K4">
        <f>IF($B4&gt;K$2,0,IF(Datos!$C$4=1,IFERROR(MAX(Stock!K4-Datos!$C$6,0),0),IFERROR(MAX(Datos!$C$6-Stock!K4,0),0)))</f>
        <v>1840.2433312715518</v>
      </c>
      <c r="L4">
        <f>IF($B4&gt;L$2,0,IF(Datos!$C$4=1,IFERROR(MAX(Stock!L4-Datos!$C$6,0),0),IFERROR(MAX(Datos!$C$6-Stock!L4,0),0)))</f>
        <v>3332.5369614734263</v>
      </c>
      <c r="M4">
        <f>IF($B4&gt;M$2,0,IF(Datos!$C$4=1,IFERROR(MAX(Stock!M4-Datos!$C$6,0),0),IFERROR(MAX(Datos!$C$6-Stock!M4,0),0)))</f>
        <v>6009.2199958036881</v>
      </c>
      <c r="N4">
        <f>IF($B4&gt;N$2,0,IF(Datos!$C$4=1,IFERROR(MAX(Stock!N4-Datos!$C$6,0),0),IFERROR(MAX(Datos!$C$6-Stock!N4,0),0)))</f>
        <v>10810.307343005084</v>
      </c>
      <c r="O4">
        <f>IF($B4&gt;O$2,0,IF(Datos!$C$4=1,IFERROR(MAX(Stock!O4-Datos!$C$6,0),0),IFERROR(MAX(Datos!$C$6-Stock!O4,0),0)))</f>
        <v>19421.875997126601</v>
      </c>
      <c r="P4">
        <f>IF($B4&gt;P$2,0,IF(Datos!$C$4=1,IFERROR(MAX(Stock!P4-Datos!$C$6,0),0),IFERROR(MAX(Datos!$C$6-Stock!P4,0),0)))</f>
        <v>34868.192492050686</v>
      </c>
      <c r="Q4">
        <f>IF($B4&gt;Q$2,0,IF(Datos!$C$4=1,IFERROR(MAX(Stock!Q4-Datos!$C$6,0),0),IFERROR(MAX(Datos!$C$6-Stock!Q4,0),0)))</f>
        <v>62573.7944380068</v>
      </c>
      <c r="R4">
        <f>IF($B4&gt;R$2,0,IF(Datos!$C$4=1,IFERROR(MAX(Stock!R4-Datos!$C$6,0),0),IFERROR(MAX(Datos!$C$6-Stock!R4,0),0)))</f>
        <v>112268.5148226379</v>
      </c>
      <c r="S4">
        <f>IF($B4&gt;S$2,0,IF(Datos!$C$4=1,IFERROR(MAX(Stock!S4-Datos!$C$6,0),0),IFERROR(MAX(Datos!$C$6-Stock!S4,0),0)))</f>
        <v>201404.4678664997</v>
      </c>
      <c r="T4">
        <f>IF($B4&gt;T$2,0,IF(Datos!$C$4=1,IFERROR(MAX(Stock!T4-Datos!$C$6,0),0),IFERROR(MAX(Datos!$C$6-Stock!T4,0),0)))</f>
        <v>361284.99568801699</v>
      </c>
      <c r="U4">
        <f>IF($B4&gt;U$2,0,IF(Datos!$C$4=1,IFERROR(MAX(Stock!U4-Datos!$C$6,0),0),IFERROR(MAX(Datos!$C$6-Stock!U4,0),0)))</f>
        <v>648057.97901954176</v>
      </c>
      <c r="V4">
        <f>IF($B4&gt;V$2,0,IF(Datos!$C$4=1,IFERROR(MAX(Stock!V4-Datos!$C$6,0),0),IFERROR(MAX(Datos!$C$6-Stock!V4,0),0)))</f>
        <v>1162434.2141334906</v>
      </c>
      <c r="W4">
        <f>IF($B4&gt;W$2,0,IF(Datos!$C$4=1,IFERROR(MAX(Stock!W4-Datos!$C$6,0),0),IFERROR(MAX(Datos!$C$6-Stock!W4,0),0)))</f>
        <v>2085055.6834792569</v>
      </c>
      <c r="X4">
        <f>IF($B4&gt;X$2,0,IF(Datos!$C$4=1,IFERROR(MAX(Stock!X4-Datos!$C$6,0),0),IFERROR(MAX(Datos!$C$6-Stock!X4,0),0)))</f>
        <v>3739934.5787088727</v>
      </c>
      <c r="Y4">
        <f>IF($B4&gt;Y$2,0,IF(Datos!$C$4=1,IFERROR(MAX(Stock!Y4-Datos!$C$6,0),0),IFERROR(MAX(Datos!$C$6-Stock!Y4,0),0)))</f>
        <v>6708242.0036578737</v>
      </c>
      <c r="Z4">
        <f>IF($B4&gt;Z$2,0,IF(Datos!$C$4=1,IFERROR(MAX(Stock!Z4-Datos!$C$6,0),0),IFERROR(MAX(Datos!$C$6-Stock!Z4,0),0)))</f>
        <v>12032407.412018372</v>
      </c>
      <c r="AA4">
        <f>IF($B4&gt;AA$2,0,IF(Datos!$C$4=1,IFERROR(MAX(Stock!AA4-Datos!$C$6,0),0),IFERROR(MAX(Datos!$C$6-Stock!AA4,0),0)))</f>
        <v>21582205.743998621</v>
      </c>
      <c r="AB4">
        <f>IF($B4&gt;AB$2,0,IF(Datos!$C$4=1,IFERROR(MAX(Stock!AB4-Datos!$C$6,0),0),IFERROR(MAX(Datos!$C$6-Stock!AB4,0),0)))</f>
        <v>38711397.11703223</v>
      </c>
      <c r="AC4">
        <f>IF($B4&gt;AC$2,0,IF(Datos!$C$4=1,IFERROR(MAX(Stock!AC4-Datos!$C$6,0),0),IFERROR(MAX(Datos!$C$6-Stock!AC4,0),0)))</f>
        <v>69435522.056031629</v>
      </c>
      <c r="AD4">
        <f>IF($B4&gt;AD$2,0,IF(Datos!$C$4=1,IFERROR(MAX(Stock!AD4-Datos!$C$6,0),0),IFERROR(MAX(Datos!$C$6-Stock!AD4,0),0)))</f>
        <v>124544478.03122932</v>
      </c>
      <c r="AE4">
        <f>IF($B4&gt;AE$2,0,IF(Datos!$C$4=1,IFERROR(MAX(Stock!AE4-Datos!$C$6,0),0),IFERROR(MAX(Datos!$C$6-Stock!AE4,0),0)))</f>
        <v>223391785.63416412</v>
      </c>
      <c r="AF4">
        <f>IF($B4&gt;AF$2,0,IF(Datos!$C$4=1,IFERROR(MAX(Stock!AF4-Datos!$C$6,0),0),IFERROR(MAX(Datos!$C$6-Stock!AF4,0),0)))</f>
        <v>400691283.46436542</v>
      </c>
      <c r="AG4">
        <f>IF($B4&gt;AG$2,0,IF(Datos!$C$4=1,IFERROR(MAX(Stock!AG4-Datos!$C$6,0),0),IFERROR(MAX(Datos!$C$6-Stock!AG4,0),0)))</f>
        <v>718708159.11984575</v>
      </c>
      <c r="AH4">
        <f>IF($B4&gt;AH$2,0,IF(Datos!$C$4=1,IFERROR(MAX(Stock!AH4-Datos!$C$6,0),0),IFERROR(MAX(Datos!$C$6-Stock!AH4,0),0)))</f>
        <v>1289125641.6246715</v>
      </c>
      <c r="AI4">
        <f>IF($B4&gt;AI$2,0,IF(Datos!$C$4=1,IFERROR(MAX(Stock!AI4-Datos!$C$6,0),0),IFERROR(MAX(Datos!$C$6-Stock!AI4,0),0)))</f>
        <v>2312266642.1658993</v>
      </c>
      <c r="AJ4">
        <f>IF($B4&gt;AJ$2,0,IF(Datos!$C$4=1,IFERROR(MAX(Stock!AJ4-Datos!$C$6,0),0),IFERROR(MAX(Datos!$C$6-Stock!AJ4,0),0)))</f>
        <v>4147444453.3222198</v>
      </c>
      <c r="AK4">
        <f>IF($B4&gt;AK$2,0,IF(Datos!$C$4=1,IFERROR(MAX(Stock!AK4-Datos!$C$6,0),0),IFERROR(MAX(Datos!$C$6-Stock!AK4,0),0)))</f>
        <v>7439148721.6282883</v>
      </c>
      <c r="AL4">
        <f>IF($B4&gt;AL$2,0,IF(Datos!$C$4=1,IFERROR(MAX(Stock!AL4-Datos!$C$6,0),0),IFERROR(MAX(Datos!$C$6-Stock!AL4,0),0)))</f>
        <v>13343381501.75176</v>
      </c>
      <c r="AM4">
        <f>IF($B4&gt;AM$2,0,IF(Datos!$C$4=1,IFERROR(MAX(Stock!AM4-Datos!$C$6,0),0),IFERROR(MAX(Datos!$C$6-Stock!AM4,0),0)))</f>
        <v>23933629555.786007</v>
      </c>
      <c r="AN4">
        <f>IF($B4&gt;AN$2,0,IF(Datos!$C$4=1,IFERROR(MAX(Stock!AN4-Datos!$C$6,0),0),IFERROR(MAX(Datos!$C$6-Stock!AN4,0),0)))</f>
        <v>42929044882.827133</v>
      </c>
      <c r="AO4">
        <f>IF($B4&gt;AO$2,0,IF(Datos!$C$4=1,IFERROR(MAX(Stock!AO4-Datos!$C$6,0),0),IFERROR(MAX(Datos!$C$6-Stock!AO4,0),0)))</f>
        <v>77000560640.131439</v>
      </c>
      <c r="AP4">
        <f>IF($B4&gt;AP$2,0,IF(Datos!$C$4=1,IFERROR(MAX(Stock!AP4-Datos!$C$6,0),0),IFERROR(MAX(Datos!$C$6-Stock!AP4,0),0)))</f>
        <v>138113632716.40607</v>
      </c>
      <c r="AQ4">
        <f>IF($B4&gt;AQ$2,0,IF(Datos!$C$4=1,IFERROR(MAX(Stock!AQ4-Datos!$C$6,0),0),IFERROR(MAX(Datos!$C$6-Stock!AQ4,0),0)))</f>
        <v>247730346137.77075</v>
      </c>
      <c r="AR4">
        <f>IF($B4&gt;AR$2,0,IF(Datos!$C$4=1,IFERROR(MAX(Stock!AR4-Datos!$C$6,0),0),IFERROR(MAX(Datos!$C$6-Stock!AR4,0),0)))</f>
        <v>444346609288.55389</v>
      </c>
      <c r="AS4">
        <f>IF($B4&gt;AS$2,0,IF(Datos!$C$4=1,IFERROR(MAX(Stock!AS4-Datos!$C$6,0),0),IFERROR(MAX(Datos!$C$6-Stock!AS4,0),0)))</f>
        <v>797011396699.00574</v>
      </c>
      <c r="AT4">
        <f>IF($B4&gt;AT$2,0,IF(Datos!$C$4=1,IFERROR(MAX(Stock!AT4-Datos!$C$6,0),0),IFERROR(MAX(Datos!$C$6-Stock!AT4,0),0)))</f>
        <v>1429575815766.8179</v>
      </c>
      <c r="AU4">
        <f>IF($B4&gt;AU$2,0,IF(Datos!$C$4=1,IFERROR(MAX(Stock!AU4-Datos!$C$6,0),0),IFERROR(MAX(Datos!$C$6-Stock!AU4,0),0)))</f>
        <v>2564187941941.1699</v>
      </c>
      <c r="AV4">
        <f>IF($B4&gt;AV$2,0,IF(Datos!$C$4=1,IFERROR(MAX(Stock!AV4-Datos!$C$6,0),0),IFERROR(MAX(Datos!$C$6-Stock!AV4,0),0)))</f>
        <v>4599308220693.1709</v>
      </c>
      <c r="AW4">
        <f>IF($B4&gt;AW$2,0,IF(Datos!$C$4=1,IFERROR(MAX(Stock!AW4-Datos!$C$6,0),0),IFERROR(MAX(Datos!$C$6-Stock!AW4,0),0)))</f>
        <v>8249643391138.1797</v>
      </c>
      <c r="AX4">
        <f>IF($B4&gt;AX$2,0,IF(Datos!$C$4=1,IFERROR(MAX(Stock!AX4-Datos!$C$6,0),0),IFERROR(MAX(Datos!$C$6-Stock!AX4,0),0)))</f>
        <v>14797141834207.619</v>
      </c>
      <c r="AY4">
        <f>IF($B4&gt;AY$2,0,IF(Datos!$C$4=1,IFERROR(MAX(Stock!AY4-Datos!$C$6,0),0),IFERROR(MAX(Datos!$C$6-Stock!AY4,0),0)))</f>
        <v>26541196519676.562</v>
      </c>
      <c r="AZ4">
        <f>IF($B4&gt;AZ$2,0,IF(Datos!$C$4=1,IFERROR(MAX(Stock!AZ4-Datos!$C$6,0),0),IFERROR(MAX(Datos!$C$6-Stock!AZ4,0),0)))</f>
        <v>47606160742963.555</v>
      </c>
      <c r="BA4">
        <f>IF($B4&gt;BA$2,0,IF(Datos!$C$4=1,IFERROR(MAX(Stock!BA4-Datos!$C$6,0),0),IFERROR(MAX(Datos!$C$6-Stock!BA4,0),0)))</f>
        <v>85389765265632.922</v>
      </c>
    </row>
    <row r="5" spans="1:53" x14ac:dyDescent="0.25">
      <c r="B5">
        <v>2</v>
      </c>
      <c r="C5" s="19"/>
      <c r="D5" s="19">
        <f>IF($B5&gt;D$2,0,IF(Datos!$C$4=1,IFERROR(MAX(Stock!D5-Datos!$C$6,0),0),IFERROR(MAX(Datos!$C$6-Stock!D5,0),0)))</f>
        <v>0</v>
      </c>
      <c r="E5" s="19">
        <f>IF($B5&gt;E$2,0,IF(Datos!$C$4=1,IFERROR(MAX(Stock!E5-Datos!$C$6,0),0),IFERROR(MAX(Datos!$C$6-Stock!E5,0),0)))</f>
        <v>0</v>
      </c>
      <c r="F5" s="4">
        <f>IF($B5&gt;F$2,0,IF(Datos!$C$4=1,IFERROR(MAX(Stock!F5-Datos!$C$6,0),0),IFERROR(MAX(Datos!$C$6-Stock!F5,0),0)))</f>
        <v>3.3500561281350016</v>
      </c>
      <c r="G5" s="4">
        <f>IF($B5&gt;G$2,0,IF(Datos!$C$4=1,IFERROR(MAX(Stock!G5-Datos!$C$6,0),0),IFERROR(MAX(Datos!$C$6-Stock!G5,0),0)))</f>
        <v>37.755716051503001</v>
      </c>
      <c r="H5" s="4">
        <f>IF($B5&gt;H$2,0,IF(Datos!$C$4=1,IFERROR(MAX(Stock!H5-Datos!$C$6,0),0),IFERROR(MAX(Datos!$C$6-Stock!H5,0),0)))</f>
        <v>99.46813265503539</v>
      </c>
      <c r="I5" s="4">
        <f>IF($B5&gt;I$2,0,IF(Datos!$C$4=1,IFERROR(MAX(Stock!I5-Datos!$C$6,0),0),IFERROR(MAX(Datos!$C$6-Stock!I5,0),0)))</f>
        <v>210.15987266323373</v>
      </c>
      <c r="J5">
        <f>IF($B5&gt;J$2,0,IF(Datos!$C$4=1,IFERROR(MAX(Stock!J5-Datos!$C$6,0),0),IFERROR(MAX(Datos!$C$6-Stock!J5,0),0)))</f>
        <v>408.70437926972494</v>
      </c>
      <c r="K5">
        <f>IF($B5&gt;K$2,0,IF(Datos!$C$4=1,IFERROR(MAX(Stock!K5-Datos!$C$6,0),0),IFERROR(MAX(Datos!$C$6-Stock!K5,0),0)))</f>
        <v>764.82780004796371</v>
      </c>
      <c r="L5">
        <f>IF($B5&gt;L$2,0,IF(Datos!$C$4=1,IFERROR(MAX(Stock!L5-Datos!$C$6,0),0),IFERROR(MAX(Datos!$C$6-Stock!L5,0),0)))</f>
        <v>1403.5958676941534</v>
      </c>
      <c r="M5">
        <f>IF($B5&gt;M$2,0,IF(Datos!$C$4=1,IFERROR(MAX(Stock!M5-Datos!$C$6,0),0),IFERROR(MAX(Datos!$C$6-Stock!M5,0),0)))</f>
        <v>2549.3352952015848</v>
      </c>
      <c r="N5">
        <f>IF($B5&gt;N$2,0,IF(Datos!$C$4=1,IFERROR(MAX(Stock!N5-Datos!$C$6,0),0),IFERROR(MAX(Datos!$C$6-Stock!N5,0),0)))</f>
        <v>4604.4142858942814</v>
      </c>
      <c r="O5">
        <f>IF($B5&gt;O$2,0,IF(Datos!$C$4=1,IFERROR(MAX(Stock!O5-Datos!$C$6,0),0),IFERROR(MAX(Datos!$C$6-Stock!O5,0),0)))</f>
        <v>8290.5488087975009</v>
      </c>
      <c r="P5">
        <f>IF($B5&gt;P$2,0,IF(Datos!$C$4=1,IFERROR(MAX(Stock!P5-Datos!$C$6,0),0),IFERROR(MAX(Datos!$C$6-Stock!P5,0),0)))</f>
        <v>14902.259493630612</v>
      </c>
      <c r="Q5">
        <f>IF($B5&gt;Q$2,0,IF(Datos!$C$4=1,IFERROR(MAX(Stock!Q5-Datos!$C$6,0),0),IFERROR(MAX(Datos!$C$6-Stock!Q5,0),0)))</f>
        <v>26761.489781706583</v>
      </c>
      <c r="R5">
        <f>IF($B5&gt;R$2,0,IF(Datos!$C$4=1,IFERROR(MAX(Stock!R5-Datos!$C$6,0),0),IFERROR(MAX(Datos!$C$6-Stock!R5,0),0)))</f>
        <v>48033.041083586999</v>
      </c>
      <c r="S5">
        <f>IF($B5&gt;S$2,0,IF(Datos!$C$4=1,IFERROR(MAX(Stock!S5-Datos!$C$6,0),0),IFERROR(MAX(Datos!$C$6-Stock!S5,0),0)))</f>
        <v>86187.194751003481</v>
      </c>
      <c r="T5">
        <f>IF($B5&gt;T$2,0,IF(Datos!$C$4=1,IFERROR(MAX(Stock!T5-Datos!$C$6,0),0),IFERROR(MAX(Datos!$C$6-Stock!T5,0),0)))</f>
        <v>154623.17393359105</v>
      </c>
      <c r="U5">
        <f>IF($B5&gt;U$2,0,IF(Datos!$C$4=1,IFERROR(MAX(Stock!U5-Datos!$C$6,0),0),IFERROR(MAX(Datos!$C$6-Stock!U5,0),0)))</f>
        <v>277374.76967083931</v>
      </c>
      <c r="V5">
        <f>IF($B5&gt;V$2,0,IF(Datos!$C$4=1,IFERROR(MAX(Stock!V5-Datos!$C$6,0),0),IFERROR(MAX(Datos!$C$6-Stock!V5,0),0)))</f>
        <v>497550.68351053819</v>
      </c>
      <c r="W5">
        <f>IF($B5&gt;W$2,0,IF(Datos!$C$4=1,IFERROR(MAX(Stock!W5-Datos!$C$6,0),0),IFERROR(MAX(Datos!$C$6-Stock!W5,0),0)))</f>
        <v>892473.72091783362</v>
      </c>
      <c r="X5">
        <f>IF($B5&gt;X$2,0,IF(Datos!$C$4=1,IFERROR(MAX(Stock!X5-Datos!$C$6,0),0),IFERROR(MAX(Datos!$C$6-Stock!X5,0),0)))</f>
        <v>1600835.5156078527</v>
      </c>
      <c r="Y5">
        <f>IF($B5&gt;Y$2,0,IF(Datos!$C$4=1,IFERROR(MAX(Stock!Y5-Datos!$C$6,0),0),IFERROR(MAX(Datos!$C$6-Stock!Y5,0),0)))</f>
        <v>2871403.1570163434</v>
      </c>
      <c r="Z5">
        <f>IF($B5&gt;Z$2,0,IF(Datos!$C$4=1,IFERROR(MAX(Stock!Z5-Datos!$C$6,0),0),IFERROR(MAX(Datos!$C$6-Stock!Z5,0),0)))</f>
        <v>5150382.8302506637</v>
      </c>
      <c r="AA5">
        <f>IF($B5&gt;AA$2,0,IF(Datos!$C$4=1,IFERROR(MAX(Stock!AA5-Datos!$C$6,0),0),IFERROR(MAX(Datos!$C$6-Stock!AA5,0),0)))</f>
        <v>9238121.3982324991</v>
      </c>
      <c r="AB5">
        <f>IF($B5&gt;AB$2,0,IF(Datos!$C$4=1,IFERROR(MAX(Stock!AB5-Datos!$C$6,0),0),IFERROR(MAX(Datos!$C$6-Stock!AB5,0),0)))</f>
        <v>16570177.404002838</v>
      </c>
      <c r="AC5">
        <f>IF($B5&gt;AC$2,0,IF(Datos!$C$4=1,IFERROR(MAX(Stock!AC5-Datos!$C$6,0),0),IFERROR(MAX(Datos!$C$6-Stock!AC5,0),0)))</f>
        <v>29721469.830782045</v>
      </c>
      <c r="AD5">
        <f>IF($B5&gt;AD$2,0,IF(Datos!$C$4=1,IFERROR(MAX(Stock!AD5-Datos!$C$6,0),0),IFERROR(MAX(Datos!$C$6-Stock!AD5,0),0)))</f>
        <v>53310554.851210587</v>
      </c>
      <c r="AE5">
        <f>IF($B5&gt;AE$2,0,IF(Datos!$C$4=1,IFERROR(MAX(Stock!AE5-Datos!$C$6,0),0),IFERROR(MAX(Datos!$C$6-Stock!AE5,0),0)))</f>
        <v>95621600.339633465</v>
      </c>
      <c r="AF5">
        <f>IF($B5&gt;AF$2,0,IF(Datos!$C$4=1,IFERROR(MAX(Stock!AF5-Datos!$C$6,0),0),IFERROR(MAX(Datos!$C$6-Stock!AF5,0),0)))</f>
        <v>171513673.67664611</v>
      </c>
      <c r="AG5">
        <f>IF($B5&gt;AG$2,0,IF(Datos!$C$4=1,IFERROR(MAX(Stock!AG5-Datos!$C$6,0),0),IFERROR(MAX(Datos!$C$6-Stock!AG5,0),0)))</f>
        <v>307639045.40650439</v>
      </c>
      <c r="AH5">
        <f>IF($B5&gt;AH$2,0,IF(Datos!$C$4=1,IFERROR(MAX(Stock!AH5-Datos!$C$6,0),0),IFERROR(MAX(Datos!$C$6-Stock!AH5,0),0)))</f>
        <v>551803106.47129738</v>
      </c>
      <c r="AI5">
        <f>IF($B5&gt;AI$2,0,IF(Datos!$C$4=1,IFERROR(MAX(Stock!AI5-Datos!$C$6,0),0),IFERROR(MAX(Datos!$C$6-Stock!AI5,0),0)))</f>
        <v>989752975.463835</v>
      </c>
      <c r="AJ5">
        <f>IF($B5&gt;AJ$2,0,IF(Datos!$C$4=1,IFERROR(MAX(Stock!AJ5-Datos!$C$6,0),0),IFERROR(MAX(Datos!$C$6-Stock!AJ5,0),0)))</f>
        <v>1775290727.8838506</v>
      </c>
      <c r="AK5">
        <f>IF($B5&gt;AK$2,0,IF(Datos!$C$4=1,IFERROR(MAX(Stock!AK5-Datos!$C$6,0),0),IFERROR(MAX(Datos!$C$6-Stock!AK5,0),0)))</f>
        <v>3184286606.5596466</v>
      </c>
      <c r="AL5">
        <f>IF($B5&gt;AL$2,0,IF(Datos!$C$4=1,IFERROR(MAX(Stock!AL5-Datos!$C$6,0),0),IFERROR(MAX(Datos!$C$6-Stock!AL5,0),0)))</f>
        <v>5711560922.7963047</v>
      </c>
      <c r="AM5">
        <f>IF($B5&gt;AM$2,0,IF(Datos!$C$4=1,IFERROR(MAX(Stock!AM5-Datos!$C$6,0),0),IFERROR(MAX(Datos!$C$6-Stock!AM5,0),0)))</f>
        <v>10244658262.663769</v>
      </c>
      <c r="AN5">
        <f>IF($B5&gt;AN$2,0,IF(Datos!$C$4=1,IFERROR(MAX(Stock!AN5-Datos!$C$6,0),0),IFERROR(MAX(Datos!$C$6-Stock!AN5,0),0)))</f>
        <v>18375541151.274281</v>
      </c>
      <c r="AO5">
        <f>IF($B5&gt;AO$2,0,IF(Datos!$C$4=1,IFERROR(MAX(Stock!AO5-Datos!$C$6,0),0),IFERROR(MAX(Datos!$C$6-Stock!AO5,0),0)))</f>
        <v>32959665777.689678</v>
      </c>
      <c r="AP5">
        <f>IF($B5&gt;AP$2,0,IF(Datos!$C$4=1,IFERROR(MAX(Stock!AP5-Datos!$C$6,0),0),IFERROR(MAX(Datos!$C$6-Stock!AP5,0),0)))</f>
        <v>59118779619.650795</v>
      </c>
      <c r="AQ5">
        <f>IF($B5&gt;AQ$2,0,IF(Datos!$C$4=1,IFERROR(MAX(Stock!AQ5-Datos!$C$6,0),0),IFERROR(MAX(Datos!$C$6-Stock!AQ5,0),0)))</f>
        <v>106039609942.04463</v>
      </c>
      <c r="AR5">
        <f>IF($B5&gt;AR$2,0,IF(Datos!$C$4=1,IFERROR(MAX(Stock!AR5-Datos!$C$6,0),0),IFERROR(MAX(Datos!$C$6-Stock!AR5,0),0)))</f>
        <v>190200118262.14694</v>
      </c>
      <c r="AS5">
        <f>IF($B5&gt;AS$2,0,IF(Datos!$C$4=1,IFERROR(MAX(Stock!AS5-Datos!$C$6,0),0),IFERROR(MAX(Datos!$C$6-Stock!AS5,0),0)))</f>
        <v>341156337749.96619</v>
      </c>
      <c r="AT5">
        <f>IF($B5&gt;AT$2,0,IF(Datos!$C$4=1,IFERROR(MAX(Stock!AT5-Datos!$C$6,0),0),IFERROR(MAX(Datos!$C$6-Stock!AT5,0),0)))</f>
        <v>611922052654.89429</v>
      </c>
      <c r="AU5">
        <f>IF($B5&gt;AU$2,0,IF(Datos!$C$4=1,IFERROR(MAX(Stock!AU5-Datos!$C$6,0),0),IFERROR(MAX(Datos!$C$6-Stock!AU5,0),0)))</f>
        <v>1097586522901.4655</v>
      </c>
      <c r="AV5">
        <f>IF($B5&gt;AV$2,0,IF(Datos!$C$4=1,IFERROR(MAX(Stock!AV5-Datos!$C$6,0),0),IFERROR(MAX(Datos!$C$6-Stock!AV5,0),0)))</f>
        <v>1968708547130.7952</v>
      </c>
      <c r="AW5">
        <f>IF($B5&gt;AW$2,0,IF(Datos!$C$4=1,IFERROR(MAX(Stock!AW5-Datos!$C$6,0),0),IFERROR(MAX(Datos!$C$6-Stock!AW5,0),0)))</f>
        <v>3531214407837.7471</v>
      </c>
      <c r="AX5">
        <f>IF($B5&gt;AX$2,0,IF(Datos!$C$4=1,IFERROR(MAX(Stock!AX5-Datos!$C$6,0),0),IFERROR(MAX(Datos!$C$6-Stock!AX5,0),0)))</f>
        <v>6333835047470.2617</v>
      </c>
      <c r="AY5">
        <f>IF($B5&gt;AY$2,0,IF(Datos!$C$4=1,IFERROR(MAX(Stock!AY5-Datos!$C$6,0),0),IFERROR(MAX(Datos!$C$6-Stock!AY5,0),0)))</f>
        <v>11360812959822.109</v>
      </c>
      <c r="AZ5">
        <f>IF($B5&gt;AZ$2,0,IF(Datos!$C$4=1,IFERROR(MAX(Stock!AZ5-Datos!$C$6,0),0),IFERROR(MAX(Datos!$C$6-Stock!AZ5,0),0)))</f>
        <v>20377554852719.488</v>
      </c>
      <c r="BA5">
        <f>IF($B5&gt;BA$2,0,IF(Datos!$C$4=1,IFERROR(MAX(Stock!BA5-Datos!$C$6,0),0),IFERROR(MAX(Datos!$C$6-Stock!BA5,0),0)))</f>
        <v>36550618625958.562</v>
      </c>
    </row>
    <row r="6" spans="1:53" x14ac:dyDescent="0.25">
      <c r="B6">
        <v>3</v>
      </c>
      <c r="C6" s="4"/>
      <c r="D6" s="4">
        <f>IF($B6&gt;D$2,0,IF(Datos!$C$4=1,IFERROR(MAX(Stock!D6-Datos!$C$6,0),0),IFERROR(MAX(Datos!$C$6-Stock!D6,0),0)))</f>
        <v>0</v>
      </c>
      <c r="E6" s="4">
        <f>IF($B6&gt;E$2,0,IF(Datos!$C$4=1,IFERROR(MAX(Stock!E6-Datos!$C$6,0),0),IFERROR(MAX(Datos!$C$6-Stock!E6,0),0)))</f>
        <v>0</v>
      </c>
      <c r="F6" s="4">
        <f>IF($B6&gt;F$2,0,IF(Datos!$C$4=1,IFERROR(MAX(Stock!F6-Datos!$C$6,0),0),IFERROR(MAX(Datos!$C$6-Stock!F6,0),0)))</f>
        <v>0</v>
      </c>
      <c r="G6" s="4">
        <f>IF($B6&gt;G$2,0,IF(Datos!$C$4=1,IFERROR(MAX(Stock!G6-Datos!$C$6,0),0),IFERROR(MAX(Datos!$C$6-Stock!G6,0),0)))</f>
        <v>0</v>
      </c>
      <c r="H6" s="4">
        <f>IF($B6&gt;H$2,0,IF(Datos!$C$4=1,IFERROR(MAX(Stock!H6-Datos!$C$6,0),0),IFERROR(MAX(Datos!$C$6-Stock!H6,0),0)))</f>
        <v>19.698565879576805</v>
      </c>
      <c r="I6" s="4">
        <f>IF($B6&gt;I$2,0,IF(Datos!$C$4=1,IFERROR(MAX(Stock!I6-Datos!$C$6,0),0),IFERROR(MAX(Datos!$C$6-Stock!I6,0),0)))</f>
        <v>67.079555410347837</v>
      </c>
      <c r="J6">
        <f>IF($B6&gt;J$2,0,IF(Datos!$C$4=1,IFERROR(MAX(Stock!J6-Datos!$C$6,0),0),IFERROR(MAX(Datos!$C$6-Stock!J6,0),0)))</f>
        <v>152.0654377193396</v>
      </c>
      <c r="K6">
        <f>IF($B6&gt;K$2,0,IF(Datos!$C$4=1,IFERROR(MAX(Stock!K6-Datos!$C$6,0),0),IFERROR(MAX(Datos!$C$6-Stock!K6,0),0)))</f>
        <v>304.50210616728674</v>
      </c>
      <c r="L6">
        <f>IF($B6&gt;L$2,0,IF(Datos!$C$4=1,IFERROR(MAX(Stock!L6-Datos!$C$6,0),0),IFERROR(MAX(Datos!$C$6-Stock!L6,0),0)))</f>
        <v>577.92325867146963</v>
      </c>
      <c r="M6">
        <f>IF($B6&gt;M$2,0,IF(Datos!$C$4=1,IFERROR(MAX(Stock!M6-Datos!$C$6,0),0),IFERROR(MAX(Datos!$C$6-Stock!M6,0),0)))</f>
        <v>1068.3507089554789</v>
      </c>
      <c r="N6">
        <f>IF($B6&gt;N$2,0,IF(Datos!$C$4=1,IFERROR(MAX(Stock!N6-Datos!$C$6,0),0),IFERROR(MAX(Datos!$C$6-Stock!N6,0),0)))</f>
        <v>1948.0159498822759</v>
      </c>
      <c r="O6">
        <f>IF($B6&gt;O$2,0,IF(Datos!$C$4=1,IFERROR(MAX(Stock!O6-Datos!$C$6,0),0),IFERROR(MAX(Datos!$C$6-Stock!O6,0),0)))</f>
        <v>3525.8455261971435</v>
      </c>
      <c r="P6">
        <f>IF($B6&gt;P$2,0,IF(Datos!$C$4=1,IFERROR(MAX(Stock!P6-Datos!$C$6,0),0),IFERROR(MAX(Datos!$C$6-Stock!P6,0),0)))</f>
        <v>6355.9518621835723</v>
      </c>
      <c r="Q6">
        <f>IF($B6&gt;Q$2,0,IF(Datos!$C$4=1,IFERROR(MAX(Stock!Q6-Datos!$C$6,0),0),IFERROR(MAX(Datos!$C$6-Stock!Q6,0),0)))</f>
        <v>11432.230056750872</v>
      </c>
      <c r="R6">
        <f>IF($B6&gt;R$2,0,IF(Datos!$C$4=1,IFERROR(MAX(Stock!R6-Datos!$C$6,0),0),IFERROR(MAX(Datos!$C$6-Stock!R6,0),0)))</f>
        <v>20537.400410591257</v>
      </c>
      <c r="S6">
        <f>IF($B6&gt;S$2,0,IF(Datos!$C$4=1,IFERROR(MAX(Stock!S6-Datos!$C$6,0),0),IFERROR(MAX(Datos!$C$6-Stock!S6,0),0)))</f>
        <v>36869.075703954579</v>
      </c>
      <c r="T6">
        <f>IF($B6&gt;T$2,0,IF(Datos!$C$4=1,IFERROR(MAX(Stock!T6-Datos!$C$6,0),0),IFERROR(MAX(Datos!$C$6-Stock!T6,0),0)))</f>
        <v>66162.719592270776</v>
      </c>
      <c r="U6">
        <f>IF($B6&gt;U$2,0,IF(Datos!$C$4=1,IFERROR(MAX(Stock!U6-Datos!$C$6,0),0),IFERROR(MAX(Datos!$C$6-Stock!U6,0),0)))</f>
        <v>118705.86393241062</v>
      </c>
      <c r="V6">
        <f>IF($B6&gt;V$2,0,IF(Datos!$C$4=1,IFERROR(MAX(Stock!V6-Datos!$C$6,0),0),IFERROR(MAX(Datos!$C$6-Stock!V6,0),0)))</f>
        <v>212950.95094426954</v>
      </c>
      <c r="W6">
        <f>IF($B6&gt;W$2,0,IF(Datos!$C$4=1,IFERROR(MAX(Stock!W6-Datos!$C$6,0),0),IFERROR(MAX(Datos!$C$6-Stock!W6,0),0)))</f>
        <v>381995.58155057742</v>
      </c>
      <c r="X6">
        <f>IF($B6&gt;X$2,0,IF(Datos!$C$4=1,IFERROR(MAX(Stock!X6-Datos!$C$6,0),0),IFERROR(MAX(Datos!$C$6-Stock!X6,0),0)))</f>
        <v>685205.9455372683</v>
      </c>
      <c r="Y6">
        <f>IF($B6&gt;Y$2,0,IF(Datos!$C$4=1,IFERROR(MAX(Stock!Y6-Datos!$C$6,0),0),IFERROR(MAX(Datos!$C$6-Stock!Y6,0),0)))</f>
        <v>1229065.4251267426</v>
      </c>
      <c r="Z6">
        <f>IF($B6&gt;Z$2,0,IF(Datos!$C$4=1,IFERROR(MAX(Stock!Z6-Datos!$C$6,0),0),IFERROR(MAX(Datos!$C$6-Stock!Z6,0),0)))</f>
        <v>2204570.1197892143</v>
      </c>
      <c r="AA6">
        <f>IF($B6&gt;AA$2,0,IF(Datos!$C$4=1,IFERROR(MAX(Stock!AA6-Datos!$C$6,0),0),IFERROR(MAX(Datos!$C$6-Stock!AA6,0),0)))</f>
        <v>3954304.0952397003</v>
      </c>
      <c r="AB6">
        <f>IF($B6&gt;AB$2,0,IF(Datos!$C$4=1,IFERROR(MAX(Stock!AB6-Datos!$C$6,0),0),IFERROR(MAX(Datos!$C$6-Stock!AB6,0),0)))</f>
        <v>7092750.2776079671</v>
      </c>
      <c r="AC6">
        <f>IF($B6&gt;AC$2,0,IF(Datos!$C$4=1,IFERROR(MAX(Stock!AC6-Datos!$C$6,0),0),IFERROR(MAX(Datos!$C$6-Stock!AC6,0),0)))</f>
        <v>12722088.552922666</v>
      </c>
      <c r="AD6">
        <f>IF($B6&gt;AD$2,0,IF(Datos!$C$4=1,IFERROR(MAX(Stock!AD6-Datos!$C$6,0),0),IFERROR(MAX(Datos!$C$6-Stock!AD6,0),0)))</f>
        <v>22819266.448135193</v>
      </c>
      <c r="AE6">
        <f>IF($B6&gt;AE$2,0,IF(Datos!$C$4=1,IFERROR(MAX(Stock!AE6-Datos!$C$6,0),0),IFERROR(MAX(Datos!$C$6-Stock!AE6,0),0)))</f>
        <v>40930276.385954045</v>
      </c>
      <c r="AF6">
        <f>IF($B6&gt;AF$2,0,IF(Datos!$C$4=1,IFERROR(MAX(Stock!AF6-Datos!$C$6,0),0),IFERROR(MAX(Datos!$C$6-Stock!AF6,0),0)))</f>
        <v>73415460.302867621</v>
      </c>
      <c r="AG6">
        <f>IF($B6&gt;AG$2,0,IF(Datos!$C$4=1,IFERROR(MAX(Stock!AG6-Datos!$C$6,0),0),IFERROR(MAX(Datos!$C$6-Stock!AG6,0),0)))</f>
        <v>131683175.78305639</v>
      </c>
      <c r="AH6">
        <f>IF($B6&gt;AH$2,0,IF(Datos!$C$4=1,IFERROR(MAX(Stock!AH6-Datos!$C$6,0),0),IFERROR(MAX(Datos!$C$6-Stock!AH6,0),0)))</f>
        <v>236196257.06847712</v>
      </c>
      <c r="AI6">
        <f>IF($B6&gt;AI$2,0,IF(Datos!$C$4=1,IFERROR(MAX(Stock!AI6-Datos!$C$6,0),0),IFERROR(MAX(Datos!$C$6-Stock!AI6,0),0)))</f>
        <v>423658285.90821797</v>
      </c>
      <c r="AJ6">
        <f>IF($B6&gt;AJ$2,0,IF(Datos!$C$4=1,IFERROR(MAX(Stock!AJ6-Datos!$C$6,0),0),IFERROR(MAX(Datos!$C$6-Stock!AJ6,0),0)))</f>
        <v>759903393.45356429</v>
      </c>
      <c r="AK6">
        <f>IF($B6&gt;AK$2,0,IF(Datos!$C$4=1,IFERROR(MAX(Stock!AK6-Datos!$C$6,0),0),IFERROR(MAX(Datos!$C$6-Stock!AK6,0),0)))</f>
        <v>1363016317.4304829</v>
      </c>
      <c r="AL6">
        <f>IF($B6&gt;AL$2,0,IF(Datos!$C$4=1,IFERROR(MAX(Stock!AL6-Datos!$C$6,0),0),IFERROR(MAX(Datos!$C$6-Stock!AL6,0),0)))</f>
        <v>2444802166.2221527</v>
      </c>
      <c r="AM6">
        <f>IF($B6&gt;AM$2,0,IF(Datos!$C$4=1,IFERROR(MAX(Stock!AM6-Datos!$C$6,0),0),IFERROR(MAX(Datos!$C$6-Stock!AM6,0),0)))</f>
        <v>4385169510.5815287</v>
      </c>
      <c r="AN6">
        <f>IF($B6&gt;AN$2,0,IF(Datos!$C$4=1,IFERROR(MAX(Stock!AN6-Datos!$C$6,0),0),IFERROR(MAX(Datos!$C$6-Stock!AN6,0),0)))</f>
        <v>7865549139.5642014</v>
      </c>
      <c r="AO6">
        <f>IF($B6&gt;AO$2,0,IF(Datos!$C$4=1,IFERROR(MAX(Stock!AO6-Datos!$C$6,0),0),IFERROR(MAX(Datos!$C$6-Stock!AO6,0),0)))</f>
        <v>14108203344.733156</v>
      </c>
      <c r="AP6">
        <f>IF($B6&gt;AP$2,0,IF(Datos!$C$4=1,IFERROR(MAX(Stock!AP6-Datos!$C$6,0),0),IFERROR(MAX(Datos!$C$6-Stock!AP6,0),0)))</f>
        <v>25305467919.202839</v>
      </c>
      <c r="AQ6">
        <f>IF($B6&gt;AQ$2,0,IF(Datos!$C$4=1,IFERROR(MAX(Stock!AQ6-Datos!$C$6,0),0),IFERROR(MAX(Datos!$C$6-Stock!AQ6,0),0)))</f>
        <v>45389670860.775246</v>
      </c>
      <c r="AR6">
        <f>IF($B6&gt;AR$2,0,IF(Datos!$C$4=1,IFERROR(MAX(Stock!AR6-Datos!$C$6,0),0),IFERROR(MAX(Datos!$C$6-Stock!AR6,0),0)))</f>
        <v>81414112822.964951</v>
      </c>
      <c r="AS6">
        <f>IF($B6&gt;AS$2,0,IF(Datos!$C$4=1,IFERROR(MAX(Stock!AS6-Datos!$C$6,0),0),IFERROR(MAX(Datos!$C$6-Stock!AS6,0),0)))</f>
        <v>146030090985.62997</v>
      </c>
      <c r="AT6">
        <f>IF($B6&gt;AT$2,0,IF(Datos!$C$4=1,IFERROR(MAX(Stock!AT6-Datos!$C$6,0),0),IFERROR(MAX(Datos!$C$6-Stock!AT6,0),0)))</f>
        <v>261929863653.87018</v>
      </c>
      <c r="AU6">
        <f>IF($B6&gt;AU$2,0,IF(Datos!$C$4=1,IFERROR(MAX(Stock!AU6-Datos!$C$6,0),0),IFERROR(MAX(Datos!$C$6-Stock!AU6,0),0)))</f>
        <v>469815864709.73865</v>
      </c>
      <c r="AV6">
        <f>IF($B6&gt;AV$2,0,IF(Datos!$C$4=1,IFERROR(MAX(Stock!AV6-Datos!$C$6,0),0),IFERROR(MAX(Datos!$C$6-Stock!AV6,0),0)))</f>
        <v>842694848335.58948</v>
      </c>
      <c r="AW6">
        <f>IF($B6&gt;AW$2,0,IF(Datos!$C$4=1,IFERROR(MAX(Stock!AW6-Datos!$C$6,0),0),IFERROR(MAX(Datos!$C$6-Stock!AW6,0),0)))</f>
        <v>1511516874463.657</v>
      </c>
      <c r="AX6">
        <f>IF($B6&gt;AX$2,0,IF(Datos!$C$4=1,IFERROR(MAX(Stock!AX6-Datos!$C$6,0),0),IFERROR(MAX(Datos!$C$6-Stock!AX6,0),0)))</f>
        <v>2711163200154.4067</v>
      </c>
      <c r="AY6">
        <f>IF($B6&gt;AY$2,0,IF(Datos!$C$4=1,IFERROR(MAX(Stock!AY6-Datos!$C$6,0),0),IFERROR(MAX(Datos!$C$6-Stock!AY6,0),0)))</f>
        <v>4862933402871.6035</v>
      </c>
      <c r="AZ6">
        <f>IF($B6&gt;AZ$2,0,IF(Datos!$C$4=1,IFERROR(MAX(Stock!AZ6-Datos!$C$6,0),0),IFERROR(MAX(Datos!$C$6-Stock!AZ6,0),0)))</f>
        <v>8722500098610.5371</v>
      </c>
      <c r="BA6">
        <f>IF($B6&gt;BA$2,0,IF(Datos!$C$4=1,IFERROR(MAX(Stock!BA6-Datos!$C$6,0),0),IFERROR(MAX(Datos!$C$6-Stock!BA6,0),0)))</f>
        <v>15645290952413.873</v>
      </c>
    </row>
    <row r="7" spans="1:53" x14ac:dyDescent="0.25">
      <c r="B7">
        <v>4</v>
      </c>
      <c r="C7" s="4"/>
      <c r="D7" s="4">
        <f>IF($B7&gt;D$2,0,IF(Datos!$C$4=1,IFERROR(MAX(Stock!D7-Datos!$C$6,0),0),IFERROR(MAX(Datos!$C$6-Stock!D7,0),0)))</f>
        <v>0</v>
      </c>
      <c r="E7" s="4">
        <f>IF($B7&gt;E$2,0,IF(Datos!$C$4=1,IFERROR(MAX(Stock!E7-Datos!$C$6,0),0),IFERROR(MAX(Datos!$C$6-Stock!E7,0),0)))</f>
        <v>0</v>
      </c>
      <c r="F7" s="4">
        <f>IF($B7&gt;F$2,0,IF(Datos!$C$4=1,IFERROR(MAX(Stock!F7-Datos!$C$6,0),0),IFERROR(MAX(Datos!$C$6-Stock!F7,0),0)))</f>
        <v>0</v>
      </c>
      <c r="G7" s="4">
        <f>IF($B7&gt;G$2,0,IF(Datos!$C$4=1,IFERROR(MAX(Stock!G7-Datos!$C$6,0),0),IFERROR(MAX(Datos!$C$6-Stock!G7,0),0)))</f>
        <v>0</v>
      </c>
      <c r="H7" s="4">
        <f>IF($B7&gt;H$2,0,IF(Datos!$C$4=1,IFERROR(MAX(Stock!H7-Datos!$C$6,0),0),IFERROR(MAX(Datos!$C$6-Stock!H7,0),0)))</f>
        <v>0</v>
      </c>
      <c r="I7" s="4">
        <f>IF($B7&gt;I$2,0,IF(Datos!$C$4=1,IFERROR(MAX(Stock!I7-Datos!$C$6,0),0),IFERROR(MAX(Datos!$C$6-Stock!I7,0),0)))</f>
        <v>5.8348138124989006</v>
      </c>
      <c r="J7">
        <f>IF($B7&gt;J$2,0,IF(Datos!$C$4=1,IFERROR(MAX(Stock!J7-Datos!$C$6,0),0),IFERROR(MAX(Datos!$C$6-Stock!J7,0),0)))</f>
        <v>42.212552563804465</v>
      </c>
      <c r="K7">
        <f>IF($B7&gt;K$2,0,IF(Datos!$C$4=1,IFERROR(MAX(Stock!K7-Datos!$C$6,0),0),IFERROR(MAX(Datos!$C$6-Stock!K7,0),0)))</f>
        <v>107.46222874834055</v>
      </c>
      <c r="L7">
        <f>IF($B7&gt;L$2,0,IF(Datos!$C$4=1,IFERROR(MAX(Stock!L7-Datos!$C$6,0),0),IFERROR(MAX(Datos!$C$6-Stock!L7,0),0)))</f>
        <v>224.49864685264117</v>
      </c>
      <c r="M7">
        <f>IF($B7&gt;M$2,0,IF(Datos!$C$4=1,IFERROR(MAX(Stock!M7-Datos!$C$6,0),0),IFERROR(MAX(Datos!$C$6-Stock!M7,0),0)))</f>
        <v>434.4234152751842</v>
      </c>
      <c r="N7">
        <f>IF($B7&gt;N$2,0,IF(Datos!$C$4=1,IFERROR(MAX(Stock!N7-Datos!$C$6,0),0),IFERROR(MAX(Datos!$C$6-Stock!N7,0),0)))</f>
        <v>810.95927574543032</v>
      </c>
      <c r="O7">
        <f>IF($B7&gt;O$2,0,IF(Datos!$C$4=1,IFERROR(MAX(Stock!O7-Datos!$C$6,0),0),IFERROR(MAX(Datos!$C$6-Stock!O7,0),0)))</f>
        <v>1486.3405339240319</v>
      </c>
      <c r="P7">
        <f>IF($B7&gt;P$2,0,IF(Datos!$C$4=1,IFERROR(MAX(Stock!P7-Datos!$C$6,0),0),IFERROR(MAX(Datos!$C$6-Stock!P7,0),0)))</f>
        <v>2697.751960525603</v>
      </c>
      <c r="Q7">
        <f>IF($B7&gt;Q$2,0,IF(Datos!$C$4=1,IFERROR(MAX(Stock!Q7-Datos!$C$6,0),0),IFERROR(MAX(Datos!$C$6-Stock!Q7,0),0)))</f>
        <v>4870.6248774592477</v>
      </c>
      <c r="R7">
        <f>IF($B7&gt;R$2,0,IF(Datos!$C$4=1,IFERROR(MAX(Stock!R7-Datos!$C$6,0),0),IFERROR(MAX(Datos!$C$6-Stock!R7,0),0)))</f>
        <v>8768.0428887692651</v>
      </c>
      <c r="S7">
        <f>IF($B7&gt;S$2,0,IF(Datos!$C$4=1,IFERROR(MAX(Stock!S7-Datos!$C$6,0),0),IFERROR(MAX(Datos!$C$6-Stock!S7,0),0)))</f>
        <v>15758.726530001102</v>
      </c>
      <c r="T7">
        <f>IF($B7&gt;T$2,0,IF(Datos!$C$4=1,IFERROR(MAX(Stock!T7-Datos!$C$6,0),0),IFERROR(MAX(Datos!$C$6-Stock!T7,0),0)))</f>
        <v>28297.709423283341</v>
      </c>
      <c r="U7">
        <f>IF($B7&gt;U$2,0,IF(Datos!$C$4=1,IFERROR(MAX(Stock!U7-Datos!$C$6,0),0),IFERROR(MAX(Datos!$C$6-Stock!U7,0),0)))</f>
        <v>50788.512907893564</v>
      </c>
      <c r="V7">
        <f>IF($B7&gt;V$2,0,IF(Datos!$C$4=1,IFERROR(MAX(Stock!V7-Datos!$C$6,0),0),IFERROR(MAX(Datos!$C$6-Stock!V7,0),0)))</f>
        <v>91129.603225064129</v>
      </c>
      <c r="W7">
        <f>IF($B7&gt;W$2,0,IF(Datos!$C$4=1,IFERROR(MAX(Stock!W7-Datos!$C$6,0),0),IFERROR(MAX(Datos!$C$6-Stock!W7,0),0)))</f>
        <v>163488.22612138241</v>
      </c>
      <c r="X7">
        <f>IF($B7&gt;X$2,0,IF(Datos!$C$4=1,IFERROR(MAX(Stock!X7-Datos!$C$6,0),0),IFERROR(MAX(Datos!$C$6-Stock!X7,0),0)))</f>
        <v>293275.75209767139</v>
      </c>
      <c r="Y7">
        <f>IF($B7&gt;Y$2,0,IF(Datos!$C$4=1,IFERROR(MAX(Stock!Y7-Datos!$C$6,0),0),IFERROR(MAX(Datos!$C$6-Stock!Y7,0),0)))</f>
        <v>526071.80631753395</v>
      </c>
      <c r="Z7">
        <f>IF($B7&gt;Z$2,0,IF(Datos!$C$4=1,IFERROR(MAX(Stock!Z7-Datos!$C$6,0),0),IFERROR(MAX(Datos!$C$6-Stock!Z7,0),0)))</f>
        <v>943631.21699801728</v>
      </c>
      <c r="AA7">
        <f>IF($B7&gt;AA$2,0,IF(Datos!$C$4=1,IFERROR(MAX(Stock!AA7-Datos!$C$6,0),0),IFERROR(MAX(Datos!$C$6-Stock!AA7,0),0)))</f>
        <v>1692595.2062379871</v>
      </c>
      <c r="AB7">
        <f>IF($B7&gt;AB$2,0,IF(Datos!$C$4=1,IFERROR(MAX(Stock!AB7-Datos!$C$6,0),0),IFERROR(MAX(Datos!$C$6-Stock!AB7,0),0)))</f>
        <v>3035989.8054977483</v>
      </c>
      <c r="AC7">
        <f>IF($B7&gt;AC$2,0,IF(Datos!$C$4=1,IFERROR(MAX(Stock!AC7-Datos!$C$6,0),0),IFERROR(MAX(Datos!$C$6-Stock!AC7,0),0)))</f>
        <v>5445597.0432925401</v>
      </c>
      <c r="AD7">
        <f>IF($B7&gt;AD$2,0,IF(Datos!$C$4=1,IFERROR(MAX(Stock!AD7-Datos!$C$6,0),0),IFERROR(MAX(Datos!$C$6-Stock!AD7,0),0)))</f>
        <v>9767638.4179060757</v>
      </c>
      <c r="AE7">
        <f>IF($B7&gt;AE$2,0,IF(Datos!$C$4=1,IFERROR(MAX(Stock!AE7-Datos!$C$6,0),0),IFERROR(MAX(Datos!$C$6-Stock!AE7,0),0)))</f>
        <v>17519956.451681037</v>
      </c>
      <c r="AF7">
        <f>IF($B7&gt;AF$2,0,IF(Datos!$C$4=1,IFERROR(MAX(Stock!AF7-Datos!$C$6,0),0),IFERROR(MAX(Datos!$C$6-Stock!AF7,0),0)))</f>
        <v>31425060.472617507</v>
      </c>
      <c r="AG7">
        <f>IF($B7&gt;AG$2,0,IF(Datos!$C$4=1,IFERROR(MAX(Stock!AG7-Datos!$C$6,0),0),IFERROR(MAX(Datos!$C$6-Stock!AG7,0),0)))</f>
        <v>56366235.098152295</v>
      </c>
      <c r="AH7">
        <f>IF($B7&gt;AH$2,0,IF(Datos!$C$4=1,IFERROR(MAX(Stock!AH7-Datos!$C$6,0),0),IFERROR(MAX(Datos!$C$6-Stock!AH7,0),0)))</f>
        <v>101102483.79969387</v>
      </c>
      <c r="AI7">
        <f>IF($B7&gt;AI$2,0,IF(Datos!$C$4=1,IFERROR(MAX(Stock!AI7-Datos!$C$6,0),0),IFERROR(MAX(Datos!$C$6-Stock!AI7,0),0)))</f>
        <v>181344572.5518899</v>
      </c>
      <c r="AJ7">
        <f>IF($B7&gt;AJ$2,0,IF(Datos!$C$4=1,IFERROR(MAX(Stock!AJ7-Datos!$C$6,0),0),IFERROR(MAX(Datos!$C$6-Stock!AJ7,0),0)))</f>
        <v>325272438.52634352</v>
      </c>
      <c r="AK7">
        <f>IF($B7&gt;AK$2,0,IF(Datos!$C$4=1,IFERROR(MAX(Stock!AK7-Datos!$C$6,0),0),IFERROR(MAX(Datos!$C$6-Stock!AK7,0),0)))</f>
        <v>583431603.20029843</v>
      </c>
      <c r="AL7">
        <f>IF($B7&gt;AL$2,0,IF(Datos!$C$4=1,IFERROR(MAX(Stock!AL7-Datos!$C$6,0),0),IFERROR(MAX(Datos!$C$6-Stock!AL7,0),0)))</f>
        <v>1046484076.4231248</v>
      </c>
      <c r="AM7">
        <f>IF($B7&gt;AM$2,0,IF(Datos!$C$4=1,IFERROR(MAX(Stock!AM7-Datos!$C$6,0),0),IFERROR(MAX(Datos!$C$6-Stock!AM7,0),0)))</f>
        <v>1877047629.0615814</v>
      </c>
      <c r="AN7">
        <f>IF($B7&gt;AN$2,0,IF(Datos!$C$4=1,IFERROR(MAX(Stock!AN7-Datos!$C$6,0),0),IFERROR(MAX(Datos!$C$6-Stock!AN7,0),0)))</f>
        <v>3366804956.4983287</v>
      </c>
      <c r="AO7">
        <f>IF($B7&gt;AO$2,0,IF(Datos!$C$4=1,IFERROR(MAX(Stock!AO7-Datos!$C$6,0),0),IFERROR(MAX(Datos!$C$6-Stock!AO7,0),0)))</f>
        <v>6038938699.4264536</v>
      </c>
      <c r="AP7">
        <f>IF($B7&gt;AP$2,0,IF(Datos!$C$4=1,IFERROR(MAX(Stock!AP7-Datos!$C$6,0),0),IFERROR(MAX(Datos!$C$6-Stock!AP7,0),0)))</f>
        <v>10831866116.927773</v>
      </c>
      <c r="AQ7">
        <f>IF($B7&gt;AQ$2,0,IF(Datos!$C$4=1,IFERROR(MAX(Stock!AQ7-Datos!$C$6,0),0),IFERROR(MAX(Datos!$C$6-Stock!AQ7,0),0)))</f>
        <v>19428798546.014553</v>
      </c>
      <c r="AR7">
        <f>IF($B7&gt;AR$2,0,IF(Datos!$C$4=1,IFERROR(MAX(Stock!AR7-Datos!$C$6,0),0),IFERROR(MAX(Datos!$C$6-Stock!AR7,0),0)))</f>
        <v>34848862476.132195</v>
      </c>
      <c r="AS7">
        <f>IF($B7&gt;AS$2,0,IF(Datos!$C$4=1,IFERROR(MAX(Stock!AS7-Datos!$C$6,0),0),IFERROR(MAX(Datos!$C$6-Stock!AS7,0),0)))</f>
        <v>62507375971.529465</v>
      </c>
      <c r="AT7">
        <f>IF($B7&gt;AT$2,0,IF(Datos!$C$4=1,IFERROR(MAX(Stock!AT7-Datos!$C$6,0),0),IFERROR(MAX(Datos!$C$6-Stock!AT7,0),0)))</f>
        <v>112117635192.37024</v>
      </c>
      <c r="AU7">
        <f>IF($B7&gt;AU$2,0,IF(Datos!$C$4=1,IFERROR(MAX(Stock!AU7-Datos!$C$6,0),0),IFERROR(MAX(Datos!$C$6-Stock!AU7,0),0)))</f>
        <v>201102092739.90213</v>
      </c>
      <c r="AV7">
        <f>IF($B7&gt;AV$2,0,IF(Datos!$C$4=1,IFERROR(MAX(Stock!AV7-Datos!$C$6,0),0),IFERROR(MAX(Datos!$C$6-Stock!AV7,0),0)))</f>
        <v>360710887561.5614</v>
      </c>
      <c r="AW7">
        <f>IF($B7&gt;AW$2,0,IF(Datos!$C$4=1,IFERROR(MAX(Stock!AW7-Datos!$C$6,0),0),IFERROR(MAX(Datos!$C$6-Stock!AW7,0),0)))</f>
        <v>646996471432.37207</v>
      </c>
      <c r="AX7">
        <f>IF($B7&gt;AX$2,0,IF(Datos!$C$4=1,IFERROR(MAX(Stock!AX7-Datos!$C$6,0),0),IFERROR(MAX(Datos!$C$6-Stock!AX7,0),0)))</f>
        <v>1160498472520.9041</v>
      </c>
      <c r="AY7">
        <f>IF($B7&gt;AY$2,0,IF(Datos!$C$4=1,IFERROR(MAX(Stock!AY7-Datos!$C$6,0),0),IFERROR(MAX(Datos!$C$6-Stock!AY7,0),0)))</f>
        <v>2081551854101.2947</v>
      </c>
      <c r="AZ7">
        <f>IF($B7&gt;AZ$2,0,IF(Datos!$C$4=1,IFERROR(MAX(Stock!AZ7-Datos!$C$6,0),0),IFERROR(MAX(Datos!$C$6-Stock!AZ7,0),0)))</f>
        <v>3733618116593.6436</v>
      </c>
      <c r="BA7">
        <f>IF($B7&gt;BA$2,0,IF(Datos!$C$4=1,IFERROR(MAX(Stock!BA7-Datos!$C$6,0),0),IFERROR(MAX(Datos!$C$6-Stock!BA7,0),0)))</f>
        <v>6696880605226.3047</v>
      </c>
    </row>
    <row r="8" spans="1:53" x14ac:dyDescent="0.25">
      <c r="B8">
        <v>5</v>
      </c>
      <c r="C8" s="4"/>
      <c r="D8" s="4">
        <f>IF($B8&gt;D$2,0,IF(Datos!$C$4=1,IFERROR(MAX(Stock!D8-Datos!$C$6,0),0),IFERROR(MAX(Datos!$C$6-Stock!D8,0),0)))</f>
        <v>0</v>
      </c>
      <c r="E8" s="4">
        <f>IF($B8&gt;E$2,0,IF(Datos!$C$4=1,IFERROR(MAX(Stock!E8-Datos!$C$6,0),0),IFERROR(MAX(Datos!$C$6-Stock!E8,0),0)))</f>
        <v>0</v>
      </c>
      <c r="F8" s="4">
        <f>IF($B8&gt;F$2,0,IF(Datos!$C$4=1,IFERROR(MAX(Stock!F8-Datos!$C$6,0),0),IFERROR(MAX(Datos!$C$6-Stock!F8,0),0)))</f>
        <v>0</v>
      </c>
      <c r="G8" s="4">
        <f>IF($B8&gt;G$2,0,IF(Datos!$C$4=1,IFERROR(MAX(Stock!G8-Datos!$C$6,0),0),IFERROR(MAX(Datos!$C$6-Stock!G8,0),0)))</f>
        <v>0</v>
      </c>
      <c r="H8" s="4">
        <f>IF($B8&gt;H$2,0,IF(Datos!$C$4=1,IFERROR(MAX(Stock!H8-Datos!$C$6,0),0),IFERROR(MAX(Datos!$C$6-Stock!H8,0),0)))</f>
        <v>0</v>
      </c>
      <c r="I8" s="4">
        <f>IF($B8&gt;I$2,0,IF(Datos!$C$4=1,IFERROR(MAX(Stock!I8-Datos!$C$6,0),0),IFERROR(MAX(Datos!$C$6-Stock!I8,0),0)))</f>
        <v>0</v>
      </c>
      <c r="J8">
        <f>IF($B8&gt;J$2,0,IF(Datos!$C$4=1,IFERROR(MAX(Stock!J8-Datos!$C$6,0),0),IFERROR(MAX(Datos!$C$6-Stock!J8,0),0)))</f>
        <v>0</v>
      </c>
      <c r="K8">
        <f>IF($B8&gt;K$2,0,IF(Datos!$C$4=1,IFERROR(MAX(Stock!K8-Datos!$C$6,0),0),IFERROR(MAX(Datos!$C$6-Stock!K8,0),0)))</f>
        <v>23.120394674361464</v>
      </c>
      <c r="L8">
        <f>IF($B8&gt;L$2,0,IF(Datos!$C$4=1,IFERROR(MAX(Stock!L8-Datos!$C$6,0),0),IFERROR(MAX(Datos!$C$6-Stock!L8,0),0)))</f>
        <v>73.217188712544413</v>
      </c>
      <c r="M8">
        <f>IF($B8&gt;M$2,0,IF(Datos!$C$4=1,IFERROR(MAX(Stock!M8-Datos!$C$6,0),0),IFERROR(MAX(Datos!$C$6-Stock!M8,0),0)))</f>
        <v>163.07432940019973</v>
      </c>
      <c r="N8">
        <f>IF($B8&gt;N$2,0,IF(Datos!$C$4=1,IFERROR(MAX(Stock!N8-Datos!$C$6,0),0),IFERROR(MAX(Datos!$C$6-Stock!N8,0),0)))</f>
        <v>324.24843021006353</v>
      </c>
      <c r="O8">
        <f>IF($B8&gt;O$2,0,IF(Datos!$C$4=1,IFERROR(MAX(Stock!O8-Datos!$C$6,0),0),IFERROR(MAX(Datos!$C$6-Stock!O8,0),0)))</f>
        <v>613.3416572265437</v>
      </c>
      <c r="P8">
        <f>IF($B8&gt;P$2,0,IF(Datos!$C$4=1,IFERROR(MAX(Stock!P8-Datos!$C$6,0),0),IFERROR(MAX(Datos!$C$6-Stock!P8,0),0)))</f>
        <v>1131.8796449482497</v>
      </c>
      <c r="Q8">
        <f>IF($B8&gt;Q$2,0,IF(Datos!$C$4=1,IFERROR(MAX(Stock!Q8-Datos!$C$6,0),0),IFERROR(MAX(Datos!$C$6-Stock!Q8,0),0)))</f>
        <v>2061.9659270981533</v>
      </c>
      <c r="R8">
        <f>IF($B8&gt;R$2,0,IF(Datos!$C$4=1,IFERROR(MAX(Stock!R8-Datos!$C$6,0),0),IFERROR(MAX(Datos!$C$6-Stock!R8,0),0)))</f>
        <v>3730.2342367050069</v>
      </c>
      <c r="S8">
        <f>IF($B8&gt;S$2,0,IF(Datos!$C$4=1,IFERROR(MAX(Stock!S8-Datos!$C$6,0),0),IFERROR(MAX(Datos!$C$6-Stock!S8,0),0)))</f>
        <v>6722.557858987986</v>
      </c>
      <c r="T8">
        <f>IF($B8&gt;T$2,0,IF(Datos!$C$4=1,IFERROR(MAX(Stock!T8-Datos!$C$6,0),0),IFERROR(MAX(Datos!$C$6-Stock!T8,0),0)))</f>
        <v>12089.800411586044</v>
      </c>
      <c r="U8">
        <f>IF($B8&gt;U$2,0,IF(Datos!$C$4=1,IFERROR(MAX(Stock!U8-Datos!$C$6,0),0),IFERROR(MAX(Datos!$C$6-Stock!U8,0),0)))</f>
        <v>21716.864945615587</v>
      </c>
      <c r="V8">
        <f>IF($B8&gt;V$2,0,IF(Datos!$C$4=1,IFERROR(MAX(Stock!V8-Datos!$C$6,0),0),IFERROR(MAX(Datos!$C$6-Stock!V8,0),0)))</f>
        <v>38984.646424488164</v>
      </c>
      <c r="W8">
        <f>IF($B8&gt;W$2,0,IF(Datos!$C$4=1,IFERROR(MAX(Stock!W8-Datos!$C$6,0),0),IFERROR(MAX(Datos!$C$6-Stock!W8,0),0)))</f>
        <v>69957.356345368811</v>
      </c>
      <c r="X8">
        <f>IF($B8&gt;X$2,0,IF(Datos!$C$4=1,IFERROR(MAX(Stock!X8-Datos!$C$6,0),0),IFERROR(MAX(Datos!$C$6-Stock!X8,0),0)))</f>
        <v>125512.19186472884</v>
      </c>
      <c r="Y8">
        <f>IF($B8&gt;Y$2,0,IF(Datos!$C$4=1,IFERROR(MAX(Stock!Y8-Datos!$C$6,0),0),IFERROR(MAX(Datos!$C$6-Stock!Y8,0),0)))</f>
        <v>225159.26044436419</v>
      </c>
      <c r="Z8">
        <f>IF($B8&gt;Z$2,0,IF(Datos!$C$4=1,IFERROR(MAX(Stock!Z8-Datos!$C$6,0),0),IFERROR(MAX(Datos!$C$6-Stock!Z8,0),0)))</f>
        <v>403893.26593078603</v>
      </c>
      <c r="AA8">
        <f>IF($B8&gt;AA$2,0,IF(Datos!$C$4=1,IFERROR(MAX(Stock!AA8-Datos!$C$6,0),0),IFERROR(MAX(Datos!$C$6-Stock!AA8,0),0)))</f>
        <v>724483.17562481749</v>
      </c>
      <c r="AB8">
        <f>IF($B8&gt;AB$2,0,IF(Datos!$C$4=1,IFERROR(MAX(Stock!AB8-Datos!$C$6,0),0),IFERROR(MAX(Datos!$C$6-Stock!AB8,0),0)))</f>
        <v>1299515.8333326713</v>
      </c>
      <c r="AC8">
        <f>IF($B8&gt;AC$2,0,IF(Datos!$C$4=1,IFERROR(MAX(Stock!AC8-Datos!$C$6,0),0),IFERROR(MAX(Datos!$C$6-Stock!AC8,0),0)))</f>
        <v>2330934.9374028514</v>
      </c>
      <c r="AD8">
        <f>IF($B8&gt;AD$2,0,IF(Datos!$C$4=1,IFERROR(MAX(Stock!AD8-Datos!$C$6,0),0),IFERROR(MAX(Datos!$C$6-Stock!AD8,0),0)))</f>
        <v>4180960.9385024435</v>
      </c>
      <c r="AE8">
        <f>IF($B8&gt;AE$2,0,IF(Datos!$C$4=1,IFERROR(MAX(Stock!AE8-Datos!$C$6,0),0),IFERROR(MAX(Datos!$C$6-Stock!AE8,0),0)))</f>
        <v>7499297.9668145301</v>
      </c>
      <c r="AF8">
        <f>IF($B8&gt;AF$2,0,IF(Datos!$C$4=1,IFERROR(MAX(Stock!AF8-Datos!$C$6,0),0),IFERROR(MAX(Datos!$C$6-Stock!AF8,0),0)))</f>
        <v>13451301.142403573</v>
      </c>
      <c r="AG8">
        <f>IF($B8&gt;AG$2,0,IF(Datos!$C$4=1,IFERROR(MAX(Stock!AG8-Datos!$C$6,0),0),IFERROR(MAX(Datos!$C$6-Stock!AG8,0),0)))</f>
        <v>24127233.544677403</v>
      </c>
      <c r="AH8">
        <f>IF($B8&gt;AH$2,0,IF(Datos!$C$4=1,IFERROR(MAX(Stock!AH8-Datos!$C$6,0),0),IFERROR(MAX(Datos!$C$6-Stock!AH8,0),0)))</f>
        <v>43276338.357888579</v>
      </c>
      <c r="AI8">
        <f>IF($B8&gt;AI$2,0,IF(Datos!$C$4=1,IFERROR(MAX(Stock!AI8-Datos!$C$6,0),0),IFERROR(MAX(Datos!$C$6-Stock!AI8,0),0)))</f>
        <v>77623522.409863994</v>
      </c>
      <c r="AJ8">
        <f>IF($B8&gt;AJ$2,0,IF(Datos!$C$4=1,IFERROR(MAX(Stock!AJ8-Datos!$C$6,0),0),IFERROR(MAX(Datos!$C$6-Stock!AJ8,0),0)))</f>
        <v>139231052.56899533</v>
      </c>
      <c r="AK8">
        <f>IF($B8&gt;AK$2,0,IF(Datos!$C$4=1,IFERROR(MAX(Stock!AK8-Datos!$C$6,0),0),IFERROR(MAX(Datos!$C$6-Stock!AK8,0),0)))</f>
        <v>249734660.85795444</v>
      </c>
      <c r="AL8">
        <f>IF($B8&gt;AL$2,0,IF(Datos!$C$4=1,IFERROR(MAX(Stock!AL8-Datos!$C$6,0),0),IFERROR(MAX(Datos!$C$6-Stock!AL8,0),0)))</f>
        <v>447941721.15299898</v>
      </c>
      <c r="AM8">
        <f>IF($B8&gt;AM$2,0,IF(Datos!$C$4=1,IFERROR(MAX(Stock!AM8-Datos!$C$6,0),0),IFERROR(MAX(Datos!$C$6-Stock!AM8,0),0)))</f>
        <v>803459874.44328082</v>
      </c>
      <c r="AN8">
        <f>IF($B8&gt;AN$2,0,IF(Datos!$C$4=1,IFERROR(MAX(Stock!AN8-Datos!$C$6,0),0),IFERROR(MAX(Datos!$C$6-Stock!AN8,0),0)))</f>
        <v>1441142291.6628675</v>
      </c>
      <c r="AO8">
        <f>IF($B8&gt;AO$2,0,IF(Datos!$C$4=1,IFERROR(MAX(Stock!AO8-Datos!$C$6,0),0),IFERROR(MAX(Datos!$C$6-Stock!AO8,0),0)))</f>
        <v>2584934420.0467949</v>
      </c>
      <c r="AP8">
        <f>IF($B8&gt;AP$2,0,IF(Datos!$C$4=1,IFERROR(MAX(Stock!AP8-Datos!$C$6,0),0),IFERROR(MAX(Datos!$C$6-Stock!AP8,0),0)))</f>
        <v>4636520597.7828732</v>
      </c>
      <c r="AQ8">
        <f>IF($B8&gt;AQ$2,0,IF(Datos!$C$4=1,IFERROR(MAX(Stock!AQ8-Datos!$C$6,0),0),IFERROR(MAX(Datos!$C$6-Stock!AQ8,0),0)))</f>
        <v>8316390165.1881552</v>
      </c>
      <c r="AR8">
        <f>IF($B8&gt;AR$2,0,IF(Datos!$C$4=1,IFERROR(MAX(Stock!AR8-Datos!$C$6,0),0),IFERROR(MAX(Datos!$C$6-Stock!AR8,0),0)))</f>
        <v>14916863584.276257</v>
      </c>
      <c r="AS8">
        <f>IF($B8&gt;AS$2,0,IF(Datos!$C$4=1,IFERROR(MAX(Stock!AS8-Datos!$C$6,0),0),IFERROR(MAX(Datos!$C$6-Stock!AS8,0),0)))</f>
        <v>26755937920.491825</v>
      </c>
      <c r="AT8">
        <f>IF($B8&gt;AT$2,0,IF(Datos!$C$4=1,IFERROR(MAX(Stock!AT8-Datos!$C$6,0),0),IFERROR(MAX(Datos!$C$6-Stock!AT8,0),0)))</f>
        <v>47991336086.492264</v>
      </c>
      <c r="AU8">
        <f>IF($B8&gt;AU$2,0,IF(Datos!$C$4=1,IFERROR(MAX(Stock!AU8-Datos!$C$6,0),0),IFERROR(MAX(Datos!$C$6-Stock!AU8,0),0)))</f>
        <v>86080642941.264618</v>
      </c>
      <c r="AV8">
        <f>IF($B8&gt;AV$2,0,IF(Datos!$C$4=1,IFERROR(MAX(Stock!AV8-Datos!$C$6,0),0),IFERROR(MAX(Datos!$C$6-Stock!AV8,0),0)))</f>
        <v>154400308310.18839</v>
      </c>
      <c r="AW8">
        <f>IF($B8&gt;AW$2,0,IF(Datos!$C$4=1,IFERROR(MAX(Stock!AW8-Datos!$C$6,0),0),IFERROR(MAX(Datos!$C$6-Stock!AW8,0),0)))</f>
        <v>276943275393.2688</v>
      </c>
      <c r="AX8">
        <f>IF($B8&gt;AX$2,0,IF(Datos!$C$4=1,IFERROR(MAX(Stock!AX8-Datos!$C$6,0),0),IFERROR(MAX(Datos!$C$6-Stock!AX8,0),0)))</f>
        <v>496744978174.37689</v>
      </c>
      <c r="AY8">
        <f>IF($B8&gt;AY$2,0,IF(Datos!$C$4=1,IFERROR(MAX(Stock!AY8-Datos!$C$6,0),0),IFERROR(MAX(Datos!$C$6-Stock!AY8,0),0)))</f>
        <v>890996804252.00061</v>
      </c>
      <c r="AZ8">
        <f>IF($B8&gt;AZ$2,0,IF(Datos!$C$4=1,IFERROR(MAX(Stock!AZ8-Datos!$C$6,0),0),IFERROR(MAX(Datos!$C$6-Stock!AZ8,0),0)))</f>
        <v>1598154666993.0908</v>
      </c>
      <c r="BA8">
        <f>IF($B8&gt;BA$2,0,IF(Datos!$C$4=1,IFERROR(MAX(Stock!BA8-Datos!$C$6,0),0),IFERROR(MAX(Datos!$C$6-Stock!BA8,0),0)))</f>
        <v>2866562851202.9678</v>
      </c>
    </row>
    <row r="9" spans="1:53" x14ac:dyDescent="0.25">
      <c r="B9">
        <v>6</v>
      </c>
      <c r="C9" s="4"/>
      <c r="D9" s="4">
        <f>IF($B9&gt;D$2,0,IF(Datos!$C$4=1,IFERROR(MAX(Stock!D9-Datos!$C$6,0),0),IFERROR(MAX(Datos!$C$6-Stock!D9,0),0)))</f>
        <v>0</v>
      </c>
      <c r="E9" s="4">
        <f>IF($B9&gt;E$2,0,IF(Datos!$C$4=1,IFERROR(MAX(Stock!E9-Datos!$C$6,0),0),IFERROR(MAX(Datos!$C$6-Stock!E9,0),0)))</f>
        <v>0</v>
      </c>
      <c r="F9" s="4">
        <f>IF($B9&gt;F$2,0,IF(Datos!$C$4=1,IFERROR(MAX(Stock!F9-Datos!$C$6,0),0),IFERROR(MAX(Datos!$C$6-Stock!F9,0),0)))</f>
        <v>0</v>
      </c>
      <c r="G9" s="4">
        <f>IF($B9&gt;G$2,0,IF(Datos!$C$4=1,IFERROR(MAX(Stock!G9-Datos!$C$6,0),0),IFERROR(MAX(Datos!$C$6-Stock!G9,0),0)))</f>
        <v>0</v>
      </c>
      <c r="H9" s="4">
        <f>IF($B9&gt;H$2,0,IF(Datos!$C$4=1,IFERROR(MAX(Stock!H9-Datos!$C$6,0),0),IFERROR(MAX(Datos!$C$6-Stock!H9,0),0)))</f>
        <v>0</v>
      </c>
      <c r="I9" s="4">
        <f>IF($B9&gt;I$2,0,IF(Datos!$C$4=1,IFERROR(MAX(Stock!I9-Datos!$C$6,0),0),IFERROR(MAX(Datos!$C$6-Stock!I9,0),0)))</f>
        <v>0</v>
      </c>
      <c r="J9">
        <f>IF($B9&gt;J$2,0,IF(Datos!$C$4=1,IFERROR(MAX(Stock!J9-Datos!$C$6,0),0),IFERROR(MAX(Datos!$C$6-Stock!J9,0),0)))</f>
        <v>0</v>
      </c>
      <c r="K9">
        <f>IF($B9&gt;K$2,0,IF(Datos!$C$4=1,IFERROR(MAX(Stock!K9-Datos!$C$6,0),0),IFERROR(MAX(Datos!$C$6-Stock!K9,0),0)))</f>
        <v>0</v>
      </c>
      <c r="L9">
        <f>IF($B9&gt;L$2,0,IF(Datos!$C$4=1,IFERROR(MAX(Stock!L9-Datos!$C$6,0),0),IFERROR(MAX(Datos!$C$6-Stock!L9,0),0)))</f>
        <v>8.461993936449872</v>
      </c>
      <c r="M9">
        <f>IF($B9&gt;M$2,0,IF(Datos!$C$4=1,IFERROR(MAX(Stock!M9-Datos!$C$6,0),0),IFERROR(MAX(Datos!$C$6-Stock!M9,0),0)))</f>
        <v>46.924848001906653</v>
      </c>
      <c r="N9">
        <f>IF($B9&gt;N$2,0,IF(Datos!$C$4=1,IFERROR(MAX(Stock!N9-Datos!$C$6,0),0),IFERROR(MAX(Datos!$C$6-Stock!N9,0),0)))</f>
        <v>115.91453397610843</v>
      </c>
      <c r="O9">
        <f>IF($B9&gt;O$2,0,IF(Datos!$C$4=1,IFERROR(MAX(Stock!O9-Datos!$C$6,0),0),IFERROR(MAX(Datos!$C$6-Stock!O9,0),0)))</f>
        <v>239.65929724092075</v>
      </c>
      <c r="P9">
        <f>IF($B9&gt;P$2,0,IF(Datos!$C$4=1,IFERROR(MAX(Stock!P9-Datos!$C$6,0),0),IFERROR(MAX(Datos!$C$6-Stock!P9,0),0)))</f>
        <v>461.61662635806664</v>
      </c>
      <c r="Q9">
        <f>IF($B9&gt;Q$2,0,IF(Datos!$C$4=1,IFERROR(MAX(Stock!Q9-Datos!$C$6,0),0),IFERROR(MAX(Datos!$C$6-Stock!Q9,0),0)))</f>
        <v>859.73493576393935</v>
      </c>
      <c r="R9">
        <f>IF($B9&gt;R$2,0,IF(Datos!$C$4=1,IFERROR(MAX(Stock!R9-Datos!$C$6,0),0),IFERROR(MAX(Datos!$C$6-Stock!R9,0),0)))</f>
        <v>1573.8279955183982</v>
      </c>
      <c r="S9">
        <f>IF($B9&gt;S$2,0,IF(Datos!$C$4=1,IFERROR(MAX(Stock!S9-Datos!$C$6,0),0),IFERROR(MAX(Datos!$C$6-Stock!S9,0),0)))</f>
        <v>2854.6756378950367</v>
      </c>
      <c r="T9">
        <f>IF($B9&gt;T$2,0,IF(Datos!$C$4=1,IFERROR(MAX(Stock!T9-Datos!$C$6,0),0),IFERROR(MAX(Datos!$C$6-Stock!T9,0),0)))</f>
        <v>5152.0942454164497</v>
      </c>
      <c r="U9">
        <f>IF($B9&gt;U$2,0,IF(Datos!$C$4=1,IFERROR(MAX(Stock!U9-Datos!$C$6,0),0),IFERROR(MAX(Datos!$C$6-Stock!U9,0),0)))</f>
        <v>9272.9061855406835</v>
      </c>
      <c r="V9">
        <f>IF($B9&gt;V$2,0,IF(Datos!$C$4=1,IFERROR(MAX(Stock!V9-Datos!$C$6,0),0),IFERROR(MAX(Datos!$C$6-Stock!V9,0),0)))</f>
        <v>16664.284922648858</v>
      </c>
      <c r="W9">
        <f>IF($B9&gt;W$2,0,IF(Datos!$C$4=1,IFERROR(MAX(Stock!W9-Datos!$C$6,0),0),IFERROR(MAX(Datos!$C$6-Stock!W9,0),0)))</f>
        <v>29921.982781514947</v>
      </c>
      <c r="X9">
        <f>IF($B9&gt;X$2,0,IF(Datos!$C$4=1,IFERROR(MAX(Stock!X9-Datos!$C$6,0),0),IFERROR(MAX(Datos!$C$6-Stock!X9,0),0)))</f>
        <v>53701.924084556602</v>
      </c>
      <c r="Y9">
        <f>IF($B9&gt;Y$2,0,IF(Datos!$C$4=1,IFERROR(MAX(Stock!Y9-Datos!$C$6,0),0),IFERROR(MAX(Datos!$C$6-Stock!Y9,0),0)))</f>
        <v>96355.302853325076</v>
      </c>
      <c r="Z9">
        <f>IF($B9&gt;Z$2,0,IF(Datos!$C$4=1,IFERROR(MAX(Stock!Z9-Datos!$C$6,0),0),IFERROR(MAX(Datos!$C$6-Stock!Z9,0),0)))</f>
        <v>172861.40929015315</v>
      </c>
      <c r="AA9">
        <f>IF($B9&gt;AA$2,0,IF(Datos!$C$4=1,IFERROR(MAX(Stock!AA9-Datos!$C$6,0),0),IFERROR(MAX(Datos!$C$6-Stock!AA9,0),0)))</f>
        <v>310088.15406585822</v>
      </c>
      <c r="AB9">
        <f>IF($B9&gt;AB$2,0,IF(Datos!$C$4=1,IFERROR(MAX(Stock!AB9-Datos!$C$6,0),0),IFERROR(MAX(Datos!$C$6-Stock!AB9,0),0)))</f>
        <v>556227.71545218502</v>
      </c>
      <c r="AC9">
        <f>IF($B9&gt;AC$2,0,IF(Datos!$C$4=1,IFERROR(MAX(Stock!AC9-Datos!$C$6,0),0),IFERROR(MAX(Datos!$C$6-Stock!AC9,0),0)))</f>
        <v>997720.9810577929</v>
      </c>
      <c r="AD9">
        <f>IF($B9&gt;AD$2,0,IF(Datos!$C$4=1,IFERROR(MAX(Stock!AD9-Datos!$C$6,0),0),IFERROR(MAX(Datos!$C$6-Stock!AD9,0),0)))</f>
        <v>1789614.4193871736</v>
      </c>
      <c r="AE9">
        <f>IF($B9&gt;AE$2,0,IF(Datos!$C$4=1,IFERROR(MAX(Stock!AE9-Datos!$C$6,0),0),IFERROR(MAX(Datos!$C$6-Stock!AE9,0),0)))</f>
        <v>3210010.304268735</v>
      </c>
      <c r="AF9">
        <f>IF($B9&gt;AF$2,0,IF(Datos!$C$4=1,IFERROR(MAX(Stock!AF9-Datos!$C$6,0),0),IFERROR(MAX(Datos!$C$6-Stock!AF9,0),0)))</f>
        <v>5757732.4751264099</v>
      </c>
      <c r="AG9">
        <f>IF($B9&gt;AG$2,0,IF(Datos!$C$4=1,IFERROR(MAX(Stock!AG9-Datos!$C$6,0),0),IFERROR(MAX(Datos!$C$6-Stock!AG9,0),0)))</f>
        <v>10327506.528239055</v>
      </c>
      <c r="AH9">
        <f>IF($B9&gt;AH$2,0,IF(Datos!$C$4=1,IFERROR(MAX(Stock!AH9-Datos!$C$6,0),0),IFERROR(MAX(Datos!$C$6-Stock!AH9,0),0)))</f>
        <v>18524175.354758509</v>
      </c>
      <c r="AI9">
        <f>IF($B9&gt;AI$2,0,IF(Datos!$C$4=1,IFERROR(MAX(Stock!AI9-Datos!$C$6,0),0),IFERROR(MAX(Datos!$C$6-Stock!AI9,0),0)))</f>
        <v>33226298.276103679</v>
      </c>
      <c r="AJ9">
        <f>IF($B9&gt;AJ$2,0,IF(Datos!$C$4=1,IFERROR(MAX(Stock!AJ9-Datos!$C$6,0),0),IFERROR(MAX(Datos!$C$6-Stock!AJ9,0),0)))</f>
        <v>59597062.176556095</v>
      </c>
      <c r="AK9">
        <f>IF($B9&gt;AK$2,0,IF(Datos!$C$4=1,IFERROR(MAX(Stock!AK9-Datos!$C$6,0),0),IFERROR(MAX(Datos!$C$6-Stock!AK9,0),0)))</f>
        <v>106897522.96128863</v>
      </c>
      <c r="AL9">
        <f>IF($B9&gt;AL$2,0,IF(Datos!$C$4=1,IFERROR(MAX(Stock!AL9-Datos!$C$6,0),0),IFERROR(MAX(Datos!$C$6-Stock!AL9,0),0)))</f>
        <v>191738963.2355932</v>
      </c>
      <c r="AM9">
        <f>IF($B9&gt;AM$2,0,IF(Datos!$C$4=1,IFERROR(MAX(Stock!AM9-Datos!$C$6,0),0),IFERROR(MAX(Datos!$C$6-Stock!AM9,0),0)))</f>
        <v>343916550.26962382</v>
      </c>
      <c r="AN9">
        <f>IF($B9&gt;AN$2,0,IF(Datos!$C$4=1,IFERROR(MAX(Stock!AN9-Datos!$C$6,0),0),IFERROR(MAX(Datos!$C$6-Stock!AN9,0),0)))</f>
        <v>616872996.08934069</v>
      </c>
      <c r="AO9">
        <f>IF($B9&gt;AO$2,0,IF(Datos!$C$4=1,IFERROR(MAX(Stock!AO9-Datos!$C$6,0),0),IFERROR(MAX(Datos!$C$6-Stock!AO9,0),0)))</f>
        <v>1106466915.710835</v>
      </c>
      <c r="AP9">
        <f>IF($B9&gt;AP$2,0,IF(Datos!$C$4=1,IFERROR(MAX(Stock!AP9-Datos!$C$6,0),0),IFERROR(MAX(Datos!$C$6-Stock!AP9,0),0)))</f>
        <v>1984637077.2927933</v>
      </c>
      <c r="AQ9">
        <f>IF($B9&gt;AQ$2,0,IF(Datos!$C$4=1,IFERROR(MAX(Stock!AQ9-Datos!$C$6,0),0),IFERROR(MAX(Datos!$C$6-Stock!AQ9,0),0)))</f>
        <v>3559784973.9192171</v>
      </c>
      <c r="AR9">
        <f>IF($B9&gt;AR$2,0,IF(Datos!$C$4=1,IFERROR(MAX(Stock!AR9-Datos!$C$6,0),0),IFERROR(MAX(Datos!$C$6-Stock!AR9,0),0)))</f>
        <v>6385081260.2074537</v>
      </c>
      <c r="AS9">
        <f>IF($B9&gt;AS$2,0,IF(Datos!$C$4=1,IFERROR(MAX(Stock!AS9-Datos!$C$6,0),0),IFERROR(MAX(Datos!$C$6-Stock!AS9,0),0)))</f>
        <v>11452731810.616215</v>
      </c>
      <c r="AT9">
        <f>IF($B9&gt;AT$2,0,IF(Datos!$C$4=1,IFERROR(MAX(Stock!AT9-Datos!$C$6,0),0),IFERROR(MAX(Datos!$C$6-Stock!AT9,0),0)))</f>
        <v>20542427013.803921</v>
      </c>
      <c r="AU9">
        <f>IF($B9&gt;AU$2,0,IF(Datos!$C$4=1,IFERROR(MAX(Stock!AU9-Datos!$C$6,0),0),IFERROR(MAX(Datos!$C$6-Stock!AU9,0),0)))</f>
        <v>36846344986.243675</v>
      </c>
      <c r="AV9">
        <f>IF($B9&gt;AV$2,0,IF(Datos!$C$4=1,IFERROR(MAX(Stock!AV9-Datos!$C$6,0),0),IFERROR(MAX(Datos!$C$6-Stock!AV9,0),0)))</f>
        <v>66090201387.37175</v>
      </c>
      <c r="AW9">
        <f>IF($B9&gt;AW$2,0,IF(Datos!$C$4=1,IFERROR(MAX(Stock!AW9-Datos!$C$6,0),0),IFERROR(MAX(Datos!$C$6-Stock!AW9,0),0)))</f>
        <v>118544043381.39064</v>
      </c>
      <c r="AX9">
        <f>IF($B9&gt;AX$2,0,IF(Datos!$C$4=1,IFERROR(MAX(Stock!AX9-Datos!$C$6,0),0),IFERROR(MAX(Datos!$C$6-Stock!AX9,0),0)))</f>
        <v>212628951411.0773</v>
      </c>
      <c r="AY9">
        <f>IF($B9&gt;AY$2,0,IF(Datos!$C$4=1,IFERROR(MAX(Stock!AY9-Datos!$C$6,0),0),IFERROR(MAX(Datos!$C$6-Stock!AY9,0),0)))</f>
        <v>381386273705.29468</v>
      </c>
      <c r="AZ9">
        <f>IF($B9&gt;AZ$2,0,IF(Datos!$C$4=1,IFERROR(MAX(Stock!AZ9-Datos!$C$6,0),0),IFERROR(MAX(Datos!$C$6-Stock!AZ9,0),0)))</f>
        <v>684081301253.47864</v>
      </c>
      <c r="BA9">
        <f>IF($B9&gt;BA$2,0,IF(Datos!$C$4=1,IFERROR(MAX(Stock!BA9-Datos!$C$6,0),0),IFERROR(MAX(Datos!$C$6-Stock!BA9,0),0)))</f>
        <v>1227016437085.125</v>
      </c>
    </row>
    <row r="10" spans="1:53" x14ac:dyDescent="0.25">
      <c r="B10">
        <v>7</v>
      </c>
      <c r="C10" s="4"/>
      <c r="D10" s="4">
        <f>IF($B10&gt;D$2,0,IF(Datos!$C$4=1,IFERROR(MAX(Stock!D10-Datos!$C$6,0),0),IFERROR(MAX(Datos!$C$6-Stock!D10,0),0)))</f>
        <v>0</v>
      </c>
      <c r="E10" s="4">
        <f>IF($B10&gt;E$2,0,IF(Datos!$C$4=1,IFERROR(MAX(Stock!E10-Datos!$C$6,0),0),IFERROR(MAX(Datos!$C$6-Stock!E10,0),0)))</f>
        <v>0</v>
      </c>
      <c r="F10" s="4">
        <f>IF($B10&gt;F$2,0,IF(Datos!$C$4=1,IFERROR(MAX(Stock!F10-Datos!$C$6,0),0),IFERROR(MAX(Datos!$C$6-Stock!F10,0),0)))</f>
        <v>0</v>
      </c>
      <c r="G10" s="4">
        <f>IF($B10&gt;G$2,0,IF(Datos!$C$4=1,IFERROR(MAX(Stock!G10-Datos!$C$6,0),0),IFERROR(MAX(Datos!$C$6-Stock!G10,0),0)))</f>
        <v>0</v>
      </c>
      <c r="H10" s="4">
        <f>IF($B10&gt;H$2,0,IF(Datos!$C$4=1,IFERROR(MAX(Stock!H10-Datos!$C$6,0),0),IFERROR(MAX(Datos!$C$6-Stock!H10,0),0)))</f>
        <v>0</v>
      </c>
      <c r="I10" s="4">
        <f>IF($B10&gt;I$2,0,IF(Datos!$C$4=1,IFERROR(MAX(Stock!I10-Datos!$C$6,0),0),IFERROR(MAX(Datos!$C$6-Stock!I10,0),0)))</f>
        <v>0</v>
      </c>
      <c r="J10">
        <f>IF($B10&gt;J$2,0,IF(Datos!$C$4=1,IFERROR(MAX(Stock!J10-Datos!$C$6,0),0),IFERROR(MAX(Datos!$C$6-Stock!J10,0),0)))</f>
        <v>0</v>
      </c>
      <c r="K10">
        <f>IF($B10&gt;K$2,0,IF(Datos!$C$4=1,IFERROR(MAX(Stock!K10-Datos!$C$6,0),0),IFERROR(MAX(Datos!$C$6-Stock!K10,0),0)))</f>
        <v>0</v>
      </c>
      <c r="L10">
        <f>IF($B10&gt;L$2,0,IF(Datos!$C$4=1,IFERROR(MAX(Stock!L10-Datos!$C$6,0),0),IFERROR(MAX(Datos!$C$6-Stock!L10,0),0)))</f>
        <v>0</v>
      </c>
      <c r="M10">
        <f>IF($B10&gt;M$2,0,IF(Datos!$C$4=1,IFERROR(MAX(Stock!M10-Datos!$C$6,0),0),IFERROR(MAX(Datos!$C$6-Stock!M10,0),0)))</f>
        <v>0</v>
      </c>
      <c r="N10">
        <f>IF($B10&gt;N$2,0,IF(Datos!$C$4=1,IFERROR(MAX(Stock!N10-Datos!$C$6,0),0),IFERROR(MAX(Datos!$C$6-Stock!N10,0),0)))</f>
        <v>26.738357364965935</v>
      </c>
      <c r="O10">
        <f>IF($B10&gt;O$2,0,IF(Datos!$C$4=1,IFERROR(MAX(Stock!O10-Datos!$C$6,0),0),IFERROR(MAX(Datos!$C$6-Stock!O10,0),0)))</f>
        <v>79.706621594108597</v>
      </c>
      <c r="P10">
        <f>IF($B10&gt;P$2,0,IF(Datos!$C$4=1,IFERROR(MAX(Stock!P10-Datos!$C$6,0),0),IFERROR(MAX(Datos!$C$6-Stock!P10,0),0)))</f>
        <v>174.71423360200083</v>
      </c>
      <c r="Q10">
        <f>IF($B10&gt;Q$2,0,IF(Datos!$C$4=1,IFERROR(MAX(Stock!Q10-Datos!$C$6,0),0),IFERROR(MAX(Datos!$C$6-Stock!Q10,0),0)))</f>
        <v>345.12658278515408</v>
      </c>
      <c r="R10">
        <f>IF($B10&gt;R$2,0,IF(Datos!$C$4=1,IFERROR(MAX(Stock!R10-Datos!$C$6,0),0),IFERROR(MAX(Datos!$C$6-Stock!R10,0),0)))</f>
        <v>650.79018321022954</v>
      </c>
      <c r="S10">
        <f>IF($B10&gt;S$2,0,IF(Datos!$C$4=1,IFERROR(MAX(Stock!S10-Datos!$C$6,0),0),IFERROR(MAX(Datos!$C$6-Stock!S10,0),0)))</f>
        <v>1199.0499605835498</v>
      </c>
      <c r="T10">
        <f>IF($B10&gt;T$2,0,IF(Datos!$C$4=1,IFERROR(MAX(Stock!T10-Datos!$C$6,0),0),IFERROR(MAX(Datos!$C$6-Stock!T10,0),0)))</f>
        <v>2182.447339491031</v>
      </c>
      <c r="U10">
        <f>IF($B10&gt;U$2,0,IF(Datos!$C$4=1,IFERROR(MAX(Stock!U10-Datos!$C$6,0),0),IFERROR(MAX(Datos!$C$6-Stock!U10,0),0)))</f>
        <v>3946.3381896921528</v>
      </c>
      <c r="V10">
        <f>IF($B10&gt;V$2,0,IF(Datos!$C$4=1,IFERROR(MAX(Stock!V10-Datos!$C$6,0),0),IFERROR(MAX(Datos!$C$6-Stock!V10,0),0)))</f>
        <v>7110.1771404119445</v>
      </c>
      <c r="W10">
        <f>IF($B10&gt;W$2,0,IF(Datos!$C$4=1,IFERROR(MAX(Stock!W10-Datos!$C$6,0),0),IFERROR(MAX(Datos!$C$6-Stock!W10,0),0)))</f>
        <v>12785.061674764147</v>
      </c>
      <c r="X10">
        <f>IF($B10&gt;X$2,0,IF(Datos!$C$4=1,IFERROR(MAX(Stock!X10-Datos!$C$6,0),0),IFERROR(MAX(Datos!$C$6-Stock!X10,0),0)))</f>
        <v>22963.934550358259</v>
      </c>
      <c r="Y10">
        <f>IF($B10&gt;Y$2,0,IF(Datos!$C$4=1,IFERROR(MAX(Stock!Y10-Datos!$C$6,0),0),IFERROR(MAX(Datos!$C$6-Stock!Y10,0),0)))</f>
        <v>41221.478362980131</v>
      </c>
      <c r="Z10">
        <f>IF($B10&gt;Z$2,0,IF(Datos!$C$4=1,IFERROR(MAX(Stock!Z10-Datos!$C$6,0),0),IFERROR(MAX(Datos!$C$6-Stock!Z10,0),0)))</f>
        <v>73969.495765678163</v>
      </c>
      <c r="AA10">
        <f>IF($B10&gt;AA$2,0,IF(Datos!$C$4=1,IFERROR(MAX(Stock!AA10-Datos!$C$6,0),0),IFERROR(MAX(Datos!$C$6-Stock!AA10,0),0)))</f>
        <v>132708.64791088706</v>
      </c>
      <c r="AB10">
        <f>IF($B10&gt;AB$2,0,IF(Datos!$C$4=1,IFERROR(MAX(Stock!AB10-Datos!$C$6,0),0),IFERROR(MAX(Datos!$C$6-Stock!AB10,0),0)))</f>
        <v>238067.33122628491</v>
      </c>
      <c r="AC10">
        <f>IF($B10&gt;AC$2,0,IF(Datos!$C$4=1,IFERROR(MAX(Stock!AC10-Datos!$C$6,0),0),IFERROR(MAX(Datos!$C$6-Stock!AC10,0),0)))</f>
        <v>427046.09146635263</v>
      </c>
      <c r="AD10">
        <f>IF($B10&gt;AD$2,0,IF(Datos!$C$4=1,IFERROR(MAX(Stock!AD10-Datos!$C$6,0),0),IFERROR(MAX(Datos!$C$6-Stock!AD10,0),0)))</f>
        <v>766011.71535293781</v>
      </c>
      <c r="AE10">
        <f>IF($B10&gt;AE$2,0,IF(Datos!$C$4=1,IFERROR(MAX(Stock!AE10-Datos!$C$6,0),0),IFERROR(MAX(Datos!$C$6-Stock!AE10,0),0)))</f>
        <v>1374004.3491857699</v>
      </c>
      <c r="AF10">
        <f>IF($B10&gt;AF$2,0,IF(Datos!$C$4=1,IFERROR(MAX(Stock!AF10-Datos!$C$6,0),0),IFERROR(MAX(Datos!$C$6-Stock!AF10,0),0)))</f>
        <v>2464542.789504623</v>
      </c>
      <c r="AG10">
        <f>IF($B10&gt;AG$2,0,IF(Datos!$C$4=1,IFERROR(MAX(Stock!AG10-Datos!$C$6,0),0),IFERROR(MAX(Datos!$C$6-Stock!AG10,0),0)))</f>
        <v>4420609.3989235638</v>
      </c>
      <c r="AH10">
        <f>IF($B10&gt;AH$2,0,IF(Datos!$C$4=1,IFERROR(MAX(Stock!AH10-Datos!$C$6,0),0),IFERROR(MAX(Datos!$C$6-Stock!AH10,0),0)))</f>
        <v>7929148.3362259436</v>
      </c>
      <c r="AI10">
        <f>IF($B10&gt;AI$2,0,IF(Datos!$C$4=1,IFERROR(MAX(Stock!AI10-Datos!$C$6,0),0),IFERROR(MAX(Datos!$C$6-Stock!AI10,0),0)))</f>
        <v>14222311.061509425</v>
      </c>
      <c r="AJ10">
        <f>IF($B10&gt;AJ$2,0,IF(Datos!$C$4=1,IFERROR(MAX(Stock!AJ10-Datos!$C$6,0),0),IFERROR(MAX(Datos!$C$6-Stock!AJ10,0),0)))</f>
        <v>25510171.277576398</v>
      </c>
      <c r="AK10">
        <f>IF($B10&gt;AK$2,0,IF(Datos!$C$4=1,IFERROR(MAX(Stock!AK10-Datos!$C$6,0),0),IFERROR(MAX(Datos!$C$6-Stock!AK10,0),0)))</f>
        <v>45756872.947240897</v>
      </c>
      <c r="AL10">
        <f>IF($B10&gt;AL$2,0,IF(Datos!$C$4=1,IFERROR(MAX(Stock!AL10-Datos!$C$6,0),0),IFERROR(MAX(Datos!$C$6-Stock!AL10,0),0)))</f>
        <v>82072784.0813023</v>
      </c>
      <c r="AM10">
        <f>IF($B10&gt;AM$2,0,IF(Datos!$C$4=1,IFERROR(MAX(Stock!AM10-Datos!$C$6,0),0),IFERROR(MAX(Datos!$C$6-Stock!AM10,0),0)))</f>
        <v>147211561.89384162</v>
      </c>
      <c r="AN10">
        <f>IF($B10&gt;AN$2,0,IF(Datos!$C$4=1,IFERROR(MAX(Stock!AN10-Datos!$C$6,0),0),IFERROR(MAX(Datos!$C$6-Stock!AN10,0),0)))</f>
        <v>264049064.8618373</v>
      </c>
      <c r="AO10">
        <f>IF($B10&gt;AO$2,0,IF(Datos!$C$4=1,IFERROR(MAX(Stock!AO10-Datos!$C$6,0),0),IFERROR(MAX(Datos!$C$6-Stock!AO10,0),0)))</f>
        <v>473617045.07605243</v>
      </c>
      <c r="AP10">
        <f>IF($B10&gt;AP$2,0,IF(Datos!$C$4=1,IFERROR(MAX(Stock!AP10-Datos!$C$6,0),0),IFERROR(MAX(Datos!$C$6-Stock!AP10,0),0)))</f>
        <v>849512945.06884825</v>
      </c>
      <c r="AQ10">
        <f>IF($B10&gt;AQ$2,0,IF(Datos!$C$4=1,IFERROR(MAX(Stock!AQ10-Datos!$C$6,0),0),IFERROR(MAX(Datos!$C$6-Stock!AQ10,0),0)))</f>
        <v>1523746325.0296748</v>
      </c>
      <c r="AR10">
        <f>IF($B10&gt;AR$2,0,IF(Datos!$C$4=1,IFERROR(MAX(Stock!AR10-Datos!$C$6,0),0),IFERROR(MAX(Datos!$C$6-Stock!AR10,0),0)))</f>
        <v>2733098836.3555832</v>
      </c>
      <c r="AS10">
        <f>IF($B10&gt;AS$2,0,IF(Datos!$C$4=1,IFERROR(MAX(Stock!AS10-Datos!$C$6,0),0),IFERROR(MAX(Datos!$C$6-Stock!AS10,0),0)))</f>
        <v>4902278737.7352161</v>
      </c>
      <c r="AT10">
        <f>IF($B10&gt;AT$2,0,IF(Datos!$C$4=1,IFERROR(MAX(Stock!AT10-Datos!$C$6,0),0),IFERROR(MAX(Datos!$C$6-Stock!AT10,0),0)))</f>
        <v>8793072696.0580177</v>
      </c>
      <c r="AU10">
        <f>IF($B10&gt;AU$2,0,IF(Datos!$C$4=1,IFERROR(MAX(Stock!AU10-Datos!$C$6,0),0),IFERROR(MAX(Datos!$C$6-Stock!AU10,0),0)))</f>
        <v>15771874968.978317</v>
      </c>
      <c r="AV10">
        <f>IF($B10&gt;AV$2,0,IF(Datos!$C$4=1,IFERROR(MAX(Stock!AV10-Datos!$C$6,0),0),IFERROR(MAX(Datos!$C$6-Stock!AV10,0),0)))</f>
        <v>28289546602.639477</v>
      </c>
      <c r="AW10">
        <f>IF($B10&gt;AW$2,0,IF(Datos!$C$4=1,IFERROR(MAX(Stock!AW10-Datos!$C$6,0),0),IFERROR(MAX(Datos!$C$6-Stock!AW10,0),0)))</f>
        <v>50742124709.942268</v>
      </c>
      <c r="AX10">
        <f>IF($B10&gt;AX$2,0,IF(Datos!$C$4=1,IFERROR(MAX(Stock!AX10-Datos!$C$6,0),0),IFERROR(MAX(Datos!$C$6-Stock!AX10,0),0)))</f>
        <v>91014651296.18956</v>
      </c>
      <c r="AY10">
        <f>IF($B10&gt;AY$2,0,IF(Datos!$C$4=1,IFERROR(MAX(Stock!AY10-Datos!$C$6,0),0),IFERROR(MAX(Datos!$C$6-Stock!AY10,0),0)))</f>
        <v>163250293452.24432</v>
      </c>
      <c r="AZ10">
        <f>IF($B10&gt;AZ$2,0,IF(Datos!$C$4=1,IFERROR(MAX(Stock!AZ10-Datos!$C$6,0),0),IFERROR(MAX(Datos!$C$6-Stock!AZ10,0),0)))</f>
        <v>292817232504.92084</v>
      </c>
      <c r="BA10">
        <f>IF($B10&gt;BA$2,0,IF(Datos!$C$4=1,IFERROR(MAX(Stock!BA10-Datos!$C$6,0),0),IFERROR(MAX(Datos!$C$6-Stock!BA10,0),0)))</f>
        <v>525217626471.27905</v>
      </c>
    </row>
    <row r="11" spans="1:53" x14ac:dyDescent="0.25">
      <c r="B11">
        <v>8</v>
      </c>
      <c r="D11">
        <f>IF($B11&gt;D$2,0,IF(Datos!$C$4=1,IFERROR(MAX(Stock!D11-Datos!$C$6,0),0),IFERROR(MAX(Datos!$C$6-Stock!D11,0),0)))</f>
        <v>0</v>
      </c>
      <c r="E11">
        <f>IF($B11&gt;E$2,0,IF(Datos!$C$4=1,IFERROR(MAX(Stock!E11-Datos!$C$6,0),0),IFERROR(MAX(Datos!$C$6-Stock!E11,0),0)))</f>
        <v>0</v>
      </c>
      <c r="F11">
        <f>IF($B11&gt;F$2,0,IF(Datos!$C$4=1,IFERROR(MAX(Stock!F11-Datos!$C$6,0),0),IFERROR(MAX(Datos!$C$6-Stock!F11,0),0)))</f>
        <v>0</v>
      </c>
      <c r="G11">
        <f>IF($B11&gt;G$2,0,IF(Datos!$C$4=1,IFERROR(MAX(Stock!G11-Datos!$C$6,0),0),IFERROR(MAX(Datos!$C$6-Stock!G11,0),0)))</f>
        <v>0</v>
      </c>
      <c r="H11">
        <f>IF($B11&gt;H$2,0,IF(Datos!$C$4=1,IFERROR(MAX(Stock!H11-Datos!$C$6,0),0),IFERROR(MAX(Datos!$C$6-Stock!H11,0),0)))</f>
        <v>0</v>
      </c>
      <c r="I11">
        <f>IF($B11&gt;I$2,0,IF(Datos!$C$4=1,IFERROR(MAX(Stock!I11-Datos!$C$6,0),0),IFERROR(MAX(Datos!$C$6-Stock!I11,0),0)))</f>
        <v>0</v>
      </c>
      <c r="J11">
        <f>IF($B11&gt;J$2,0,IF(Datos!$C$4=1,IFERROR(MAX(Stock!J11-Datos!$C$6,0),0),IFERROR(MAX(Datos!$C$6-Stock!J11,0),0)))</f>
        <v>0</v>
      </c>
      <c r="K11">
        <f>IF($B11&gt;K$2,0,IF(Datos!$C$4=1,IFERROR(MAX(Stock!K11-Datos!$C$6,0),0),IFERROR(MAX(Datos!$C$6-Stock!K11,0),0)))</f>
        <v>0</v>
      </c>
      <c r="L11">
        <f>IF($B11&gt;L$2,0,IF(Datos!$C$4=1,IFERROR(MAX(Stock!L11-Datos!$C$6,0),0),IFERROR(MAX(Datos!$C$6-Stock!L11,0),0)))</f>
        <v>0</v>
      </c>
      <c r="M11">
        <f>IF($B11&gt;M$2,0,IF(Datos!$C$4=1,IFERROR(MAX(Stock!M11-Datos!$C$6,0),0),IFERROR(MAX(Datos!$C$6-Stock!M11,0),0)))</f>
        <v>0</v>
      </c>
      <c r="N11">
        <f>IF($B11&gt;N$2,0,IF(Datos!$C$4=1,IFERROR(MAX(Stock!N11-Datos!$C$6,0),0),IFERROR(MAX(Datos!$C$6-Stock!N11,0),0)))</f>
        <v>0</v>
      </c>
      <c r="O11">
        <f>IF($B11&gt;O$2,0,IF(Datos!$C$4=1,IFERROR(MAX(Stock!O11-Datos!$C$6,0),0),IFERROR(MAX(Datos!$C$6-Stock!O11,0),0)))</f>
        <v>11.239759932352207</v>
      </c>
      <c r="P11">
        <f>IF($B11&gt;P$2,0,IF(Datos!$C$4=1,IFERROR(MAX(Stock!P11-Datos!$C$6,0),0),IFERROR(MAX(Datos!$C$6-Stock!P11,0),0)))</f>
        <v>51.907244873469693</v>
      </c>
      <c r="Q11">
        <f>IF($B11&gt;Q$2,0,IF(Datos!$C$4=1,IFERROR(MAX(Stock!Q11-Datos!$C$6,0),0),IFERROR(MAX(Datos!$C$6-Stock!Q11,0),0)))</f>
        <v>124.85131217210517</v>
      </c>
      <c r="R11">
        <f>IF($B11&gt;R$2,0,IF(Datos!$C$4=1,IFERROR(MAX(Stock!R11-Datos!$C$6,0),0),IFERROR(MAX(Datos!$C$6-Stock!R11,0),0)))</f>
        <v>255.68893249143184</v>
      </c>
      <c r="S11">
        <f>IF($B11&gt;S$2,0,IF(Datos!$C$4=1,IFERROR(MAX(Stock!S11-Datos!$C$6,0),0),IFERROR(MAX(Datos!$C$6-Stock!S11,0),0)))</f>
        <v>490.36850993726625</v>
      </c>
      <c r="T11">
        <f>IF($B11&gt;T$2,0,IF(Datos!$C$4=1,IFERROR(MAX(Stock!T11-Datos!$C$6,0),0),IFERROR(MAX(Datos!$C$6-Stock!T11,0),0)))</f>
        <v>911.30634062952959</v>
      </c>
      <c r="U11">
        <f>IF($B11&gt;U$2,0,IF(Datos!$C$4=1,IFERROR(MAX(Stock!U11-Datos!$C$6,0),0),IFERROR(MAX(Datos!$C$6-Stock!U11,0),0)))</f>
        <v>1666.3301021189798</v>
      </c>
      <c r="V11">
        <f>IF($B11&gt;V$2,0,IF(Datos!$C$4=1,IFERROR(MAX(Stock!V11-Datos!$C$6,0),0),IFERROR(MAX(Datos!$C$6-Stock!V11,0),0)))</f>
        <v>3020.5939359876793</v>
      </c>
      <c r="W11">
        <f>IF($B11&gt;W$2,0,IF(Datos!$C$4=1,IFERROR(MAX(Stock!W11-Datos!$C$6,0),0),IFERROR(MAX(Datos!$C$6-Stock!W11,0),0)))</f>
        <v>5449.6969990578018</v>
      </c>
      <c r="X11">
        <f>IF($B11&gt;X$2,0,IF(Datos!$C$4=1,IFERROR(MAX(Stock!X11-Datos!$C$6,0),0),IFERROR(MAX(Datos!$C$6-Stock!X11,0),0)))</f>
        <v>9806.707459981566</v>
      </c>
      <c r="Y11">
        <f>IF($B11&gt;Y$2,0,IF(Datos!$C$4=1,IFERROR(MAX(Stock!Y11-Datos!$C$6,0),0),IFERROR(MAX(Datos!$C$6-Stock!Y11,0),0)))</f>
        <v>17621.748511638714</v>
      </c>
      <c r="Z11">
        <f>IF($B11&gt;Z$2,0,IF(Datos!$C$4=1,IFERROR(MAX(Stock!Z11-Datos!$C$6,0),0),IFERROR(MAX(Datos!$C$6-Stock!Z11,0),0)))</f>
        <v>31639.356958265555</v>
      </c>
      <c r="AA11">
        <f>IF($B11&gt;AA$2,0,IF(Datos!$C$4=1,IFERROR(MAX(Stock!AA11-Datos!$C$6,0),0),IFERROR(MAX(Datos!$C$6-Stock!AA11,0),0)))</f>
        <v>56782.327451207297</v>
      </c>
      <c r="AB11">
        <f>IF($B11&gt;AB$2,0,IF(Datos!$C$4=1,IFERROR(MAX(Stock!AB11-Datos!$C$6,0),0),IFERROR(MAX(Datos!$C$6-Stock!AB11,0),0)))</f>
        <v>101880.53144341985</v>
      </c>
      <c r="AC11">
        <f>IF($B11&gt;AC$2,0,IF(Datos!$C$4=1,IFERROR(MAX(Stock!AC11-Datos!$C$6,0),0),IFERROR(MAX(Datos!$C$6-Stock!AC11,0),0)))</f>
        <v>182771.84871614104</v>
      </c>
      <c r="AD11">
        <f>IF($B11&gt;AD$2,0,IF(Datos!$C$4=1,IFERROR(MAX(Stock!AD11-Datos!$C$6,0),0),IFERROR(MAX(Datos!$C$6-Stock!AD11,0),0)))</f>
        <v>327864.21672365494</v>
      </c>
      <c r="AE11">
        <f>IF($B11&gt;AE$2,0,IF(Datos!$C$4=1,IFERROR(MAX(Stock!AE11-Datos!$C$6,0),0),IFERROR(MAX(Datos!$C$6-Stock!AE11,0),0)))</f>
        <v>588112.11432004021</v>
      </c>
      <c r="AF11">
        <f>IF($B11&gt;AF$2,0,IF(Datos!$C$4=1,IFERROR(MAX(Stock!AF11-Datos!$C$6,0),0),IFERROR(MAX(Datos!$C$6-Stock!AF11,0),0)))</f>
        <v>1054911.0861297166</v>
      </c>
      <c r="AG11">
        <f>IF($B11&gt;AG$2,0,IF(Datos!$C$4=1,IFERROR(MAX(Stock!AG11-Datos!$C$6,0),0),IFERROR(MAX(Datos!$C$6-Stock!AG11,0),0)))</f>
        <v>1892194.6226926539</v>
      </c>
      <c r="AH11">
        <f>IF($B11&gt;AH$2,0,IF(Datos!$C$4=1,IFERROR(MAX(Stock!AH11-Datos!$C$6,0),0),IFERROR(MAX(Datos!$C$6-Stock!AH11,0),0)))</f>
        <v>3394005.3869313793</v>
      </c>
      <c r="AI11">
        <f>IF($B11&gt;AI$2,0,IF(Datos!$C$4=1,IFERROR(MAX(Stock!AI11-Datos!$C$6,0),0),IFERROR(MAX(Datos!$C$6-Stock!AI11,0),0)))</f>
        <v>6087759.0236526998</v>
      </c>
      <c r="AJ11">
        <f>IF($B11&gt;AJ$2,0,IF(Datos!$C$4=1,IFERROR(MAX(Stock!AJ11-Datos!$C$6,0),0),IFERROR(MAX(Datos!$C$6-Stock!AJ11,0),0)))</f>
        <v>10919465.406465581</v>
      </c>
      <c r="AK11">
        <f>IF($B11&gt;AK$2,0,IF(Datos!$C$4=1,IFERROR(MAX(Stock!AK11-Datos!$C$6,0),0),IFERROR(MAX(Datos!$C$6-Stock!AK11,0),0)))</f>
        <v>19585954.520937603</v>
      </c>
      <c r="AL11">
        <f>IF($B11&gt;AL$2,0,IF(Datos!$C$4=1,IFERROR(MAX(Stock!AL11-Datos!$C$6,0),0),IFERROR(MAX(Datos!$C$6-Stock!AL11,0),0)))</f>
        <v>35130780.224426702</v>
      </c>
      <c r="AM11">
        <f>IF($B11&gt;AM$2,0,IF(Datos!$C$4=1,IFERROR(MAX(Stock!AM11-Datos!$C$6,0),0),IFERROR(MAX(Datos!$C$6-Stock!AM11,0),0)))</f>
        <v>63013075.229948863</v>
      </c>
      <c r="AN11">
        <f>IF($B11&gt;AN$2,0,IF(Datos!$C$4=1,IFERROR(MAX(Stock!AN11-Datos!$C$6,0),0),IFERROR(MAX(Datos!$C$6-Stock!AN11,0),0)))</f>
        <v>113024724.73982213</v>
      </c>
      <c r="AO11">
        <f>IF($B11&gt;AO$2,0,IF(Datos!$C$4=1,IFERROR(MAX(Stock!AO11-Datos!$C$6,0),0),IFERROR(MAX(Datos!$C$6-Stock!AO11,0),0)))</f>
        <v>202729144.20038107</v>
      </c>
      <c r="AP11">
        <f>IF($B11&gt;AP$2,0,IF(Datos!$C$4=1,IFERROR(MAX(Stock!AP11-Datos!$C$6,0),0),IFERROR(MAX(Datos!$C$6-Stock!AP11,0),0)))</f>
        <v>363629313.45329267</v>
      </c>
      <c r="AQ11">
        <f>IF($B11&gt;AQ$2,0,IF(Datos!$C$4=1,IFERROR(MAX(Stock!AQ11-Datos!$C$6,0),0),IFERROR(MAX(Datos!$C$6-Stock!AQ11,0),0)))</f>
        <v>652231197.52209699</v>
      </c>
      <c r="AR11">
        <f>IF($B11&gt;AR$2,0,IF(Datos!$C$4=1,IFERROR(MAX(Stock!AR11-Datos!$C$6,0),0),IFERROR(MAX(Datos!$C$6-Stock!AR11,0),0)))</f>
        <v>1169887877.9022284</v>
      </c>
      <c r="AS11">
        <f>IF($B11&gt;AS$2,0,IF(Datos!$C$4=1,IFERROR(MAX(Stock!AS11-Datos!$C$6,0),0),IFERROR(MAX(Datos!$C$6-Stock!AS11,0),0)))</f>
        <v>2098393385.088357</v>
      </c>
      <c r="AT11">
        <f>IF($B11&gt;AT$2,0,IF(Datos!$C$4=1,IFERROR(MAX(Stock!AT11-Datos!$C$6,0),0),IFERROR(MAX(Datos!$C$6-Stock!AT11,0),0)))</f>
        <v>3763826305.3046808</v>
      </c>
      <c r="AU11">
        <f>IF($B11&gt;AU$2,0,IF(Datos!$C$4=1,IFERROR(MAX(Stock!AU11-Datos!$C$6,0),0),IFERROR(MAX(Datos!$C$6-Stock!AU11,0),0)))</f>
        <v>6751064173.3341055</v>
      </c>
      <c r="AV11">
        <f>IF($B11&gt;AV$2,0,IF(Datos!$C$4=1,IFERROR(MAX(Stock!AV11-Datos!$C$6,0),0),IFERROR(MAX(Datos!$C$6-Stock!AV11,0),0)))</f>
        <v>12109184558.651033</v>
      </c>
      <c r="AW11">
        <f>IF($B11&gt;AW$2,0,IF(Datos!$C$4=1,IFERROR(MAX(Stock!AW11-Datos!$C$6,0),0),IFERROR(MAX(Datos!$C$6-Stock!AW11,0),0)))</f>
        <v>21719886930.500462</v>
      </c>
      <c r="AX11">
        <f>IF($B11&gt;AX$2,0,IF(Datos!$C$4=1,IFERROR(MAX(Stock!AX11-Datos!$C$6,0),0),IFERROR(MAX(Datos!$C$6-Stock!AX11,0),0)))</f>
        <v>38958320082.055885</v>
      </c>
      <c r="AY11">
        <f>IF($B11&gt;AY$2,0,IF(Datos!$C$4=1,IFERROR(MAX(Stock!AY11-Datos!$C$6,0),0),IFERROR(MAX(Datos!$C$6-Stock!AY11,0),0)))</f>
        <v>69878388774.544235</v>
      </c>
      <c r="AZ11">
        <f>IF($B11&gt;AZ$2,0,IF(Datos!$C$4=1,IFERROR(MAX(Stock!AZ11-Datos!$C$6,0),0),IFERROR(MAX(Datos!$C$6-Stock!AZ11,0),0)))</f>
        <v>125338803276.42334</v>
      </c>
      <c r="BA11">
        <f>IF($B11&gt;BA$2,0,IF(Datos!$C$4=1,IFERROR(MAX(Stock!BA11-Datos!$C$6,0),0),IFERROR(MAX(Datos!$C$6-Stock!BA11,0),0)))</f>
        <v>224816511664.16324</v>
      </c>
    </row>
    <row r="12" spans="1:53" x14ac:dyDescent="0.25">
      <c r="B12">
        <v>9</v>
      </c>
      <c r="D12">
        <f>IF($B12&gt;D$2,0,IF(Datos!$C$4=1,IFERROR(MAX(Stock!D12-Datos!$C$6,0),0),IFERROR(MAX(Datos!$C$6-Stock!D12,0),0)))</f>
        <v>0</v>
      </c>
      <c r="E12">
        <f>IF($B12&gt;E$2,0,IF(Datos!$C$4=1,IFERROR(MAX(Stock!E12-Datos!$C$6,0),0),IFERROR(MAX(Datos!$C$6-Stock!E12,0),0)))</f>
        <v>0</v>
      </c>
      <c r="F12">
        <f>IF($B12&gt;F$2,0,IF(Datos!$C$4=1,IFERROR(MAX(Stock!F12-Datos!$C$6,0),0),IFERROR(MAX(Datos!$C$6-Stock!F12,0),0)))</f>
        <v>0</v>
      </c>
      <c r="G12">
        <f>IF($B12&gt;G$2,0,IF(Datos!$C$4=1,IFERROR(MAX(Stock!G12-Datos!$C$6,0),0),IFERROR(MAX(Datos!$C$6-Stock!G12,0),0)))</f>
        <v>0</v>
      </c>
      <c r="H12">
        <f>IF($B12&gt;H$2,0,IF(Datos!$C$4=1,IFERROR(MAX(Stock!H12-Datos!$C$6,0),0),IFERROR(MAX(Datos!$C$6-Stock!H12,0),0)))</f>
        <v>0</v>
      </c>
      <c r="I12">
        <f>IF($B12&gt;I$2,0,IF(Datos!$C$4=1,IFERROR(MAX(Stock!I12-Datos!$C$6,0),0),IFERROR(MAX(Datos!$C$6-Stock!I12,0),0)))</f>
        <v>0</v>
      </c>
      <c r="J12">
        <f>IF($B12&gt;J$2,0,IF(Datos!$C$4=1,IFERROR(MAX(Stock!J12-Datos!$C$6,0),0),IFERROR(MAX(Datos!$C$6-Stock!J12,0),0)))</f>
        <v>0</v>
      </c>
      <c r="K12">
        <f>IF($B12&gt;K$2,0,IF(Datos!$C$4=1,IFERROR(MAX(Stock!K12-Datos!$C$6,0),0),IFERROR(MAX(Datos!$C$6-Stock!K12,0),0)))</f>
        <v>0</v>
      </c>
      <c r="L12">
        <f>IF($B12&gt;L$2,0,IF(Datos!$C$4=1,IFERROR(MAX(Stock!L12-Datos!$C$6,0),0),IFERROR(MAX(Datos!$C$6-Stock!L12,0),0)))</f>
        <v>0</v>
      </c>
      <c r="M12">
        <f>IF($B12&gt;M$2,0,IF(Datos!$C$4=1,IFERROR(MAX(Stock!M12-Datos!$C$6,0),0),IFERROR(MAX(Datos!$C$6-Stock!M12,0),0)))</f>
        <v>0</v>
      </c>
      <c r="N12">
        <f>IF($B12&gt;N$2,0,IF(Datos!$C$4=1,IFERROR(MAX(Stock!N12-Datos!$C$6,0),0),IFERROR(MAX(Datos!$C$6-Stock!N12,0),0)))</f>
        <v>0</v>
      </c>
      <c r="O12">
        <f>IF($B12&gt;O$2,0,IF(Datos!$C$4=1,IFERROR(MAX(Stock!O12-Datos!$C$6,0),0),IFERROR(MAX(Datos!$C$6-Stock!O12,0),0)))</f>
        <v>0</v>
      </c>
      <c r="P12">
        <f>IF($B12&gt;P$2,0,IF(Datos!$C$4=1,IFERROR(MAX(Stock!P12-Datos!$C$6,0),0),IFERROR(MAX(Datos!$C$6-Stock!P12,0),0)))</f>
        <v>0</v>
      </c>
      <c r="Q12">
        <f>IF($B12&gt;Q$2,0,IF(Datos!$C$4=1,IFERROR(MAX(Stock!Q12-Datos!$C$6,0),0),IFERROR(MAX(Datos!$C$6-Stock!Q12,0),0)))</f>
        <v>30.563696040751339</v>
      </c>
      <c r="R12">
        <f>IF($B12&gt;R$2,0,IF(Datos!$C$4=1,IFERROR(MAX(Stock!R12-Datos!$C$6,0),0),IFERROR(MAX(Datos!$C$6-Stock!R12,0),0)))</f>
        <v>86.568018658878657</v>
      </c>
      <c r="S12">
        <f>IF($B12&gt;S$2,0,IF(Datos!$C$4=1,IFERROR(MAX(Stock!S12-Datos!$C$6,0),0),IFERROR(MAX(Datos!$C$6-Stock!S12,0),0)))</f>
        <v>187.02131897942013</v>
      </c>
      <c r="T12">
        <f>IF($B12&gt;T$2,0,IF(Datos!$C$4=1,IFERROR(MAX(Stock!T12-Datos!$C$6,0),0),IFERROR(MAX(Datos!$C$6-Stock!T12,0),0)))</f>
        <v>367.2014385408113</v>
      </c>
      <c r="U12">
        <f>IF($B12&gt;U$2,0,IF(Datos!$C$4=1,IFERROR(MAX(Stock!U12-Datos!$C$6,0),0),IFERROR(MAX(Datos!$C$6-Stock!U12,0),0)))</f>
        <v>690.38520036410023</v>
      </c>
      <c r="V12">
        <f>IF($B12&gt;V$2,0,IF(Datos!$C$4=1,IFERROR(MAX(Stock!V12-Datos!$C$6,0),0),IFERROR(MAX(Datos!$C$6-Stock!V12,0),0)))</f>
        <v>1270.0703740697645</v>
      </c>
      <c r="W12">
        <f>IF($B12&gt;W$2,0,IF(Datos!$C$4=1,IFERROR(MAX(Stock!W12-Datos!$C$6,0),0),IFERROR(MAX(Datos!$C$6-Stock!W12,0),0)))</f>
        <v>2309.8345587502558</v>
      </c>
      <c r="X12">
        <f>IF($B12&gt;X$2,0,IF(Datos!$C$4=1,IFERROR(MAX(Stock!X12-Datos!$C$6,0),0),IFERROR(MAX(Datos!$C$6-Stock!X12,0),0)))</f>
        <v>4174.8288846068999</v>
      </c>
      <c r="Y12">
        <f>IF($B12&gt;Y$2,0,IF(Datos!$C$4=1,IFERROR(MAX(Stock!Y12-Datos!$C$6,0),0),IFERROR(MAX(Datos!$C$6-Stock!Y12,0),0)))</f>
        <v>7520.0141551942825</v>
      </c>
      <c r="Z12">
        <f>IF($B12&gt;Z$2,0,IF(Datos!$C$4=1,IFERROR(MAX(Stock!Z12-Datos!$C$6,0),0),IFERROR(MAX(Datos!$C$6-Stock!Z12,0),0)))</f>
        <v>13520.174230434604</v>
      </c>
      <c r="AA12">
        <f>IF($B12&gt;AA$2,0,IF(Datos!$C$4=1,IFERROR(MAX(Stock!AA12-Datos!$C$6,0),0),IFERROR(MAX(Datos!$C$6-Stock!AA12,0),0)))</f>
        <v>24282.484242096943</v>
      </c>
      <c r="AB12">
        <f>IF($B12&gt;AB$2,0,IF(Datos!$C$4=1,IFERROR(MAX(Stock!AB12-Datos!$C$6,0),0),IFERROR(MAX(Datos!$C$6-Stock!AB12,0),0)))</f>
        <v>43586.522023536992</v>
      </c>
      <c r="AC12">
        <f>IF($B12&gt;AC$2,0,IF(Datos!$C$4=1,IFERROR(MAX(Stock!AC12-Datos!$C$6,0),0),IFERROR(MAX(Datos!$C$6-Stock!AC12,0),0)))</f>
        <v>78211.604767246783</v>
      </c>
      <c r="AD12">
        <f>IF($B12&gt;AD$2,0,IF(Datos!$C$4=1,IFERROR(MAX(Stock!AD12-Datos!$C$6,0),0),IFERROR(MAX(Datos!$C$6-Stock!AD12,0),0)))</f>
        <v>140317.59360660941</v>
      </c>
      <c r="AE12">
        <f>IF($B12&gt;AE$2,0,IF(Datos!$C$4=1,IFERROR(MAX(Stock!AE12-Datos!$C$6,0),0),IFERROR(MAX(Datos!$C$6-Stock!AE12,0),0)))</f>
        <v>251715.27251658251</v>
      </c>
      <c r="AF12">
        <f>IF($B12&gt;AF$2,0,IF(Datos!$C$4=1,IFERROR(MAX(Stock!AF12-Datos!$C$6,0),0),IFERROR(MAX(Datos!$C$6-Stock!AF12,0),0)))</f>
        <v>451526.00089298008</v>
      </c>
      <c r="AG12">
        <f>IF($B12&gt;AG$2,0,IF(Datos!$C$4=1,IFERROR(MAX(Stock!AG12-Datos!$C$6,0),0),IFERROR(MAX(Datos!$C$6-Stock!AG12,0),0)))</f>
        <v>809920.60628302337</v>
      </c>
      <c r="AH12">
        <f>IF($B12&gt;AH$2,0,IF(Datos!$C$4=1,IFERROR(MAX(Stock!AH12-Datos!$C$6,0),0),IFERROR(MAX(Datos!$C$6-Stock!AH12,0),0)))</f>
        <v>1452762.4307256057</v>
      </c>
      <c r="AI12">
        <f>IF($B12&gt;AI$2,0,IF(Datos!$C$4=1,IFERROR(MAX(Stock!AI12-Datos!$C$6,0),0),IFERROR(MAX(Datos!$C$6-Stock!AI12,0),0)))</f>
        <v>2605808.8355478286</v>
      </c>
      <c r="AJ12">
        <f>IF($B12&gt;AJ$2,0,IF(Datos!$C$4=1,IFERROR(MAX(Stock!AJ12-Datos!$C$6,0),0),IFERROR(MAX(Datos!$C$6-Stock!AJ12,0),0)))</f>
        <v>4673994.135759579</v>
      </c>
      <c r="AK12">
        <f>IF($B12&gt;AK$2,0,IF(Datos!$C$4=1,IFERROR(MAX(Stock!AK12-Datos!$C$6,0),0),IFERROR(MAX(Datos!$C$6-Stock!AK12,0),0)))</f>
        <v>8383637.0591694638</v>
      </c>
      <c r="AL12">
        <f>IF($B12&gt;AL$2,0,IF(Datos!$C$4=1,IFERROR(MAX(Stock!AL12-Datos!$C$6,0),0),IFERROR(MAX(Datos!$C$6-Stock!AL12,0),0)))</f>
        <v>15037514.068060342</v>
      </c>
      <c r="AM12">
        <f>IF($B12&gt;AM$2,0,IF(Datos!$C$4=1,IFERROR(MAX(Stock!AM12-Datos!$C$6,0),0),IFERROR(MAX(Datos!$C$6-Stock!AM12,0),0)))</f>
        <v>26972376.846915103</v>
      </c>
      <c r="AN12">
        <f>IF($B12&gt;AN$2,0,IF(Datos!$C$4=1,IFERROR(MAX(Stock!AN12-Datos!$C$6,0),0),IFERROR(MAX(Datos!$C$6-Stock!AN12,0),0)))</f>
        <v>48379587.914953172</v>
      </c>
      <c r="AO12">
        <f>IF($B12&gt;AO$2,0,IF(Datos!$C$4=1,IFERROR(MAX(Stock!AO12-Datos!$C$6,0),0),IFERROR(MAX(Datos!$C$6-Stock!AO12,0),0)))</f>
        <v>86777070.50046353</v>
      </c>
      <c r="AP12">
        <f>IF($B12&gt;AP$2,0,IF(Datos!$C$4=1,IFERROR(MAX(Stock!AP12-Datos!$C$6,0),0),IFERROR(MAX(Datos!$C$6-Stock!AP12,0),0)))</f>
        <v>155649501.58074874</v>
      </c>
      <c r="AQ12">
        <f>IF($B12&gt;AQ$2,0,IF(Datos!$C$4=1,IFERROR(MAX(Stock!AQ12-Datos!$C$6,0),0),IFERROR(MAX(Datos!$C$6-Stock!AQ12,0),0)))</f>
        <v>279183948.20352316</v>
      </c>
      <c r="AR12">
        <f>IF($B12&gt;AR$2,0,IF(Datos!$C$4=1,IFERROR(MAX(Stock!AR12-Datos!$C$6,0),0),IFERROR(MAX(Datos!$C$6-Stock!AR12,0),0)))</f>
        <v>500764038.5680626</v>
      </c>
      <c r="AS12">
        <f>IF($B12&gt;AS$2,0,IF(Datos!$C$4=1,IFERROR(MAX(Stock!AS12-Datos!$C$6,0),0),IFERROR(MAX(Datos!$C$6-Stock!AS12,0),0)))</f>
        <v>898205705.95888007</v>
      </c>
      <c r="AT12">
        <f>IF($B12&gt;AT$2,0,IF(Datos!$C$4=1,IFERROR(MAX(Stock!AT12-Datos!$C$6,0),0),IFERROR(MAX(Datos!$C$6-Stock!AT12,0),0)))</f>
        <v>1611085092.9043434</v>
      </c>
      <c r="AU12">
        <f>IF($B12&gt;AU$2,0,IF(Datos!$C$4=1,IFERROR(MAX(Stock!AU12-Datos!$C$6,0),0),IFERROR(MAX(Datos!$C$6-Stock!AU12,0),0)))</f>
        <v>2889755806.1892009</v>
      </c>
      <c r="AV12">
        <f>IF($B12&gt;AV$2,0,IF(Datos!$C$4=1,IFERROR(MAX(Stock!AV12-Datos!$C$6,0),0),IFERROR(MAX(Datos!$C$6-Stock!AV12,0),0)))</f>
        <v>5183269720.2582111</v>
      </c>
      <c r="AW12">
        <f>IF($B12&gt;AW$2,0,IF(Datos!$C$4=1,IFERROR(MAX(Stock!AW12-Datos!$C$6,0),0),IFERROR(MAX(Datos!$C$6-Stock!AW12,0),0)))</f>
        <v>9297077926.997282</v>
      </c>
      <c r="AX12">
        <f>IF($B12&gt;AX$2,0,IF(Datos!$C$4=1,IFERROR(MAX(Stock!AX12-Datos!$C$6,0),0),IFERROR(MAX(Datos!$C$6-Stock!AX12,0),0)))</f>
        <v>16675894274.2717</v>
      </c>
      <c r="AY12">
        <f>IF($B12&gt;AY$2,0,IF(Datos!$C$4=1,IFERROR(MAX(Stock!AY12-Datos!$C$6,0),0),IFERROR(MAX(Datos!$C$6-Stock!AY12,0),0)))</f>
        <v>29911059345.314987</v>
      </c>
      <c r="AZ12">
        <f>IF($B12&gt;AZ$2,0,IF(Datos!$C$4=1,IFERROR(MAX(Stock!AZ12-Datos!$C$6,0),0),IFERROR(MAX(Datos!$C$6-Stock!AZ12,0),0)))</f>
        <v>53650584251.971359</v>
      </c>
      <c r="BA12">
        <f>IF($B12&gt;BA$2,0,IF(Datos!$C$4=1,IFERROR(MAX(Stock!BA12-Datos!$C$6,0),0),IFERROR(MAX(Datos!$C$6-Stock!BA12,0),0)))</f>
        <v>96231469323.572052</v>
      </c>
    </row>
    <row r="13" spans="1:53" x14ac:dyDescent="0.25">
      <c r="B13">
        <v>10</v>
      </c>
      <c r="D13">
        <f>IF($B13&gt;D$2,0,IF(Datos!$C$4=1,IFERROR(MAX(Stock!D13-Datos!$C$6,0),0),IFERROR(MAX(Datos!$C$6-Stock!D13,0),0)))</f>
        <v>0</v>
      </c>
      <c r="E13">
        <f>IF($B13&gt;E$2,0,IF(Datos!$C$4=1,IFERROR(MAX(Stock!E13-Datos!$C$6,0),0),IFERROR(MAX(Datos!$C$6-Stock!E13,0),0)))</f>
        <v>0</v>
      </c>
      <c r="F13">
        <f>IF($B13&gt;F$2,0,IF(Datos!$C$4=1,IFERROR(MAX(Stock!F13-Datos!$C$6,0),0),IFERROR(MAX(Datos!$C$6-Stock!F13,0),0)))</f>
        <v>0</v>
      </c>
      <c r="G13">
        <f>IF($B13&gt;G$2,0,IF(Datos!$C$4=1,IFERROR(MAX(Stock!G13-Datos!$C$6,0),0),IFERROR(MAX(Datos!$C$6-Stock!G13,0),0)))</f>
        <v>0</v>
      </c>
      <c r="H13">
        <f>IF($B13&gt;H$2,0,IF(Datos!$C$4=1,IFERROR(MAX(Stock!H13-Datos!$C$6,0),0),IFERROR(MAX(Datos!$C$6-Stock!H13,0),0)))</f>
        <v>0</v>
      </c>
      <c r="I13">
        <f>IF($B13&gt;I$2,0,IF(Datos!$C$4=1,IFERROR(MAX(Stock!I13-Datos!$C$6,0),0),IFERROR(MAX(Datos!$C$6-Stock!I13,0),0)))</f>
        <v>0</v>
      </c>
      <c r="J13">
        <f>IF($B13&gt;J$2,0,IF(Datos!$C$4=1,IFERROR(MAX(Stock!J13-Datos!$C$6,0),0),IFERROR(MAX(Datos!$C$6-Stock!J13,0),0)))</f>
        <v>0</v>
      </c>
      <c r="K13">
        <f>IF($B13&gt;K$2,0,IF(Datos!$C$4=1,IFERROR(MAX(Stock!K13-Datos!$C$6,0),0),IFERROR(MAX(Datos!$C$6-Stock!K13,0),0)))</f>
        <v>0</v>
      </c>
      <c r="L13">
        <f>IF($B13&gt;L$2,0,IF(Datos!$C$4=1,IFERROR(MAX(Stock!L13-Datos!$C$6,0),0),IFERROR(MAX(Datos!$C$6-Stock!L13,0),0)))</f>
        <v>0</v>
      </c>
      <c r="M13">
        <f>IF($B13&gt;M$2,0,IF(Datos!$C$4=1,IFERROR(MAX(Stock!M13-Datos!$C$6,0),0),IFERROR(MAX(Datos!$C$6-Stock!M13,0),0)))</f>
        <v>0</v>
      </c>
      <c r="N13">
        <f>IF($B13&gt;N$2,0,IF(Datos!$C$4=1,IFERROR(MAX(Stock!N13-Datos!$C$6,0),0),IFERROR(MAX(Datos!$C$6-Stock!N13,0),0)))</f>
        <v>0</v>
      </c>
      <c r="O13">
        <f>IF($B13&gt;O$2,0,IF(Datos!$C$4=1,IFERROR(MAX(Stock!O13-Datos!$C$6,0),0),IFERROR(MAX(Datos!$C$6-Stock!O13,0),0)))</f>
        <v>0</v>
      </c>
      <c r="P13">
        <f>IF($B13&gt;P$2,0,IF(Datos!$C$4=1,IFERROR(MAX(Stock!P13-Datos!$C$6,0),0),IFERROR(MAX(Datos!$C$6-Stock!P13,0),0)))</f>
        <v>0</v>
      </c>
      <c r="Q13">
        <f>IF($B13&gt;Q$2,0,IF(Datos!$C$4=1,IFERROR(MAX(Stock!Q13-Datos!$C$6,0),0),IFERROR(MAX(Datos!$C$6-Stock!Q13,0),0)))</f>
        <v>0</v>
      </c>
      <c r="R13">
        <f>IF($B13&gt;R$2,0,IF(Datos!$C$4=1,IFERROR(MAX(Stock!R13-Datos!$C$6,0),0),IFERROR(MAX(Datos!$C$6-Stock!R13,0),0)))</f>
        <v>14.176743147795882</v>
      </c>
      <c r="S13">
        <f>IF($B13&gt;S$2,0,IF(Datos!$C$4=1,IFERROR(MAX(Stock!S13-Datos!$C$6,0),0),IFERROR(MAX(Datos!$C$6-Stock!S13,0),0)))</f>
        <v>57.175224971881931</v>
      </c>
      <c r="T13">
        <f>IF($B13&gt;T$2,0,IF(Datos!$C$4=1,IFERROR(MAX(Stock!T13-Datos!$C$6,0),0),IFERROR(MAX(Datos!$C$6-Stock!T13,0),0)))</f>
        <v>134.30033257213327</v>
      </c>
      <c r="U13">
        <f>IF($B13&gt;U$2,0,IF(Datos!$C$4=1,IFERROR(MAX(Stock!U13-Datos!$C$6,0),0),IFERROR(MAX(Datos!$C$6-Stock!U13,0),0)))</f>
        <v>272.63736146272907</v>
      </c>
      <c r="V13">
        <f>IF($B13&gt;V$2,0,IF(Datos!$C$4=1,IFERROR(MAX(Stock!V13-Datos!$C$6,0),0),IFERROR(MAX(Datos!$C$6-Stock!V13,0),0)))</f>
        <v>520.76840669209309</v>
      </c>
      <c r="W13">
        <f>IF($B13&gt;W$2,0,IF(Datos!$C$4=1,IFERROR(MAX(Stock!W13-Datos!$C$6,0),0),IFERROR(MAX(Datos!$C$6-Stock!W13,0),0)))</f>
        <v>965.83373808148349</v>
      </c>
      <c r="X13">
        <f>IF($B13&gt;X$2,0,IF(Datos!$C$4=1,IFERROR(MAX(Stock!X13-Datos!$C$6,0),0),IFERROR(MAX(Datos!$C$6-Stock!X13,0),0)))</f>
        <v>1764.134285365466</v>
      </c>
      <c r="Y13">
        <f>IF($B13&gt;Y$2,0,IF(Datos!$C$4=1,IFERROR(MAX(Stock!Y13-Datos!$C$6,0),0),IFERROR(MAX(Datos!$C$6-Stock!Y13,0),0)))</f>
        <v>3196.0224124511105</v>
      </c>
      <c r="Z13">
        <f>IF($B13&gt;Z$2,0,IF(Datos!$C$4=1,IFERROR(MAX(Stock!Z13-Datos!$C$6,0),0),IFERROR(MAX(Datos!$C$6-Stock!Z13,0),0)))</f>
        <v>5764.3578789173162</v>
      </c>
      <c r="AA13">
        <f>IF($B13&gt;AA$2,0,IF(Datos!$C$4=1,IFERROR(MAX(Stock!AA13-Datos!$C$6,0),0),IFERROR(MAX(Datos!$C$6-Stock!AA13,0),0)))</f>
        <v>10371.105391890891</v>
      </c>
      <c r="AB13">
        <f>IF($B13&gt;AB$2,0,IF(Datos!$C$4=1,IFERROR(MAX(Stock!AB13-Datos!$C$6,0),0),IFERROR(MAX(Datos!$C$6-Stock!AB13,0),0)))</f>
        <v>18634.092421964469</v>
      </c>
      <c r="AC13">
        <f>IF($B13&gt;AC$2,0,IF(Datos!$C$4=1,IFERROR(MAX(Stock!AC13-Datos!$C$6,0),0),IFERROR(MAX(Datos!$C$6-Stock!AC13,0),0)))</f>
        <v>33455.168347415514</v>
      </c>
      <c r="AD13">
        <f>IF($B13&gt;AD$2,0,IF(Datos!$C$4=1,IFERROR(MAX(Stock!AD13-Datos!$C$6,0),0),IFERROR(MAX(Datos!$C$6-Stock!AD13,0),0)))</f>
        <v>60039.294740026889</v>
      </c>
      <c r="AE13">
        <f>IF($B13&gt;AE$2,0,IF(Datos!$C$4=1,IFERROR(MAX(Stock!AE13-Datos!$C$6,0),0),IFERROR(MAX(Datos!$C$6-Stock!AE13,0),0)))</f>
        <v>107722.4575288195</v>
      </c>
      <c r="AF13">
        <f>IF($B13&gt;AF$2,0,IF(Datos!$C$4=1,IFERROR(MAX(Stock!AF13-Datos!$C$6,0),0),IFERROR(MAX(Datos!$C$6-Stock!AF13,0),0)))</f>
        <v>193250.33909104485</v>
      </c>
      <c r="AG13">
        <f>IF($B13&gt;AG$2,0,IF(Datos!$C$4=1,IFERROR(MAX(Stock!AG13-Datos!$C$6,0),0),IFERROR(MAX(Datos!$C$6-Stock!AG13,0),0)))</f>
        <v>346659.17560055089</v>
      </c>
      <c r="AH13">
        <f>IF($B13&gt;AH$2,0,IF(Datos!$C$4=1,IFERROR(MAX(Stock!AH13-Datos!$C$6,0),0),IFERROR(MAX(Datos!$C$6-Stock!AH13,0),0)))</f>
        <v>621824.07725987863</v>
      </c>
      <c r="AI13">
        <f>IF($B13&gt;AI$2,0,IF(Datos!$C$4=1,IFERROR(MAX(Stock!AI13-Datos!$C$6,0),0),IFERROR(MAX(Datos!$C$6-Stock!AI13,0),0)))</f>
        <v>1115379.2389307362</v>
      </c>
      <c r="AJ13">
        <f>IF($B13&gt;AJ$2,0,IF(Datos!$C$4=1,IFERROR(MAX(Stock!AJ13-Datos!$C$6,0),0),IFERROR(MAX(Datos!$C$6-Stock!AJ13,0),0)))</f>
        <v>2000654.5634469984</v>
      </c>
      <c r="AK13">
        <f>IF($B13&gt;AK$2,0,IF(Datos!$C$4=1,IFERROR(MAX(Stock!AK13-Datos!$C$6,0),0),IFERROR(MAX(Datos!$C$6-Stock!AK13,0),0)))</f>
        <v>3588546.7810954386</v>
      </c>
      <c r="AL13">
        <f>IF($B13&gt;AL$2,0,IF(Datos!$C$4=1,IFERROR(MAX(Stock!AL13-Datos!$C$6,0),0),IFERROR(MAX(Datos!$C$6-Stock!AL13,0),0)))</f>
        <v>6436702.1798085356</v>
      </c>
      <c r="AM13">
        <f>IF($B13&gt;AM$2,0,IF(Datos!$C$4=1,IFERROR(MAX(Stock!AM13-Datos!$C$6,0),0),IFERROR(MAX(Datos!$C$6-Stock!AM13,0),0)))</f>
        <v>11545354.445408696</v>
      </c>
      <c r="AN13">
        <f>IF($B13&gt;AN$2,0,IF(Datos!$C$4=1,IFERROR(MAX(Stock!AN13-Datos!$C$6,0),0),IFERROR(MAX(Datos!$C$6-Stock!AN13,0),0)))</f>
        <v>20708593.214829016</v>
      </c>
      <c r="AO13">
        <f>IF($B13&gt;AO$2,0,IF(Datos!$C$4=1,IFERROR(MAX(Stock!AO13-Datos!$C$6,0),0),IFERROR(MAX(Datos!$C$6-Stock!AO13,0),0)))</f>
        <v>37144424.111129709</v>
      </c>
      <c r="AP13">
        <f>IF($B13&gt;AP$2,0,IF(Datos!$C$4=1,IFERROR(MAX(Stock!AP13-Datos!$C$6,0),0),IFERROR(MAX(Datos!$C$6-Stock!AP13,0),0)))</f>
        <v>66624888.829924926</v>
      </c>
      <c r="AQ13">
        <f>IF($B13&gt;AQ$2,0,IF(Datos!$C$4=1,IFERROR(MAX(Stock!AQ13-Datos!$C$6,0),0),IFERROR(MAX(Datos!$C$6-Stock!AQ13,0),0)))</f>
        <v>119503128.17903765</v>
      </c>
      <c r="AR13">
        <f>IF($B13&gt;AR$2,0,IF(Datos!$C$4=1,IFERROR(MAX(Stock!AR13-Datos!$C$6,0),0),IFERROR(MAX(Datos!$C$6-Stock!AR13,0),0)))</f>
        <v>214349265.21701312</v>
      </c>
      <c r="AS13">
        <f>IF($B13&gt;AS$2,0,IF(Datos!$C$4=1,IFERROR(MAX(Stock!AS13-Datos!$C$6,0),0),IFERROR(MAX(Datos!$C$6-Stock!AS13,0),0)))</f>
        <v>384471981.51311427</v>
      </c>
      <c r="AT13">
        <f>IF($B13&gt;AT$2,0,IF(Datos!$C$4=1,IFERROR(MAX(Stock!AT13-Datos!$C$6,0),0),IFERROR(MAX(Datos!$C$6-Stock!AT13,0),0)))</f>
        <v>689616075.97819173</v>
      </c>
      <c r="AU13">
        <f>IF($B13&gt;AU$2,0,IF(Datos!$C$4=1,IFERROR(MAX(Stock!AU13-Datos!$C$6,0),0),IFERROR(MAX(Datos!$C$6-Stock!AU13,0),0)))</f>
        <v>1236944030.8460631</v>
      </c>
      <c r="AV13">
        <f>IF($B13&gt;AV$2,0,IF(Datos!$C$4=1,IFERROR(MAX(Stock!AV13-Datos!$C$6,0),0),IFERROR(MAX(Datos!$C$6-Stock!AV13,0),0)))</f>
        <v>2218670027.2314568</v>
      </c>
      <c r="AW13">
        <f>IF($B13&gt;AW$2,0,IF(Datos!$C$4=1,IFERROR(MAX(Stock!AW13-Datos!$C$6,0),0),IFERROR(MAX(Datos!$C$6-Stock!AW13,0),0)))</f>
        <v>3979562967.9392962</v>
      </c>
      <c r="AX13">
        <f>IF($B13&gt;AX$2,0,IF(Datos!$C$4=1,IFERROR(MAX(Stock!AX13-Datos!$C$6,0),0),IFERROR(MAX(Datos!$C$6-Stock!AX13,0),0)))</f>
        <v>7138024656.8945618</v>
      </c>
      <c r="AY13">
        <f>IF($B13&gt;AY$2,0,IF(Datos!$C$4=1,IFERROR(MAX(Stock!AY13-Datos!$C$6,0),0),IFERROR(MAX(Datos!$C$6-Stock!AY13,0),0)))</f>
        <v>12803264155.548054</v>
      </c>
      <c r="AZ13">
        <f>IF($B13&gt;AZ$2,0,IF(Datos!$C$4=1,IFERROR(MAX(Stock!AZ13-Datos!$C$6,0),0),IFERROR(MAX(Datos!$C$6-Stock!AZ13,0),0)))</f>
        <v>22964837015.315689</v>
      </c>
      <c r="BA13">
        <f>IF($B13&gt;BA$2,0,IF(Datos!$C$4=1,IFERROR(MAX(Stock!BA13-Datos!$C$6,0),0),IFERROR(MAX(Datos!$C$6-Stock!BA13,0),0)))</f>
        <v>41191350300.21888</v>
      </c>
    </row>
    <row r="14" spans="1:53" x14ac:dyDescent="0.25">
      <c r="B14">
        <v>11</v>
      </c>
      <c r="D14">
        <f>IF($B14&gt;D$2,0,IF(Datos!$C$4=1,IFERROR(MAX(Stock!D14-Datos!$C$6,0),0),IFERROR(MAX(Datos!$C$6-Stock!D14,0),0)))</f>
        <v>0</v>
      </c>
      <c r="E14">
        <f>IF($B14&gt;E$2,0,IF(Datos!$C$4=1,IFERROR(MAX(Stock!E14-Datos!$C$6,0),0),IFERROR(MAX(Datos!$C$6-Stock!E14,0),0)))</f>
        <v>0</v>
      </c>
      <c r="F14">
        <f>IF($B14&gt;F$2,0,IF(Datos!$C$4=1,IFERROR(MAX(Stock!F14-Datos!$C$6,0),0),IFERROR(MAX(Datos!$C$6-Stock!F14,0),0)))</f>
        <v>0</v>
      </c>
      <c r="G14">
        <f>IF($B14&gt;G$2,0,IF(Datos!$C$4=1,IFERROR(MAX(Stock!G14-Datos!$C$6,0),0),IFERROR(MAX(Datos!$C$6-Stock!G14,0),0)))</f>
        <v>0</v>
      </c>
      <c r="H14">
        <f>IF($B14&gt;H$2,0,IF(Datos!$C$4=1,IFERROR(MAX(Stock!H14-Datos!$C$6,0),0),IFERROR(MAX(Datos!$C$6-Stock!H14,0),0)))</f>
        <v>0</v>
      </c>
      <c r="I14">
        <f>IF($B14&gt;I$2,0,IF(Datos!$C$4=1,IFERROR(MAX(Stock!I14-Datos!$C$6,0),0),IFERROR(MAX(Datos!$C$6-Stock!I14,0),0)))</f>
        <v>0</v>
      </c>
      <c r="J14">
        <f>IF($B14&gt;J$2,0,IF(Datos!$C$4=1,IFERROR(MAX(Stock!J14-Datos!$C$6,0),0),IFERROR(MAX(Datos!$C$6-Stock!J14,0),0)))</f>
        <v>0</v>
      </c>
      <c r="K14">
        <f>IF($B14&gt;K$2,0,IF(Datos!$C$4=1,IFERROR(MAX(Stock!K14-Datos!$C$6,0),0),IFERROR(MAX(Datos!$C$6-Stock!K14,0),0)))</f>
        <v>0</v>
      </c>
      <c r="L14">
        <f>IF($B14&gt;L$2,0,IF(Datos!$C$4=1,IFERROR(MAX(Stock!L14-Datos!$C$6,0),0),IFERROR(MAX(Datos!$C$6-Stock!L14,0),0)))</f>
        <v>0</v>
      </c>
      <c r="M14">
        <f>IF($B14&gt;M$2,0,IF(Datos!$C$4=1,IFERROR(MAX(Stock!M14-Datos!$C$6,0),0),IFERROR(MAX(Datos!$C$6-Stock!M14,0),0)))</f>
        <v>0</v>
      </c>
      <c r="N14">
        <f>IF($B14&gt;N$2,0,IF(Datos!$C$4=1,IFERROR(MAX(Stock!N14-Datos!$C$6,0),0),IFERROR(MAX(Datos!$C$6-Stock!N14,0),0)))</f>
        <v>0</v>
      </c>
      <c r="O14">
        <f>IF($B14&gt;O$2,0,IF(Datos!$C$4=1,IFERROR(MAX(Stock!O14-Datos!$C$6,0),0),IFERROR(MAX(Datos!$C$6-Stock!O14,0),0)))</f>
        <v>0</v>
      </c>
      <c r="P14">
        <f>IF($B14&gt;P$2,0,IF(Datos!$C$4=1,IFERROR(MAX(Stock!P14-Datos!$C$6,0),0),IFERROR(MAX(Datos!$C$6-Stock!P14,0),0)))</f>
        <v>0</v>
      </c>
      <c r="Q14">
        <f>IF($B14&gt;Q$2,0,IF(Datos!$C$4=1,IFERROR(MAX(Stock!Q14-Datos!$C$6,0),0),IFERROR(MAX(Datos!$C$6-Stock!Q14,0),0)))</f>
        <v>0</v>
      </c>
      <c r="R14">
        <f>IF($B14&gt;R$2,0,IF(Datos!$C$4=1,IFERROR(MAX(Stock!R14-Datos!$C$6,0),0),IFERROR(MAX(Datos!$C$6-Stock!R14,0),0)))</f>
        <v>0</v>
      </c>
      <c r="S14">
        <f>IF($B14&gt;S$2,0,IF(Datos!$C$4=1,IFERROR(MAX(Stock!S14-Datos!$C$6,0),0),IFERROR(MAX(Datos!$C$6-Stock!S14,0),0)))</f>
        <v>1.5953197293858068</v>
      </c>
      <c r="T14">
        <f>IF($B14&gt;T$2,0,IF(Datos!$C$4=1,IFERROR(MAX(Stock!T14-Datos!$C$6,0),0),IFERROR(MAX(Datos!$C$6-Stock!T14,0),0)))</f>
        <v>34.608297170127514</v>
      </c>
      <c r="U14">
        <f>IF($B14&gt;U$2,0,IF(Datos!$C$4=1,IFERROR(MAX(Stock!U14-Datos!$C$6,0),0),IFERROR(MAX(Datos!$C$6-Stock!U14,0),0)))</f>
        <v>93.822700314371417</v>
      </c>
      <c r="V14">
        <f>IF($B14&gt;V$2,0,IF(Datos!$C$4=1,IFERROR(MAX(Stock!V14-Datos!$C$6,0),0),IFERROR(MAX(Datos!$C$6-Stock!V14,0),0)))</f>
        <v>200.03382731807571</v>
      </c>
      <c r="W14">
        <f>IF($B14&gt;W$2,0,IF(Datos!$C$4=1,IFERROR(MAX(Stock!W14-Datos!$C$6,0),0),IFERROR(MAX(Datos!$C$6-Stock!W14,0),0)))</f>
        <v>390.54159063906059</v>
      </c>
      <c r="X14">
        <f>IF($B14&gt;X$2,0,IF(Datos!$C$4=1,IFERROR(MAX(Stock!X14-Datos!$C$6,0),0),IFERROR(MAX(Datos!$C$6-Stock!X14,0),0)))</f>
        <v>732.24974221811885</v>
      </c>
      <c r="Y14">
        <f>IF($B14&gt;Y$2,0,IF(Datos!$C$4=1,IFERROR(MAX(Stock!Y14-Datos!$C$6,0),0),IFERROR(MAX(Datos!$C$6-Stock!Y14,0),0)))</f>
        <v>1345.1615670178319</v>
      </c>
      <c r="Z14">
        <f>IF($B14&gt;Z$2,0,IF(Datos!$C$4=1,IFERROR(MAX(Stock!Z14-Datos!$C$6,0),0),IFERROR(MAX(Datos!$C$6-Stock!Z14,0),0)))</f>
        <v>2444.5234149671942</v>
      </c>
      <c r="AA14">
        <f>IF($B14&gt;AA$2,0,IF(Datos!$C$4=1,IFERROR(MAX(Stock!AA14-Datos!$C$6,0),0),IFERROR(MAX(Datos!$C$6-Stock!AA14,0),0)))</f>
        <v>4416.4163101998483</v>
      </c>
      <c r="AB14">
        <f>IF($B14&gt;AB$2,0,IF(Datos!$C$4=1,IFERROR(MAX(Stock!AB14-Datos!$C$6,0),0),IFERROR(MAX(Datos!$C$6-Stock!AB14,0),0)))</f>
        <v>7953.3423891992006</v>
      </c>
      <c r="AC14">
        <f>IF($B14&gt;AC$2,0,IF(Datos!$C$4=1,IFERROR(MAX(Stock!AC14-Datos!$C$6,0),0),IFERROR(MAX(Datos!$C$6-Stock!AC14,0),0)))</f>
        <v>14297.422292600733</v>
      </c>
      <c r="AD14">
        <f>IF($B14&gt;AD$2,0,IF(Datos!$C$4=1,IFERROR(MAX(Stock!AD14-Datos!$C$6,0),0),IFERROR(MAX(Datos!$C$6-Stock!AD14,0),0)))</f>
        <v>25676.61114806297</v>
      </c>
      <c r="AE14">
        <f>IF($B14&gt;AE$2,0,IF(Datos!$C$4=1,IFERROR(MAX(Stock!AE14-Datos!$C$6,0),0),IFERROR(MAX(Datos!$C$6-Stock!AE14,0),0)))</f>
        <v>46087.126302332836</v>
      </c>
      <c r="AF14">
        <f>IF($B14&gt;AF$2,0,IF(Datos!$C$4=1,IFERROR(MAX(Stock!AF14-Datos!$C$6,0),0),IFERROR(MAX(Datos!$C$6-Stock!AF14,0),0)))</f>
        <v>82696.86484821426</v>
      </c>
      <c r="AG14">
        <f>IF($B14&gt;AG$2,0,IF(Datos!$C$4=1,IFERROR(MAX(Stock!AG14-Datos!$C$6,0),0),IFERROR(MAX(Datos!$C$6-Stock!AG14,0),0)))</f>
        <v>148362.67221601171</v>
      </c>
      <c r="AH14">
        <f>IF($B14&gt;AH$2,0,IF(Datos!$C$4=1,IFERROR(MAX(Stock!AH14-Datos!$C$6,0),0),IFERROR(MAX(Datos!$C$6-Stock!AH14,0),0)))</f>
        <v>266145.49254018959</v>
      </c>
      <c r="AI14">
        <f>IF($B14&gt;AI$2,0,IF(Datos!$C$4=1,IFERROR(MAX(Stock!AI14-Datos!$C$6,0),0),IFERROR(MAX(Datos!$C$6-Stock!AI14,0),0)))</f>
        <v>477409.06059190613</v>
      </c>
      <c r="AJ14">
        <f>IF($B14&gt;AJ$2,0,IF(Datos!$C$4=1,IFERROR(MAX(Stock!AJ14-Datos!$C$6,0),0),IFERROR(MAX(Datos!$C$6-Stock!AJ14,0),0)))</f>
        <v>856346.28643773927</v>
      </c>
      <c r="AK14">
        <f>IF($B14&gt;AK$2,0,IF(Datos!$C$4=1,IFERROR(MAX(Stock!AK14-Datos!$C$6,0),0),IFERROR(MAX(Datos!$C$6-Stock!AK14,0),0)))</f>
        <v>1536034.8028059998</v>
      </c>
      <c r="AL14">
        <f>IF($B14&gt;AL$2,0,IF(Datos!$C$4=1,IFERROR(MAX(Stock!AL14-Datos!$C$6,0),0),IFERROR(MAX(Datos!$C$6-Stock!AL14,0),0)))</f>
        <v>2755172.0312788682</v>
      </c>
      <c r="AM14">
        <f>IF($B14&gt;AM$2,0,IF(Datos!$C$4=1,IFERROR(MAX(Stock!AM14-Datos!$C$6,0),0),IFERROR(MAX(Datos!$C$6-Stock!AM14,0),0)))</f>
        <v>4941902.490975529</v>
      </c>
      <c r="AN14">
        <f>IF($B14&gt;AN$2,0,IF(Datos!$C$4=1,IFERROR(MAX(Stock!AN14-Datos!$C$6,0),0),IFERROR(MAX(Datos!$C$6-Stock!AN14,0),0)))</f>
        <v>8864176.3676866852</v>
      </c>
      <c r="AO14">
        <f>IF($B14&gt;AO$2,0,IF(Datos!$C$4=1,IFERROR(MAX(Stock!AO14-Datos!$C$6,0),0),IFERROR(MAX(Datos!$C$6-Stock!AO14,0),0)))</f>
        <v>15899443.240982454</v>
      </c>
      <c r="AP14">
        <f>IF($B14&gt;AP$2,0,IF(Datos!$C$4=1,IFERROR(MAX(Stock!AP14-Datos!$C$6,0),0),IFERROR(MAX(Datos!$C$6-Stock!AP14,0),0)))</f>
        <v>28518393.761590827</v>
      </c>
      <c r="AQ14">
        <f>IF($B14&gt;AQ$2,0,IF(Datos!$C$4=1,IFERROR(MAX(Stock!AQ14-Datos!$C$6,0),0),IFERROR(MAX(Datos!$C$6-Stock!AQ14,0),0)))</f>
        <v>51152632.818817243</v>
      </c>
      <c r="AR14">
        <f>IF($B14&gt;AR$2,0,IF(Datos!$C$4=1,IFERROR(MAX(Stock!AR14-Datos!$C$6,0),0),IFERROR(MAX(Datos!$C$6-Stock!AR14,0),0)))</f>
        <v>91750999.288596749</v>
      </c>
      <c r="AS14">
        <f>IF($B14&gt;AS$2,0,IF(Datos!$C$4=1,IFERROR(MAX(Stock!AS14-Datos!$C$6,0),0),IFERROR(MAX(Datos!$C$6-Stock!AS14,0),0)))</f>
        <v>164571090.82546198</v>
      </c>
      <c r="AT14">
        <f>IF($B14&gt;AT$2,0,IF(Datos!$C$4=1,IFERROR(MAX(Stock!AT14-Datos!$C$6,0),0),IFERROR(MAX(Datos!$C$6-Stock!AT14,0),0)))</f>
        <v>295186339.48047107</v>
      </c>
      <c r="AU14">
        <f>IF($B14&gt;AU$2,0,IF(Datos!$C$4=1,IFERROR(MAX(Stock!AU14-Datos!$C$6,0),0),IFERROR(MAX(Datos!$C$6-Stock!AU14,0),0)))</f>
        <v>529467055.43608105</v>
      </c>
      <c r="AV14">
        <f>IF($B14&gt;AV$2,0,IF(Datos!$C$4=1,IFERROR(MAX(Stock!AV14-Datos!$C$6,0),0),IFERROR(MAX(Datos!$C$6-Stock!AV14,0),0)))</f>
        <v>949689460.04709315</v>
      </c>
      <c r="AW14">
        <f>IF($B14&gt;AW$2,0,IF(Datos!$C$4=1,IFERROR(MAX(Stock!AW14-Datos!$C$6,0),0),IFERROR(MAX(Datos!$C$6-Stock!AW14,0),0)))</f>
        <v>1703429982.8928568</v>
      </c>
      <c r="AX14">
        <f>IF($B14&gt;AX$2,0,IF(Datos!$C$4=1,IFERROR(MAX(Stock!AX14-Datos!$C$6,0),0),IFERROR(MAX(Datos!$C$6-Stock!AX14,0),0)))</f>
        <v>3055392109.4855638</v>
      </c>
      <c r="AY14">
        <f>IF($B14&gt;AY$2,0,IF(Datos!$C$4=1,IFERROR(MAX(Stock!AY14-Datos!$C$6,0),0),IFERROR(MAX(Datos!$C$6-Stock!AY14,0),0)))</f>
        <v>5480366668.1575184</v>
      </c>
      <c r="AZ14">
        <f>IF($B14&gt;AZ$2,0,IF(Datos!$C$4=1,IFERROR(MAX(Stock!AZ14-Datos!$C$6,0),0),IFERROR(MAX(Datos!$C$6-Stock!AZ14,0),0)))</f>
        <v>9829971952.6092548</v>
      </c>
      <c r="BA14">
        <f>IF($B14&gt;BA$2,0,IF(Datos!$C$4=1,IFERROR(MAX(Stock!BA14-Datos!$C$6,0),0),IFERROR(MAX(Datos!$C$6-Stock!BA14,0),0)))</f>
        <v>17631730557.817699</v>
      </c>
    </row>
    <row r="15" spans="1:53" x14ac:dyDescent="0.25">
      <c r="B15">
        <v>12</v>
      </c>
      <c r="D15">
        <f>IF($B15&gt;D$2,0,IF(Datos!$C$4=1,IFERROR(MAX(Stock!D15-Datos!$C$6,0),0),IFERROR(MAX(Datos!$C$6-Stock!D15,0),0)))</f>
        <v>0</v>
      </c>
      <c r="E15">
        <f>IF($B15&gt;E$2,0,IF(Datos!$C$4=1,IFERROR(MAX(Stock!E15-Datos!$C$6,0),0),IFERROR(MAX(Datos!$C$6-Stock!E15,0),0)))</f>
        <v>0</v>
      </c>
      <c r="F15">
        <f>IF($B15&gt;F$2,0,IF(Datos!$C$4=1,IFERROR(MAX(Stock!F15-Datos!$C$6,0),0),IFERROR(MAX(Datos!$C$6-Stock!F15,0),0)))</f>
        <v>0</v>
      </c>
      <c r="G15">
        <f>IF($B15&gt;G$2,0,IF(Datos!$C$4=1,IFERROR(MAX(Stock!G15-Datos!$C$6,0),0),IFERROR(MAX(Datos!$C$6-Stock!G15,0),0)))</f>
        <v>0</v>
      </c>
      <c r="H15">
        <f>IF($B15&gt;H$2,0,IF(Datos!$C$4=1,IFERROR(MAX(Stock!H15-Datos!$C$6,0),0),IFERROR(MAX(Datos!$C$6-Stock!H15,0),0)))</f>
        <v>0</v>
      </c>
      <c r="I15">
        <f>IF($B15&gt;I$2,0,IF(Datos!$C$4=1,IFERROR(MAX(Stock!I15-Datos!$C$6,0),0),IFERROR(MAX(Datos!$C$6-Stock!I15,0),0)))</f>
        <v>0</v>
      </c>
      <c r="J15">
        <f>IF($B15&gt;J$2,0,IF(Datos!$C$4=1,IFERROR(MAX(Stock!J15-Datos!$C$6,0),0),IFERROR(MAX(Datos!$C$6-Stock!J15,0),0)))</f>
        <v>0</v>
      </c>
      <c r="K15">
        <f>IF($B15&gt;K$2,0,IF(Datos!$C$4=1,IFERROR(MAX(Stock!K15-Datos!$C$6,0),0),IFERROR(MAX(Datos!$C$6-Stock!K15,0),0)))</f>
        <v>0</v>
      </c>
      <c r="L15">
        <f>IF($B15&gt;L$2,0,IF(Datos!$C$4=1,IFERROR(MAX(Stock!L15-Datos!$C$6,0),0),IFERROR(MAX(Datos!$C$6-Stock!L15,0),0)))</f>
        <v>0</v>
      </c>
      <c r="M15">
        <f>IF($B15&gt;M$2,0,IF(Datos!$C$4=1,IFERROR(MAX(Stock!M15-Datos!$C$6,0),0),IFERROR(MAX(Datos!$C$6-Stock!M15,0),0)))</f>
        <v>0</v>
      </c>
      <c r="N15">
        <f>IF($B15&gt;N$2,0,IF(Datos!$C$4=1,IFERROR(MAX(Stock!N15-Datos!$C$6,0),0),IFERROR(MAX(Datos!$C$6-Stock!N15,0),0)))</f>
        <v>0</v>
      </c>
      <c r="O15">
        <f>IF($B15&gt;O$2,0,IF(Datos!$C$4=1,IFERROR(MAX(Stock!O15-Datos!$C$6,0),0),IFERROR(MAX(Datos!$C$6-Stock!O15,0),0)))</f>
        <v>0</v>
      </c>
      <c r="P15">
        <f>IF($B15&gt;P$2,0,IF(Datos!$C$4=1,IFERROR(MAX(Stock!P15-Datos!$C$6,0),0),IFERROR(MAX(Datos!$C$6-Stock!P15,0),0)))</f>
        <v>0</v>
      </c>
      <c r="Q15">
        <f>IF($B15&gt;Q$2,0,IF(Datos!$C$4=1,IFERROR(MAX(Stock!Q15-Datos!$C$6,0),0),IFERROR(MAX(Datos!$C$6-Stock!Q15,0),0)))</f>
        <v>0</v>
      </c>
      <c r="R15">
        <f>IF($B15&gt;R$2,0,IF(Datos!$C$4=1,IFERROR(MAX(Stock!R15-Datos!$C$6,0),0),IFERROR(MAX(Datos!$C$6-Stock!R15,0),0)))</f>
        <v>0</v>
      </c>
      <c r="S15">
        <f>IF($B15&gt;S$2,0,IF(Datos!$C$4=1,IFERROR(MAX(Stock!S15-Datos!$C$6,0),0),IFERROR(MAX(Datos!$C$6-Stock!S15,0),0)))</f>
        <v>0</v>
      </c>
      <c r="T15">
        <f>IF($B15&gt;T$2,0,IF(Datos!$C$4=1,IFERROR(MAX(Stock!T15-Datos!$C$6,0),0),IFERROR(MAX(Datos!$C$6-Stock!T15,0),0)))</f>
        <v>0</v>
      </c>
      <c r="U15">
        <f>IF($B15&gt;U$2,0,IF(Datos!$C$4=1,IFERROR(MAX(Stock!U15-Datos!$C$6,0),0),IFERROR(MAX(Datos!$C$6-Stock!U15,0),0)))</f>
        <v>17.282069665768404</v>
      </c>
      <c r="V15">
        <f>IF($B15&gt;V$2,0,IF(Datos!$C$4=1,IFERROR(MAX(Stock!V15-Datos!$C$6,0),0),IFERROR(MAX(Datos!$C$6-Stock!V15,0),0)))</f>
        <v>62.745157482810413</v>
      </c>
      <c r="W15">
        <f>IF($B15&gt;W$2,0,IF(Datos!$C$4=1,IFERROR(MAX(Stock!W15-Datos!$C$6,0),0),IFERROR(MAX(Datos!$C$6-Stock!W15,0),0)))</f>
        <v>144.29095610133112</v>
      </c>
      <c r="X15">
        <f>IF($B15&gt;X$2,0,IF(Datos!$C$4=1,IFERROR(MAX(Stock!X15-Datos!$C$6,0),0),IFERROR(MAX(Datos!$C$6-Stock!X15,0),0)))</f>
        <v>290.5572479795448</v>
      </c>
      <c r="Y15">
        <f>IF($B15&gt;Y$2,0,IF(Datos!$C$4=1,IFERROR(MAX(Stock!Y15-Datos!$C$6,0),0),IFERROR(MAX(Datos!$C$6-Stock!Y15,0),0)))</f>
        <v>552.91077817041639</v>
      </c>
      <c r="Z15">
        <f>IF($B15&gt;Z$2,0,IF(Datos!$C$4=1,IFERROR(MAX(Stock!Z15-Datos!$C$6,0),0),IFERROR(MAX(Datos!$C$6-Stock!Z15,0),0)))</f>
        <v>1023.4865610098573</v>
      </c>
      <c r="AA15">
        <f>IF($B15&gt;AA$2,0,IF(Datos!$C$4=1,IFERROR(MAX(Stock!AA15-Datos!$C$6,0),0),IFERROR(MAX(Datos!$C$6-Stock!AA15,0),0)))</f>
        <v>1867.5444520313583</v>
      </c>
      <c r="AB15">
        <f>IF($B15&gt;AB$2,0,IF(Datos!$C$4=1,IFERROR(MAX(Stock!AB15-Datos!$C$6,0),0),IFERROR(MAX(Datos!$C$6-Stock!AB15,0),0)))</f>
        <v>3381.5061758941092</v>
      </c>
      <c r="AC15">
        <f>IF($B15&gt;AC$2,0,IF(Datos!$C$4=1,IFERROR(MAX(Stock!AC15-Datos!$C$6,0),0),IFERROR(MAX(Datos!$C$6-Stock!AC15,0),0)))</f>
        <v>6097.0546302158118</v>
      </c>
      <c r="AD15">
        <f>IF($B15&gt;AD$2,0,IF(Datos!$C$4=1,IFERROR(MAX(Stock!AD15-Datos!$C$6,0),0),IFERROR(MAX(Datos!$C$6-Stock!AD15,0),0)))</f>
        <v>10967.853734009735</v>
      </c>
      <c r="AE15">
        <f>IF($B15&gt;AE$2,0,IF(Datos!$C$4=1,IFERROR(MAX(Stock!AE15-Datos!$C$6,0),0),IFERROR(MAX(Datos!$C$6-Stock!AE15,0),0)))</f>
        <v>19704.462308149763</v>
      </c>
      <c r="AF15">
        <f>IF($B15&gt;AF$2,0,IF(Datos!$C$4=1,IFERROR(MAX(Stock!AF15-Datos!$C$6,0),0),IFERROR(MAX(Datos!$C$6-Stock!AF15,0),0)))</f>
        <v>35375.059216629103</v>
      </c>
      <c r="AG15">
        <f>IF($B15&gt;AG$2,0,IF(Datos!$C$4=1,IFERROR(MAX(Stock!AG15-Datos!$C$6,0),0),IFERROR(MAX(Datos!$C$6-Stock!AG15,0),0)))</f>
        <v>63482.946319973948</v>
      </c>
      <c r="AH15">
        <f>IF($B15&gt;AH$2,0,IF(Datos!$C$4=1,IFERROR(MAX(Stock!AH15-Datos!$C$6,0),0),IFERROR(MAX(Datos!$C$6-Stock!AH15,0),0)))</f>
        <v>113899.23371658755</v>
      </c>
      <c r="AI15">
        <f>IF($B15&gt;AI$2,0,IF(Datos!$C$4=1,IFERROR(MAX(Stock!AI15-Datos!$C$6,0),0),IFERROR(MAX(Datos!$C$6-Stock!AI15,0),0)))</f>
        <v>204329.44021031808</v>
      </c>
      <c r="AJ15">
        <f>IF($B15&gt;AJ$2,0,IF(Datos!$C$4=1,IFERROR(MAX(Stock!AJ15-Datos!$C$6,0),0),IFERROR(MAX(Datos!$C$6-Stock!AJ15,0),0)))</f>
        <v>366531.43224053702</v>
      </c>
      <c r="AK15">
        <f>IF($B15&gt;AK$2,0,IF(Datos!$C$4=1,IFERROR(MAX(Stock!AK15-Datos!$C$6,0),0),IFERROR(MAX(Datos!$C$6-Stock!AK15,0),0)))</f>
        <v>657468.35739723453</v>
      </c>
      <c r="AL15">
        <f>IF($B15&gt;AL$2,0,IF(Datos!$C$4=1,IFERROR(MAX(Stock!AL15-Datos!$C$6,0),0),IFERROR(MAX(Datos!$C$6-Stock!AL15,0),0)))</f>
        <v>1179313.332049977</v>
      </c>
      <c r="AM15">
        <f>IF($B15&gt;AM$2,0,IF(Datos!$C$4=1,IFERROR(MAX(Stock!AM15-Datos!$C$6,0),0),IFERROR(MAX(Datos!$C$6-Stock!AM15,0),0)))</f>
        <v>2115331.259041023</v>
      </c>
      <c r="AN15">
        <f>IF($B15&gt;AN$2,0,IF(Datos!$C$4=1,IFERROR(MAX(Stock!AN15-Datos!$C$6,0),0),IFERROR(MAX(Datos!$C$6-Stock!AN15,0),0)))</f>
        <v>3794238.9849065989</v>
      </c>
      <c r="AO15">
        <f>IF($B15&gt;AO$2,0,IF(Datos!$C$4=1,IFERROR(MAX(Stock!AO15-Datos!$C$6,0),0),IFERROR(MAX(Datos!$C$6-Stock!AO15,0),0)))</f>
        <v>6805646.2140740026</v>
      </c>
      <c r="AP15">
        <f>IF($B15&gt;AP$2,0,IF(Datos!$C$4=1,IFERROR(MAX(Stock!AP15-Datos!$C$6,0),0),IFERROR(MAX(Datos!$C$6-Stock!AP15,0),0)))</f>
        <v>12207118.469022563</v>
      </c>
      <c r="AQ15">
        <f>IF($B15&gt;AQ$2,0,IF(Datos!$C$4=1,IFERROR(MAX(Stock!AQ15-Datos!$C$6,0),0),IFERROR(MAX(Datos!$C$6-Stock!AQ15,0),0)))</f>
        <v>21895579.809751187</v>
      </c>
      <c r="AR15">
        <f>IF($B15&gt;AR$2,0,IF(Datos!$C$4=1,IFERROR(MAX(Stock!AR15-Datos!$C$6,0),0),IFERROR(MAX(Datos!$C$6-Stock!AR15,0),0)))</f>
        <v>39273486.928462654</v>
      </c>
      <c r="AS15">
        <f>IF($B15&gt;AS$2,0,IF(Datos!$C$4=1,IFERROR(MAX(Stock!AS15-Datos!$C$6,0),0),IFERROR(MAX(Datos!$C$6-Stock!AS15,0),0)))</f>
        <v>70443725.958786473</v>
      </c>
      <c r="AT15">
        <f>IF($B15&gt;AT$2,0,IF(Datos!$C$4=1,IFERROR(MAX(Stock!AT15-Datos!$C$6,0),0),IFERROR(MAX(Datos!$C$6-Stock!AT15,0),0)))</f>
        <v>126352863.61100581</v>
      </c>
      <c r="AU15">
        <f>IF($B15&gt;AU$2,0,IF(Datos!$C$4=1,IFERROR(MAX(Stock!AU15-Datos!$C$6,0),0),IFERROR(MAX(Datos!$C$6-Stock!AU15,0),0)))</f>
        <v>226635433.46790886</v>
      </c>
      <c r="AV15">
        <f>IF($B15&gt;AV$2,0,IF(Datos!$C$4=1,IFERROR(MAX(Stock!AV15-Datos!$C$6,0),0),IFERROR(MAX(Datos!$C$6-Stock!AV15,0),0)))</f>
        <v>406509318.83636665</v>
      </c>
      <c r="AW15">
        <f>IF($B15&gt;AW$2,0,IF(Datos!$C$4=1,IFERROR(MAX(Stock!AW15-Datos!$C$6,0),0),IFERROR(MAX(Datos!$C$6-Stock!AW15,0),0)))</f>
        <v>729143797.42734313</v>
      </c>
      <c r="AX15">
        <f>IF($B15&gt;AX$2,0,IF(Datos!$C$4=1,IFERROR(MAX(Stock!AX15-Datos!$C$6,0),0),IFERROR(MAX(Datos!$C$6-Stock!AX15,0),0)))</f>
        <v>1307843738.0131865</v>
      </c>
      <c r="AY15">
        <f>IF($B15&gt;AY$2,0,IF(Datos!$C$4=1,IFERROR(MAX(Stock!AY15-Datos!$C$6,0),0),IFERROR(MAX(Datos!$C$6-Stock!AY15,0),0)))</f>
        <v>2345840739.1291881</v>
      </c>
      <c r="AZ15">
        <f>IF($B15&gt;AZ$2,0,IF(Datos!$C$4=1,IFERROR(MAX(Stock!AZ15-Datos!$C$6,0),0),IFERROR(MAX(Datos!$C$6-Stock!AZ15,0),0)))</f>
        <v>4207665319.9906883</v>
      </c>
      <c r="BA15">
        <f>IF($B15&gt;BA$2,0,IF(Datos!$C$4=1,IFERROR(MAX(Stock!BA15-Datos!$C$6,0),0),IFERROR(MAX(Datos!$C$6-Stock!BA15,0),0)))</f>
        <v>7547165112.5461731</v>
      </c>
    </row>
    <row r="16" spans="1:53" x14ac:dyDescent="0.25">
      <c r="B16">
        <v>13</v>
      </c>
      <c r="D16">
        <f>IF($B16&gt;D$2,0,IF(Datos!$C$4=1,IFERROR(MAX(Stock!D16-Datos!$C$6,0),0),IFERROR(MAX(Datos!$C$6-Stock!D16,0),0)))</f>
        <v>0</v>
      </c>
      <c r="E16">
        <f>IF($B16&gt;E$2,0,IF(Datos!$C$4=1,IFERROR(MAX(Stock!E16-Datos!$C$6,0),0),IFERROR(MAX(Datos!$C$6-Stock!E16,0),0)))</f>
        <v>0</v>
      </c>
      <c r="F16">
        <f>IF($B16&gt;F$2,0,IF(Datos!$C$4=1,IFERROR(MAX(Stock!F16-Datos!$C$6,0),0),IFERROR(MAX(Datos!$C$6-Stock!F16,0),0)))</f>
        <v>0</v>
      </c>
      <c r="G16">
        <f>IF($B16&gt;G$2,0,IF(Datos!$C$4=1,IFERROR(MAX(Stock!G16-Datos!$C$6,0),0),IFERROR(MAX(Datos!$C$6-Stock!G16,0),0)))</f>
        <v>0</v>
      </c>
      <c r="H16">
        <f>IF($B16&gt;H$2,0,IF(Datos!$C$4=1,IFERROR(MAX(Stock!H16-Datos!$C$6,0),0),IFERROR(MAX(Datos!$C$6-Stock!H16,0),0)))</f>
        <v>0</v>
      </c>
      <c r="I16">
        <f>IF($B16&gt;I$2,0,IF(Datos!$C$4=1,IFERROR(MAX(Stock!I16-Datos!$C$6,0),0),IFERROR(MAX(Datos!$C$6-Stock!I16,0),0)))</f>
        <v>0</v>
      </c>
      <c r="J16">
        <f>IF($B16&gt;J$2,0,IF(Datos!$C$4=1,IFERROR(MAX(Stock!J16-Datos!$C$6,0),0),IFERROR(MAX(Datos!$C$6-Stock!J16,0),0)))</f>
        <v>0</v>
      </c>
      <c r="K16">
        <f>IF($B16&gt;K$2,0,IF(Datos!$C$4=1,IFERROR(MAX(Stock!K16-Datos!$C$6,0),0),IFERROR(MAX(Datos!$C$6-Stock!K16,0),0)))</f>
        <v>0</v>
      </c>
      <c r="L16">
        <f>IF($B16&gt;L$2,0,IF(Datos!$C$4=1,IFERROR(MAX(Stock!L16-Datos!$C$6,0),0),IFERROR(MAX(Datos!$C$6-Stock!L16,0),0)))</f>
        <v>0</v>
      </c>
      <c r="M16">
        <f>IF($B16&gt;M$2,0,IF(Datos!$C$4=1,IFERROR(MAX(Stock!M16-Datos!$C$6,0),0),IFERROR(MAX(Datos!$C$6-Stock!M16,0),0)))</f>
        <v>0</v>
      </c>
      <c r="N16">
        <f>IF($B16&gt;N$2,0,IF(Datos!$C$4=1,IFERROR(MAX(Stock!N16-Datos!$C$6,0),0),IFERROR(MAX(Datos!$C$6-Stock!N16,0),0)))</f>
        <v>0</v>
      </c>
      <c r="O16">
        <f>IF($B16&gt;O$2,0,IF(Datos!$C$4=1,IFERROR(MAX(Stock!O16-Datos!$C$6,0),0),IFERROR(MAX(Datos!$C$6-Stock!O16,0),0)))</f>
        <v>0</v>
      </c>
      <c r="P16">
        <f>IF($B16&gt;P$2,0,IF(Datos!$C$4=1,IFERROR(MAX(Stock!P16-Datos!$C$6,0),0),IFERROR(MAX(Datos!$C$6-Stock!P16,0),0)))</f>
        <v>0</v>
      </c>
      <c r="Q16">
        <f>IF($B16&gt;Q$2,0,IF(Datos!$C$4=1,IFERROR(MAX(Stock!Q16-Datos!$C$6,0),0),IFERROR(MAX(Datos!$C$6-Stock!Q16,0),0)))</f>
        <v>0</v>
      </c>
      <c r="R16">
        <f>IF($B16&gt;R$2,0,IF(Datos!$C$4=1,IFERROR(MAX(Stock!R16-Datos!$C$6,0),0),IFERROR(MAX(Datos!$C$6-Stock!R16,0),0)))</f>
        <v>0</v>
      </c>
      <c r="S16">
        <f>IF($B16&gt;S$2,0,IF(Datos!$C$4=1,IFERROR(MAX(Stock!S16-Datos!$C$6,0),0),IFERROR(MAX(Datos!$C$6-Stock!S16,0),0)))</f>
        <v>0</v>
      </c>
      <c r="T16">
        <f>IF($B16&gt;T$2,0,IF(Datos!$C$4=1,IFERROR(MAX(Stock!T16-Datos!$C$6,0),0),IFERROR(MAX(Datos!$C$6-Stock!T16,0),0)))</f>
        <v>0</v>
      </c>
      <c r="U16">
        <f>IF($B16&gt;U$2,0,IF(Datos!$C$4=1,IFERROR(MAX(Stock!U16-Datos!$C$6,0),0),IFERROR(MAX(Datos!$C$6-Stock!U16,0),0)))</f>
        <v>0</v>
      </c>
      <c r="V16">
        <f>IF($B16&gt;V$2,0,IF(Datos!$C$4=1,IFERROR(MAX(Stock!V16-Datos!$C$6,0),0),IFERROR(MAX(Datos!$C$6-Stock!V16,0),0)))</f>
        <v>3.9794986569901383</v>
      </c>
      <c r="W16">
        <f>IF($B16&gt;W$2,0,IF(Datos!$C$4=1,IFERROR(MAX(Stock!W16-Datos!$C$6,0),0),IFERROR(MAX(Datos!$C$6-Stock!W16,0),0)))</f>
        <v>38.884728535356174</v>
      </c>
      <c r="X16">
        <f>IF($B16&gt;X$2,0,IF(Datos!$C$4=1,IFERROR(MAX(Stock!X16-Datos!$C$6,0),0),IFERROR(MAX(Datos!$C$6-Stock!X16,0),0)))</f>
        <v>101.49320902064855</v>
      </c>
      <c r="Y16">
        <f>IF($B16&gt;Y$2,0,IF(Datos!$C$4=1,IFERROR(MAX(Stock!Y16-Datos!$C$6,0),0),IFERROR(MAX(Datos!$C$6-Stock!Y16,0),0)))</f>
        <v>213.79219236316209</v>
      </c>
      <c r="Z16">
        <f>IF($B16&gt;Z$2,0,IF(Datos!$C$4=1,IFERROR(MAX(Stock!Z16-Datos!$C$6,0),0),IFERROR(MAX(Datos!$C$6-Stock!Z16,0),0)))</f>
        <v>415.21956389511706</v>
      </c>
      <c r="AA16">
        <f>IF($B16&gt;AA$2,0,IF(Datos!$C$4=1,IFERROR(MAX(Stock!AA16-Datos!$C$6,0),0),IFERROR(MAX(Datos!$C$6-Stock!AA16,0),0)))</f>
        <v>776.51389439251795</v>
      </c>
      <c r="AB16">
        <f>IF($B16&gt;AB$2,0,IF(Datos!$C$4=1,IFERROR(MAX(Stock!AB16-Datos!$C$6,0),0),IFERROR(MAX(Datos!$C$6-Stock!AB16,0),0)))</f>
        <v>1424.5568701648403</v>
      </c>
      <c r="AC16">
        <f>IF($B16&gt;AC$2,0,IF(Datos!$C$4=1,IFERROR(MAX(Stock!AC16-Datos!$C$6,0),0),IFERROR(MAX(Datos!$C$6-Stock!AC16,0),0)))</f>
        <v>2586.9324265974024</v>
      </c>
      <c r="AD16">
        <f>IF($B16&gt;AD$2,0,IF(Datos!$C$4=1,IFERROR(MAX(Stock!AD16-Datos!$C$6,0),0),IFERROR(MAX(Datos!$C$6-Stock!AD16,0),0)))</f>
        <v>4671.8511506707237</v>
      </c>
      <c r="AE16">
        <f>IF($B16&gt;AE$2,0,IF(Datos!$C$4=1,IFERROR(MAX(Stock!AE16-Datos!$C$6,0),0),IFERROR(MAX(Datos!$C$6-Stock!AE16,0),0)))</f>
        <v>8411.5083225167346</v>
      </c>
      <c r="AF16">
        <f>IF($B16&gt;AF$2,0,IF(Datos!$C$4=1,IFERROR(MAX(Stock!AF16-Datos!$C$6,0),0),IFERROR(MAX(Datos!$C$6-Stock!AF16,0),0)))</f>
        <v>15119.221002854045</v>
      </c>
      <c r="AG16">
        <f>IF($B16&gt;AG$2,0,IF(Datos!$C$4=1,IFERROR(MAX(Stock!AG16-Datos!$C$6,0),0),IFERROR(MAX(Datos!$C$6-Stock!AG16,0),0)))</f>
        <v>27150.64723643785</v>
      </c>
      <c r="AH16">
        <f>IF($B16&gt;AH$2,0,IF(Datos!$C$4=1,IFERROR(MAX(Stock!AH16-Datos!$C$6,0),0),IFERROR(MAX(Datos!$C$6-Stock!AH16,0),0)))</f>
        <v>48731.061322821974</v>
      </c>
      <c r="AI16">
        <f>IF($B16&gt;AI$2,0,IF(Datos!$C$4=1,IFERROR(MAX(Stock!AI16-Datos!$C$6,0),0),IFERROR(MAX(Datos!$C$6-Stock!AI16,0),0)))</f>
        <v>87439.213049658734</v>
      </c>
      <c r="AJ16">
        <f>IF($B16&gt;AJ$2,0,IF(Datos!$C$4=1,IFERROR(MAX(Stock!AJ16-Datos!$C$6,0),0),IFERROR(MAX(Datos!$C$6-Stock!AJ16,0),0)))</f>
        <v>156868.88219827629</v>
      </c>
      <c r="AK16">
        <f>IF($B16&gt;AK$2,0,IF(Datos!$C$4=1,IFERROR(MAX(Stock!AK16-Datos!$C$6,0),0),IFERROR(MAX(Datos!$C$6-Stock!AK16,0),0)))</f>
        <v>281402.83029542642</v>
      </c>
      <c r="AL16">
        <f>IF($B16&gt;AL$2,0,IF(Datos!$C$4=1,IFERROR(MAX(Stock!AL16-Datos!$C$6,0),0),IFERROR(MAX(Datos!$C$6-Stock!AL16,0),0)))</f>
        <v>504775.69695084036</v>
      </c>
      <c r="AM16">
        <f>IF($B16&gt;AM$2,0,IF(Datos!$C$4=1,IFERROR(MAX(Stock!AM16-Datos!$C$6,0),0),IFERROR(MAX(Datos!$C$6-Stock!AM16,0),0)))</f>
        <v>905433.01425466116</v>
      </c>
      <c r="AN16">
        <f>IF($B16&gt;AN$2,0,IF(Datos!$C$4=1,IFERROR(MAX(Stock!AN16-Datos!$C$6,0),0),IFERROR(MAX(Datos!$C$6-Stock!AN16,0),0)))</f>
        <v>1624080.2175281462</v>
      </c>
      <c r="AO16">
        <f>IF($B16&gt;AO$2,0,IF(Datos!$C$4=1,IFERROR(MAX(Stock!AO16-Datos!$C$6,0),0),IFERROR(MAX(Datos!$C$6-Stock!AO16,0),0)))</f>
        <v>2913096.4927037018</v>
      </c>
      <c r="AP16">
        <f>IF($B16&gt;AP$2,0,IF(Datos!$C$4=1,IFERROR(MAX(Stock!AP16-Datos!$C$6,0),0),IFERROR(MAX(Datos!$C$6-Stock!AP16,0),0)))</f>
        <v>5225166.9357513292</v>
      </c>
      <c r="AQ16">
        <f>IF($B16&gt;AQ$2,0,IF(Datos!$C$4=1,IFERROR(MAX(Stock!AQ16-Datos!$C$6,0),0),IFERROR(MAX(Datos!$C$6-Stock!AQ16,0),0)))</f>
        <v>9372259.4407597743</v>
      </c>
      <c r="AR16">
        <f>IF($B16&gt;AR$2,0,IF(Datos!$C$4=1,IFERROR(MAX(Stock!AR16-Datos!$C$6,0),0),IFERROR(MAX(Datos!$C$6-Stock!AR16,0),0)))</f>
        <v>16810776.851339784</v>
      </c>
      <c r="AS16">
        <f>IF($B16&gt;AS$2,0,IF(Datos!$C$4=1,IFERROR(MAX(Stock!AS16-Datos!$C$6,0),0),IFERROR(MAX(Datos!$C$6-Stock!AS16,0),0)))</f>
        <v>30153025.957352743</v>
      </c>
      <c r="AT16">
        <f>IF($B16&gt;AT$2,0,IF(Datos!$C$4=1,IFERROR(MAX(Stock!AT16-Datos!$C$6,0),0),IFERROR(MAX(Datos!$C$6-Stock!AT16,0),0)))</f>
        <v>54084624.336581774</v>
      </c>
      <c r="AU16">
        <f>IF($B16&gt;AU$2,0,IF(Datos!$C$4=1,IFERROR(MAX(Stock!AU16-Datos!$C$6,0),0),IFERROR(MAX(Datos!$C$6-Stock!AU16,0),0)))</f>
        <v>97010025.926228985</v>
      </c>
      <c r="AV16">
        <f>IF($B16&gt;AV$2,0,IF(Datos!$C$4=1,IFERROR(MAX(Stock!AV16-Datos!$C$6,0),0),IFERROR(MAX(Datos!$C$6-Stock!AV16,0),0)))</f>
        <v>174004051.66718113</v>
      </c>
      <c r="AW16">
        <f>IF($B16&gt;AW$2,0,IF(Datos!$C$4=1,IFERROR(MAX(Stock!AW16-Datos!$C$6,0),0),IFERROR(MAX(Datos!$C$6-Stock!AW16,0),0)))</f>
        <v>312105962.8960824</v>
      </c>
      <c r="AX16">
        <f>IF($B16&gt;AX$2,0,IF(Datos!$C$4=1,IFERROR(MAX(Stock!AX16-Datos!$C$6,0),0),IFERROR(MAX(Datos!$C$6-Stock!AX16,0),0)))</f>
        <v>559815284.5159688</v>
      </c>
      <c r="AY16">
        <f>IF($B16&gt;AY$2,0,IF(Datos!$C$4=1,IFERROR(MAX(Stock!AY16-Datos!$C$6,0),0),IFERROR(MAX(Datos!$C$6-Stock!AY16,0),0)))</f>
        <v>1004124182.7156575</v>
      </c>
      <c r="AZ16">
        <f>IF($B16&gt;AZ$2,0,IF(Datos!$C$4=1,IFERROR(MAX(Stock!AZ16-Datos!$C$6,0),0),IFERROR(MAX(Datos!$C$6-Stock!AZ16,0),0)))</f>
        <v>1801067938.1159909</v>
      </c>
      <c r="BA16">
        <f>IF($B16&gt;BA$2,0,IF(Datos!$C$4=1,IFERROR(MAX(Stock!BA16-Datos!$C$6,0),0),IFERROR(MAX(Datos!$C$6-Stock!BA16,0),0)))</f>
        <v>3230522427.6502976</v>
      </c>
    </row>
    <row r="17" spans="2:53" x14ac:dyDescent="0.25">
      <c r="B17">
        <v>14</v>
      </c>
      <c r="D17">
        <f>IF($B17&gt;D$2,0,IF(Datos!$C$4=1,IFERROR(MAX(Stock!D17-Datos!$C$6,0),0),IFERROR(MAX(Datos!$C$6-Stock!D17,0),0)))</f>
        <v>0</v>
      </c>
      <c r="E17">
        <f>IF($B17&gt;E$2,0,IF(Datos!$C$4=1,IFERROR(MAX(Stock!E17-Datos!$C$6,0),0),IFERROR(MAX(Datos!$C$6-Stock!E17,0),0)))</f>
        <v>0</v>
      </c>
      <c r="F17">
        <f>IF($B17&gt;F$2,0,IF(Datos!$C$4=1,IFERROR(MAX(Stock!F17-Datos!$C$6,0),0),IFERROR(MAX(Datos!$C$6-Stock!F17,0),0)))</f>
        <v>0</v>
      </c>
      <c r="G17">
        <f>IF($B17&gt;G$2,0,IF(Datos!$C$4=1,IFERROR(MAX(Stock!G17-Datos!$C$6,0),0),IFERROR(MAX(Datos!$C$6-Stock!G17,0),0)))</f>
        <v>0</v>
      </c>
      <c r="H17">
        <f>IF($B17&gt;H$2,0,IF(Datos!$C$4=1,IFERROR(MAX(Stock!H17-Datos!$C$6,0),0),IFERROR(MAX(Datos!$C$6-Stock!H17,0),0)))</f>
        <v>0</v>
      </c>
      <c r="I17">
        <f>IF($B17&gt;I$2,0,IF(Datos!$C$4=1,IFERROR(MAX(Stock!I17-Datos!$C$6,0),0),IFERROR(MAX(Datos!$C$6-Stock!I17,0),0)))</f>
        <v>0</v>
      </c>
      <c r="J17">
        <f>IF($B17&gt;J$2,0,IF(Datos!$C$4=1,IFERROR(MAX(Stock!J17-Datos!$C$6,0),0),IFERROR(MAX(Datos!$C$6-Stock!J17,0),0)))</f>
        <v>0</v>
      </c>
      <c r="K17">
        <f>IF($B17&gt;K$2,0,IF(Datos!$C$4=1,IFERROR(MAX(Stock!K17-Datos!$C$6,0),0),IFERROR(MAX(Datos!$C$6-Stock!K17,0),0)))</f>
        <v>0</v>
      </c>
      <c r="L17">
        <f>IF($B17&gt;L$2,0,IF(Datos!$C$4=1,IFERROR(MAX(Stock!L17-Datos!$C$6,0),0),IFERROR(MAX(Datos!$C$6-Stock!L17,0),0)))</f>
        <v>0</v>
      </c>
      <c r="M17">
        <f>IF($B17&gt;M$2,0,IF(Datos!$C$4=1,IFERROR(MAX(Stock!M17-Datos!$C$6,0),0),IFERROR(MAX(Datos!$C$6-Stock!M17,0),0)))</f>
        <v>0</v>
      </c>
      <c r="N17">
        <f>IF($B17&gt;N$2,0,IF(Datos!$C$4=1,IFERROR(MAX(Stock!N17-Datos!$C$6,0),0),IFERROR(MAX(Datos!$C$6-Stock!N17,0),0)))</f>
        <v>0</v>
      </c>
      <c r="O17">
        <f>IF($B17&gt;O$2,0,IF(Datos!$C$4=1,IFERROR(MAX(Stock!O17-Datos!$C$6,0),0),IFERROR(MAX(Datos!$C$6-Stock!O17,0),0)))</f>
        <v>0</v>
      </c>
      <c r="P17">
        <f>IF($B17&gt;P$2,0,IF(Datos!$C$4=1,IFERROR(MAX(Stock!P17-Datos!$C$6,0),0),IFERROR(MAX(Datos!$C$6-Stock!P17,0),0)))</f>
        <v>0</v>
      </c>
      <c r="Q17">
        <f>IF($B17&gt;Q$2,0,IF(Datos!$C$4=1,IFERROR(MAX(Stock!Q17-Datos!$C$6,0),0),IFERROR(MAX(Datos!$C$6-Stock!Q17,0),0)))</f>
        <v>0</v>
      </c>
      <c r="R17">
        <f>IF($B17&gt;R$2,0,IF(Datos!$C$4=1,IFERROR(MAX(Stock!R17-Datos!$C$6,0),0),IFERROR(MAX(Datos!$C$6-Stock!R17,0),0)))</f>
        <v>0</v>
      </c>
      <c r="S17">
        <f>IF($B17&gt;S$2,0,IF(Datos!$C$4=1,IFERROR(MAX(Stock!S17-Datos!$C$6,0),0),IFERROR(MAX(Datos!$C$6-Stock!S17,0),0)))</f>
        <v>0</v>
      </c>
      <c r="T17">
        <f>IF($B17&gt;T$2,0,IF(Datos!$C$4=1,IFERROR(MAX(Stock!T17-Datos!$C$6,0),0),IFERROR(MAX(Datos!$C$6-Stock!T17,0),0)))</f>
        <v>0</v>
      </c>
      <c r="U17">
        <f>IF($B17&gt;U$2,0,IF(Datos!$C$4=1,IFERROR(MAX(Stock!U17-Datos!$C$6,0),0),IFERROR(MAX(Datos!$C$6-Stock!U17,0),0)))</f>
        <v>0</v>
      </c>
      <c r="V17">
        <f>IF($B17&gt;V$2,0,IF(Datos!$C$4=1,IFERROR(MAX(Stock!V17-Datos!$C$6,0),0),IFERROR(MAX(Datos!$C$6-Stock!V17,0),0)))</f>
        <v>0</v>
      </c>
      <c r="W17">
        <f>IF($B17&gt;W$2,0,IF(Datos!$C$4=1,IFERROR(MAX(Stock!W17-Datos!$C$6,0),0),IFERROR(MAX(Datos!$C$6-Stock!W17,0),0)))</f>
        <v>0</v>
      </c>
      <c r="X17">
        <f>IF($B17&gt;X$2,0,IF(Datos!$C$4=1,IFERROR(MAX(Stock!X17-Datos!$C$6,0),0),IFERROR(MAX(Datos!$C$6-Stock!X17,0),0)))</f>
        <v>20.565388662117059</v>
      </c>
      <c r="Y17">
        <f>IF($B17&gt;Y$2,0,IF(Datos!$C$4=1,IFERROR(MAX(Stock!Y17-Datos!$C$6,0),0),IFERROR(MAX(Datos!$C$6-Stock!Y17,0),0)))</f>
        <v>68.634349848143941</v>
      </c>
      <c r="Z17">
        <f>IF($B17&gt;Z$2,0,IF(Datos!$C$4=1,IFERROR(MAX(Stock!Z17-Datos!$C$6,0),0),IFERROR(MAX(Datos!$C$6-Stock!Z17,0),0)))</f>
        <v>154.85422660732601</v>
      </c>
      <c r="AA17">
        <f>IF($B17&gt;AA$2,0,IF(Datos!$C$4=1,IFERROR(MAX(Stock!AA17-Datos!$C$6,0),0),IFERROR(MAX(Datos!$C$6-Stock!AA17,0),0)))</f>
        <v>309.5042744750026</v>
      </c>
      <c r="AB17">
        <f>IF($B17&gt;AB$2,0,IF(Datos!$C$4=1,IFERROR(MAX(Stock!AB17-Datos!$C$6,0),0),IFERROR(MAX(Datos!$C$6-Stock!AB17,0),0)))</f>
        <v>586.89550030887187</v>
      </c>
      <c r="AC17">
        <f>IF($B17&gt;AC$2,0,IF(Datos!$C$4=1,IFERROR(MAX(Stock!AC17-Datos!$C$6,0),0),IFERROR(MAX(Datos!$C$6-Stock!AC17,0),0)))</f>
        <v>1084.4439539340142</v>
      </c>
      <c r="AD17">
        <f>IF($B17&gt;AD$2,0,IF(Datos!$C$4=1,IFERROR(MAX(Stock!AD17-Datos!$C$6,0),0),IFERROR(MAX(Datos!$C$6-Stock!AD17,0),0)))</f>
        <v>1976.8819283529729</v>
      </c>
      <c r="AE17">
        <f>IF($B17&gt;AE$2,0,IF(Datos!$C$4=1,IFERROR(MAX(Stock!AE17-Datos!$C$6,0),0),IFERROR(MAX(Datos!$C$6-Stock!AE17,0),0)))</f>
        <v>3577.6215797017112</v>
      </c>
      <c r="AF17">
        <f>IF($B17&gt;AF$2,0,IF(Datos!$C$4=1,IFERROR(MAX(Stock!AF17-Datos!$C$6,0),0),IFERROR(MAX(Datos!$C$6-Stock!AF17,0),0)))</f>
        <v>6448.8210410069814</v>
      </c>
      <c r="AG17">
        <f>IF($B17&gt;AG$2,0,IF(Datos!$C$4=1,IFERROR(MAX(Stock!AG17-Datos!$C$6,0),0),IFERROR(MAX(Datos!$C$6-Stock!AG17,0),0)))</f>
        <v>11598.806761454207</v>
      </c>
      <c r="AH17">
        <f>IF($B17&gt;AH$2,0,IF(Datos!$C$4=1,IFERROR(MAX(Stock!AH17-Datos!$C$6,0),0),IFERROR(MAX(Datos!$C$6-Stock!AH17,0),0)))</f>
        <v>20836.184128735076</v>
      </c>
      <c r="AI17">
        <f>IF($B17&gt;AI$2,0,IF(Datos!$C$4=1,IFERROR(MAX(Stock!AI17-Datos!$C$6,0),0),IFERROR(MAX(Datos!$C$6-Stock!AI17,0),0)))</f>
        <v>37404.99523956333</v>
      </c>
      <c r="AJ17">
        <f>IF($B17&gt;AJ$2,0,IF(Datos!$C$4=1,IFERROR(MAX(Stock!AJ17-Datos!$C$6,0),0),IFERROR(MAX(Datos!$C$6-Stock!AJ17,0),0)))</f>
        <v>67123.982643789685</v>
      </c>
      <c r="AK17">
        <f>IF($B17&gt;AK$2,0,IF(Datos!$C$4=1,IFERROR(MAX(Stock!AK17-Datos!$C$6,0),0),IFERROR(MAX(Datos!$C$6-Stock!AK17,0),0)))</f>
        <v>120430.0530929454</v>
      </c>
      <c r="AL17">
        <f>IF($B17&gt;AL$2,0,IF(Datos!$C$4=1,IFERROR(MAX(Stock!AL17-Datos!$C$6,0),0),IFERROR(MAX(Datos!$C$6-Stock!AL17,0),0)))</f>
        <v>216043.57814616631</v>
      </c>
      <c r="AM17">
        <f>IF($B17&gt;AM$2,0,IF(Datos!$C$4=1,IFERROR(MAX(Stock!AM17-Datos!$C$6,0),0),IFERROR(MAX(Datos!$C$6-Stock!AM17,0),0)))</f>
        <v>387542.73567312467</v>
      </c>
      <c r="AN17">
        <f>IF($B17&gt;AN$2,0,IF(Datos!$C$4=1,IFERROR(MAX(Stock!AN17-Datos!$C$6,0),0),IFERROR(MAX(Datos!$C$6-Stock!AN17,0),0)))</f>
        <v>695155.71214360895</v>
      </c>
      <c r="AO17">
        <f>IF($B17&gt;AO$2,0,IF(Datos!$C$4=1,IFERROR(MAX(Stock!AO17-Datos!$C$6,0),0),IFERROR(MAX(Datos!$C$6-Stock!AO17,0),0)))</f>
        <v>1246912.0277870616</v>
      </c>
      <c r="AP17">
        <f>IF($B17&gt;AP$2,0,IF(Datos!$C$4=1,IFERROR(MAX(Stock!AP17-Datos!$C$6,0),0),IFERROR(MAX(Datos!$C$6-Stock!AP17,0),0)))</f>
        <v>2236581.0441773641</v>
      </c>
      <c r="AQ17">
        <f>IF($B17&gt;AQ$2,0,IF(Datos!$C$4=1,IFERROR(MAX(Stock!AQ17-Datos!$C$6,0),0),IFERROR(MAX(Datos!$C$6-Stock!AQ17,0),0)))</f>
        <v>4011721.1454025409</v>
      </c>
      <c r="AR17">
        <f>IF($B17&gt;AR$2,0,IF(Datos!$C$4=1,IFERROR(MAX(Stock!AR17-Datos!$C$6,0),0),IFERROR(MAX(Datos!$C$6-Stock!AR17,0),0)))</f>
        <v>7195737.5456239656</v>
      </c>
      <c r="AS17">
        <f>IF($B17&gt;AS$2,0,IF(Datos!$C$4=1,IFERROR(MAX(Stock!AS17-Datos!$C$6,0),0),IFERROR(MAX(Datos!$C$6-Stock!AS17,0),0)))</f>
        <v>12906813.775540648</v>
      </c>
      <c r="AT17">
        <f>IF($B17&gt;AT$2,0,IF(Datos!$C$4=1,IFERROR(MAX(Stock!AT17-Datos!$C$6,0),0),IFERROR(MAX(Datos!$C$6-Stock!AT17,0),0)))</f>
        <v>23150602.627146792</v>
      </c>
      <c r="AU17">
        <f>IF($B17&gt;AU$2,0,IF(Datos!$C$4=1,IFERROR(MAX(Stock!AU17-Datos!$C$6,0),0),IFERROR(MAX(Datos!$C$6-Stock!AU17,0),0)))</f>
        <v>41524584.309723832</v>
      </c>
      <c r="AV17">
        <f>IF($B17&gt;AV$2,0,IF(Datos!$C$4=1,IFERROR(MAX(Stock!AV17-Datos!$C$6,0),0),IFERROR(MAX(Datos!$C$6-Stock!AV17,0),0)))</f>
        <v>74481452.882697523</v>
      </c>
      <c r="AW17">
        <f>IF($B17&gt;AW$2,0,IF(Datos!$C$4=1,IFERROR(MAX(Stock!AW17-Datos!$C$6,0),0),IFERROR(MAX(Datos!$C$6-Stock!AW17,0),0)))</f>
        <v>133595215.20707159</v>
      </c>
      <c r="AX17">
        <f>IF($B17&gt;AX$2,0,IF(Datos!$C$4=1,IFERROR(MAX(Stock!AX17-Datos!$C$6,0),0),IFERROR(MAX(Datos!$C$6-Stock!AX17,0),0)))</f>
        <v>239625825.74293414</v>
      </c>
      <c r="AY17">
        <f>IF($B17&gt;AY$2,0,IF(Datos!$C$4=1,IFERROR(MAX(Stock!AY17-Datos!$C$6,0),0),IFERROR(MAX(Datos!$C$6-Stock!AY17,0),0)))</f>
        <v>429809802.00411373</v>
      </c>
      <c r="AZ17">
        <f>IF($B17&gt;AZ$2,0,IF(Datos!$C$4=1,IFERROR(MAX(Stock!AZ17-Datos!$C$6,0),0),IFERROR(MAX(Datos!$C$6-Stock!AZ17,0),0)))</f>
        <v>770937186.29168451</v>
      </c>
      <c r="BA17">
        <f>IF($B17&gt;BA$2,0,IF(Datos!$C$4=1,IFERROR(MAX(Stock!BA17-Datos!$C$6,0),0),IFERROR(MAX(Datos!$C$6-Stock!BA17,0),0)))</f>
        <v>1382807305.943994</v>
      </c>
    </row>
    <row r="18" spans="2:53" x14ac:dyDescent="0.25">
      <c r="B18">
        <v>15</v>
      </c>
      <c r="D18">
        <f>IF($B18&gt;D$2,0,IF(Datos!$C$4=1,IFERROR(MAX(Stock!D18-Datos!$C$6,0),0),IFERROR(MAX(Datos!$C$6-Stock!D18,0),0)))</f>
        <v>0</v>
      </c>
      <c r="E18">
        <f>IF($B18&gt;E$2,0,IF(Datos!$C$4=1,IFERROR(MAX(Stock!E18-Datos!$C$6,0),0),IFERROR(MAX(Datos!$C$6-Stock!E18,0),0)))</f>
        <v>0</v>
      </c>
      <c r="F18">
        <f>IF($B18&gt;F$2,0,IF(Datos!$C$4=1,IFERROR(MAX(Stock!F18-Datos!$C$6,0),0),IFERROR(MAX(Datos!$C$6-Stock!F18,0),0)))</f>
        <v>0</v>
      </c>
      <c r="G18">
        <f>IF($B18&gt;G$2,0,IF(Datos!$C$4=1,IFERROR(MAX(Stock!G18-Datos!$C$6,0),0),IFERROR(MAX(Datos!$C$6-Stock!G18,0),0)))</f>
        <v>0</v>
      </c>
      <c r="H18">
        <f>IF($B18&gt;H$2,0,IF(Datos!$C$4=1,IFERROR(MAX(Stock!H18-Datos!$C$6,0),0),IFERROR(MAX(Datos!$C$6-Stock!H18,0),0)))</f>
        <v>0</v>
      </c>
      <c r="I18">
        <f>IF($B18&gt;I$2,0,IF(Datos!$C$4=1,IFERROR(MAX(Stock!I18-Datos!$C$6,0),0),IFERROR(MAX(Datos!$C$6-Stock!I18,0),0)))</f>
        <v>0</v>
      </c>
      <c r="J18">
        <f>IF($B18&gt;J$2,0,IF(Datos!$C$4=1,IFERROR(MAX(Stock!J18-Datos!$C$6,0),0),IFERROR(MAX(Datos!$C$6-Stock!J18,0),0)))</f>
        <v>0</v>
      </c>
      <c r="K18">
        <f>IF($B18&gt;K$2,0,IF(Datos!$C$4=1,IFERROR(MAX(Stock!K18-Datos!$C$6,0),0),IFERROR(MAX(Datos!$C$6-Stock!K18,0),0)))</f>
        <v>0</v>
      </c>
      <c r="L18">
        <f>IF($B18&gt;L$2,0,IF(Datos!$C$4=1,IFERROR(MAX(Stock!L18-Datos!$C$6,0),0),IFERROR(MAX(Datos!$C$6-Stock!L18,0),0)))</f>
        <v>0</v>
      </c>
      <c r="M18">
        <f>IF($B18&gt;M$2,0,IF(Datos!$C$4=1,IFERROR(MAX(Stock!M18-Datos!$C$6,0),0),IFERROR(MAX(Datos!$C$6-Stock!M18,0),0)))</f>
        <v>0</v>
      </c>
      <c r="N18">
        <f>IF($B18&gt;N$2,0,IF(Datos!$C$4=1,IFERROR(MAX(Stock!N18-Datos!$C$6,0),0),IFERROR(MAX(Datos!$C$6-Stock!N18,0),0)))</f>
        <v>0</v>
      </c>
      <c r="O18">
        <f>IF($B18&gt;O$2,0,IF(Datos!$C$4=1,IFERROR(MAX(Stock!O18-Datos!$C$6,0),0),IFERROR(MAX(Datos!$C$6-Stock!O18,0),0)))</f>
        <v>0</v>
      </c>
      <c r="P18">
        <f>IF($B18&gt;P$2,0,IF(Datos!$C$4=1,IFERROR(MAX(Stock!P18-Datos!$C$6,0),0),IFERROR(MAX(Datos!$C$6-Stock!P18,0),0)))</f>
        <v>0</v>
      </c>
      <c r="Q18">
        <f>IF($B18&gt;Q$2,0,IF(Datos!$C$4=1,IFERROR(MAX(Stock!Q18-Datos!$C$6,0),0),IFERROR(MAX(Datos!$C$6-Stock!Q18,0),0)))</f>
        <v>0</v>
      </c>
      <c r="R18">
        <f>IF($B18&gt;R$2,0,IF(Datos!$C$4=1,IFERROR(MAX(Stock!R18-Datos!$C$6,0),0),IFERROR(MAX(Datos!$C$6-Stock!R18,0),0)))</f>
        <v>0</v>
      </c>
      <c r="S18">
        <f>IF($B18&gt;S$2,0,IF(Datos!$C$4=1,IFERROR(MAX(Stock!S18-Datos!$C$6,0),0),IFERROR(MAX(Datos!$C$6-Stock!S18,0),0)))</f>
        <v>0</v>
      </c>
      <c r="T18">
        <f>IF($B18&gt;T$2,0,IF(Datos!$C$4=1,IFERROR(MAX(Stock!T18-Datos!$C$6,0),0),IFERROR(MAX(Datos!$C$6-Stock!T18,0),0)))</f>
        <v>0</v>
      </c>
      <c r="U18">
        <f>IF($B18&gt;U$2,0,IF(Datos!$C$4=1,IFERROR(MAX(Stock!U18-Datos!$C$6,0),0),IFERROR(MAX(Datos!$C$6-Stock!U18,0),0)))</f>
        <v>0</v>
      </c>
      <c r="V18">
        <f>IF($B18&gt;V$2,0,IF(Datos!$C$4=1,IFERROR(MAX(Stock!V18-Datos!$C$6,0),0),IFERROR(MAX(Datos!$C$6-Stock!V18,0),0)))</f>
        <v>0</v>
      </c>
      <c r="W18">
        <f>IF($B18&gt;W$2,0,IF(Datos!$C$4=1,IFERROR(MAX(Stock!W18-Datos!$C$6,0),0),IFERROR(MAX(Datos!$C$6-Stock!W18,0),0)))</f>
        <v>0</v>
      </c>
      <c r="X18">
        <f>IF($B18&gt;X$2,0,IF(Datos!$C$4=1,IFERROR(MAX(Stock!X18-Datos!$C$6,0),0),IFERROR(MAX(Datos!$C$6-Stock!X18,0),0)))</f>
        <v>0</v>
      </c>
      <c r="Y18">
        <f>IF($B18&gt;Y$2,0,IF(Datos!$C$4=1,IFERROR(MAX(Stock!Y18-Datos!$C$6,0),0),IFERROR(MAX(Datos!$C$6-Stock!Y18,0),0)))</f>
        <v>6.5003350065307473</v>
      </c>
      <c r="Z18">
        <f>IF($B18&gt;Z$2,0,IF(Datos!$C$4=1,IFERROR(MAX(Stock!Z18-Datos!$C$6,0),0),IFERROR(MAX(Datos!$C$6-Stock!Z18,0),0)))</f>
        <v>43.406278284399605</v>
      </c>
      <c r="AA18">
        <f>IF($B18&gt;AA$2,0,IF(Datos!$C$4=1,IFERROR(MAX(Stock!AA18-Datos!$C$6,0),0),IFERROR(MAX(Datos!$C$6-Stock!AA18,0),0)))</f>
        <v>109.60337933646468</v>
      </c>
      <c r="AB18">
        <f>IF($B18&gt;AB$2,0,IF(Datos!$C$4=1,IFERROR(MAX(Stock!AB18-Datos!$C$6,0),0),IFERROR(MAX(Datos!$C$6-Stock!AB18,0),0)))</f>
        <v>228.33916545915883</v>
      </c>
      <c r="AC18">
        <f>IF($B18&gt;AC$2,0,IF(Datos!$C$4=1,IFERROR(MAX(Stock!AC18-Datos!$C$6,0),0),IFERROR(MAX(Datos!$C$6-Stock!AC18,0),0)))</f>
        <v>441.31204013362105</v>
      </c>
      <c r="AD18">
        <f>IF($B18&gt;AD$2,0,IF(Datos!$C$4=1,IFERROR(MAX(Stock!AD18-Datos!$C$6,0),0),IFERROR(MAX(Datos!$C$6-Stock!AD18,0),0)))</f>
        <v>823.3151988126283</v>
      </c>
      <c r="AE18">
        <f>IF($B18&gt;AE$2,0,IF(Datos!$C$4=1,IFERROR(MAX(Stock!AE18-Datos!$C$6,0),0),IFERROR(MAX(Datos!$C$6-Stock!AE18,0),0)))</f>
        <v>1508.5029884022329</v>
      </c>
      <c r="AF18">
        <f>IF($B18&gt;AF$2,0,IF(Datos!$C$4=1,IFERROR(MAX(Stock!AF18-Datos!$C$6,0),0),IFERROR(MAX(Datos!$C$6-Stock!AF18,0),0)))</f>
        <v>2737.5041009223237</v>
      </c>
      <c r="AG18">
        <f>IF($B18&gt;AG$2,0,IF(Datos!$C$4=1,IFERROR(MAX(Stock!AG18-Datos!$C$6,0),0),IFERROR(MAX(Datos!$C$6-Stock!AG18,0),0)))</f>
        <v>4941.9271182681314</v>
      </c>
      <c r="AH18">
        <f>IF($B18&gt;AH$2,0,IF(Datos!$C$4=1,IFERROR(MAX(Stock!AH18-Datos!$C$6,0),0),IFERROR(MAX(Datos!$C$6-Stock!AH18,0),0)))</f>
        <v>8895.9356133780639</v>
      </c>
      <c r="AI18">
        <f>IF($B18&gt;AI$2,0,IF(Datos!$C$4=1,IFERROR(MAX(Stock!AI18-Datos!$C$6,0),0),IFERROR(MAX(Datos!$C$6-Stock!AI18,0),0)))</f>
        <v>15988.123934939653</v>
      </c>
      <c r="AJ18">
        <f>IF($B18&gt;AJ$2,0,IF(Datos!$C$4=1,IFERROR(MAX(Stock!AJ18-Datos!$C$6,0),0),IFERROR(MAX(Datos!$C$6-Stock!AJ18,0),0)))</f>
        <v>28709.172777070726</v>
      </c>
      <c r="AK18">
        <f>IF($B18&gt;AK$2,0,IF(Datos!$C$4=1,IFERROR(MAX(Stock!AK18-Datos!$C$6,0),0),IFERROR(MAX(Datos!$C$6-Stock!AK18,0),0)))</f>
        <v>51526.542579830406</v>
      </c>
      <c r="AL18">
        <f>IF($B18&gt;AL$2,0,IF(Datos!$C$4=1,IFERROR(MAX(Stock!AL18-Datos!$C$6,0),0),IFERROR(MAX(Datos!$C$6-Stock!AL18,0),0)))</f>
        <v>92453.385262141121</v>
      </c>
      <c r="AM18">
        <f>IF($B18&gt;AM$2,0,IF(Datos!$C$4=1,IFERROR(MAX(Stock!AM18-Datos!$C$6,0),0),IFERROR(MAX(Datos!$C$6-Stock!AM18,0),0)))</f>
        <v>165862.654885322</v>
      </c>
      <c r="AN18">
        <f>IF($B18&gt;AN$2,0,IF(Datos!$C$4=1,IFERROR(MAX(Stock!AN18-Datos!$C$6,0),0),IFERROR(MAX(Datos!$C$6-Stock!AN18,0),0)))</f>
        <v>297534.69488214405</v>
      </c>
      <c r="AO18">
        <f>IF($B18&gt;AO$2,0,IF(Datos!$C$4=1,IFERROR(MAX(Stock!AO18-Datos!$C$6,0),0),IFERROR(MAX(Datos!$C$6-Stock!AO18,0),0)))</f>
        <v>533710.94627274456</v>
      </c>
      <c r="AP18">
        <f>IF($B18&gt;AP$2,0,IF(Datos!$C$4=1,IFERROR(MAX(Stock!AP18-Datos!$C$6,0),0),IFERROR(MAX(Datos!$C$6-Stock!AP18,0),0)))</f>
        <v>957333.31684027181</v>
      </c>
      <c r="AQ18">
        <f>IF($B18&gt;AQ$2,0,IF(Datos!$C$4=1,IFERROR(MAX(Stock!AQ18-Datos!$C$6,0),0),IFERROR(MAX(Datos!$C$6-Stock!AQ18,0),0)))</f>
        <v>1717172.2582605844</v>
      </c>
      <c r="AR18">
        <f>IF($B18&gt;AR$2,0,IF(Datos!$C$4=1,IFERROR(MAX(Stock!AR18-Datos!$C$6,0),0),IFERROR(MAX(Datos!$C$6-Stock!AR18,0),0)))</f>
        <v>3080072.9382347278</v>
      </c>
      <c r="AS18">
        <f>IF($B18&gt;AS$2,0,IF(Datos!$C$4=1,IFERROR(MAX(Stock!AS18-Datos!$C$6,0),0),IFERROR(MAX(Datos!$C$6-Stock!AS18,0),0)))</f>
        <v>5524667.6572180595</v>
      </c>
      <c r="AT18">
        <f>IF($B18&gt;AT$2,0,IF(Datos!$C$4=1,IFERROR(MAX(Stock!AT18-Datos!$C$6,0),0),IFERROR(MAX(Datos!$C$6-Stock!AT18,0),0)))</f>
        <v>9909465.0440640133</v>
      </c>
      <c r="AU18">
        <f>IF($B18&gt;AU$2,0,IF(Datos!$C$4=1,IFERROR(MAX(Stock!AU18-Datos!$C$6,0),0),IFERROR(MAX(Datos!$C$6-Stock!AU18,0),0)))</f>
        <v>17774346.684521399</v>
      </c>
      <c r="AV18">
        <f>IF($B18&gt;AV$2,0,IF(Datos!$C$4=1,IFERROR(MAX(Stock!AV18-Datos!$C$6,0),0),IFERROR(MAX(Datos!$C$6-Stock!AV18,0),0)))</f>
        <v>31881352.724063367</v>
      </c>
      <c r="AW18">
        <f>IF($B18&gt;AW$2,0,IF(Datos!$C$4=1,IFERROR(MAX(Stock!AW18-Datos!$C$6,0),0),IFERROR(MAX(Datos!$C$6-Stock!AW18,0),0)))</f>
        <v>57184673.040540524</v>
      </c>
      <c r="AX18">
        <f>IF($B18&gt;AX$2,0,IF(Datos!$C$4=1,IFERROR(MAX(Stock!AX18-Datos!$C$6,0),0),IFERROR(MAX(Datos!$C$6-Stock!AX18,0),0)))</f>
        <v>102570491.77795379</v>
      </c>
      <c r="AY18">
        <f>IF($B18&gt;AY$2,0,IF(Datos!$C$4=1,IFERROR(MAX(Stock!AY18-Datos!$C$6,0),0),IFERROR(MAX(Datos!$C$6-Stock!AY18,0),0)))</f>
        <v>183977695.12920612</v>
      </c>
      <c r="AZ18">
        <f>IF($B18&gt;AZ$2,0,IF(Datos!$C$4=1,IFERROR(MAX(Stock!AZ18-Datos!$C$6,0),0),IFERROR(MAX(Datos!$C$6-Stock!AZ18,0),0)))</f>
        <v>329995392.76763511</v>
      </c>
      <c r="BA18">
        <f>IF($B18&gt;BA$2,0,IF(Datos!$C$4=1,IFERROR(MAX(Stock!BA18-Datos!$C$6,0),0),IFERROR(MAX(Datos!$C$6-Stock!BA18,0),0)))</f>
        <v>591903026.80871618</v>
      </c>
    </row>
    <row r="19" spans="2:53" x14ac:dyDescent="0.25">
      <c r="B19">
        <v>16</v>
      </c>
      <c r="D19">
        <f>IF($B19&gt;D$2,0,IF(Datos!$C$4=1,IFERROR(MAX(Stock!D19-Datos!$C$6,0),0),IFERROR(MAX(Datos!$C$6-Stock!D19,0),0)))</f>
        <v>0</v>
      </c>
      <c r="E19">
        <f>IF($B19&gt;E$2,0,IF(Datos!$C$4=1,IFERROR(MAX(Stock!E19-Datos!$C$6,0),0),IFERROR(MAX(Datos!$C$6-Stock!E19,0),0)))</f>
        <v>0</v>
      </c>
      <c r="F19">
        <f>IF($B19&gt;F$2,0,IF(Datos!$C$4=1,IFERROR(MAX(Stock!F19-Datos!$C$6,0),0),IFERROR(MAX(Datos!$C$6-Stock!F19,0),0)))</f>
        <v>0</v>
      </c>
      <c r="G19">
        <f>IF($B19&gt;G$2,0,IF(Datos!$C$4=1,IFERROR(MAX(Stock!G19-Datos!$C$6,0),0),IFERROR(MAX(Datos!$C$6-Stock!G19,0),0)))</f>
        <v>0</v>
      </c>
      <c r="H19">
        <f>IF($B19&gt;H$2,0,IF(Datos!$C$4=1,IFERROR(MAX(Stock!H19-Datos!$C$6,0),0),IFERROR(MAX(Datos!$C$6-Stock!H19,0),0)))</f>
        <v>0</v>
      </c>
      <c r="I19">
        <f>IF($B19&gt;I$2,0,IF(Datos!$C$4=1,IFERROR(MAX(Stock!I19-Datos!$C$6,0),0),IFERROR(MAX(Datos!$C$6-Stock!I19,0),0)))</f>
        <v>0</v>
      </c>
      <c r="J19">
        <f>IF($B19&gt;J$2,0,IF(Datos!$C$4=1,IFERROR(MAX(Stock!J19-Datos!$C$6,0),0),IFERROR(MAX(Datos!$C$6-Stock!J19,0),0)))</f>
        <v>0</v>
      </c>
      <c r="K19">
        <f>IF($B19&gt;K$2,0,IF(Datos!$C$4=1,IFERROR(MAX(Stock!K19-Datos!$C$6,0),0),IFERROR(MAX(Datos!$C$6-Stock!K19,0),0)))</f>
        <v>0</v>
      </c>
      <c r="L19">
        <f>IF($B19&gt;L$2,0,IF(Datos!$C$4=1,IFERROR(MAX(Stock!L19-Datos!$C$6,0),0),IFERROR(MAX(Datos!$C$6-Stock!L19,0),0)))</f>
        <v>0</v>
      </c>
      <c r="M19">
        <f>IF($B19&gt;M$2,0,IF(Datos!$C$4=1,IFERROR(MAX(Stock!M19-Datos!$C$6,0),0),IFERROR(MAX(Datos!$C$6-Stock!M19,0),0)))</f>
        <v>0</v>
      </c>
      <c r="N19">
        <f>IF($B19&gt;N$2,0,IF(Datos!$C$4=1,IFERROR(MAX(Stock!N19-Datos!$C$6,0),0),IFERROR(MAX(Datos!$C$6-Stock!N19,0),0)))</f>
        <v>0</v>
      </c>
      <c r="O19">
        <f>IF($B19&gt;O$2,0,IF(Datos!$C$4=1,IFERROR(MAX(Stock!O19-Datos!$C$6,0),0),IFERROR(MAX(Datos!$C$6-Stock!O19,0),0)))</f>
        <v>0</v>
      </c>
      <c r="P19">
        <f>IF($B19&gt;P$2,0,IF(Datos!$C$4=1,IFERROR(MAX(Stock!P19-Datos!$C$6,0),0),IFERROR(MAX(Datos!$C$6-Stock!P19,0),0)))</f>
        <v>0</v>
      </c>
      <c r="Q19">
        <f>IF($B19&gt;Q$2,0,IF(Datos!$C$4=1,IFERROR(MAX(Stock!Q19-Datos!$C$6,0),0),IFERROR(MAX(Datos!$C$6-Stock!Q19,0),0)))</f>
        <v>0</v>
      </c>
      <c r="R19">
        <f>IF($B19&gt;R$2,0,IF(Datos!$C$4=1,IFERROR(MAX(Stock!R19-Datos!$C$6,0),0),IFERROR(MAX(Datos!$C$6-Stock!R19,0),0)))</f>
        <v>0</v>
      </c>
      <c r="S19">
        <f>IF($B19&gt;S$2,0,IF(Datos!$C$4=1,IFERROR(MAX(Stock!S19-Datos!$C$6,0),0),IFERROR(MAX(Datos!$C$6-Stock!S19,0),0)))</f>
        <v>0</v>
      </c>
      <c r="T19">
        <f>IF($B19&gt;T$2,0,IF(Datos!$C$4=1,IFERROR(MAX(Stock!T19-Datos!$C$6,0),0),IFERROR(MAX(Datos!$C$6-Stock!T19,0),0)))</f>
        <v>0</v>
      </c>
      <c r="U19">
        <f>IF($B19&gt;U$2,0,IF(Datos!$C$4=1,IFERROR(MAX(Stock!U19-Datos!$C$6,0),0),IFERROR(MAX(Datos!$C$6-Stock!U19,0),0)))</f>
        <v>0</v>
      </c>
      <c r="V19">
        <f>IF($B19&gt;V$2,0,IF(Datos!$C$4=1,IFERROR(MAX(Stock!V19-Datos!$C$6,0),0),IFERROR(MAX(Datos!$C$6-Stock!V19,0),0)))</f>
        <v>0</v>
      </c>
      <c r="W19">
        <f>IF($B19&gt;W$2,0,IF(Datos!$C$4=1,IFERROR(MAX(Stock!W19-Datos!$C$6,0),0),IFERROR(MAX(Datos!$C$6-Stock!W19,0),0)))</f>
        <v>0</v>
      </c>
      <c r="X19">
        <f>IF($B19&gt;X$2,0,IF(Datos!$C$4=1,IFERROR(MAX(Stock!X19-Datos!$C$6,0),0),IFERROR(MAX(Datos!$C$6-Stock!X19,0),0)))</f>
        <v>0</v>
      </c>
      <c r="Y19">
        <f>IF($B19&gt;Y$2,0,IF(Datos!$C$4=1,IFERROR(MAX(Stock!Y19-Datos!$C$6,0),0),IFERROR(MAX(Datos!$C$6-Stock!Y19,0),0)))</f>
        <v>0</v>
      </c>
      <c r="Z19">
        <f>IF($B19&gt;Z$2,0,IF(Datos!$C$4=1,IFERROR(MAX(Stock!Z19-Datos!$C$6,0),0),IFERROR(MAX(Datos!$C$6-Stock!Z19,0),0)))</f>
        <v>0</v>
      </c>
      <c r="AA19">
        <f>IF($B19&gt;AA$2,0,IF(Datos!$C$4=1,IFERROR(MAX(Stock!AA19-Datos!$C$6,0),0),IFERROR(MAX(Datos!$C$6-Stock!AA19,0),0)))</f>
        <v>24.036902388416735</v>
      </c>
      <c r="AB19">
        <f>IF($B19&gt;AB$2,0,IF(Datos!$C$4=1,IFERROR(MAX(Stock!AB19-Datos!$C$6,0),0),IFERROR(MAX(Datos!$C$6-Stock!AB19,0),0)))</f>
        <v>74.861101545377906</v>
      </c>
      <c r="AC19">
        <f>IF($B19&gt;AC$2,0,IF(Datos!$C$4=1,IFERROR(MAX(Stock!AC19-Datos!$C$6,0),0),IFERROR(MAX(Datos!$C$6-Stock!AC19,0),0)))</f>
        <v>166.02296732272976</v>
      </c>
      <c r="AD19">
        <f>IF($B19&gt;AD$2,0,IF(Datos!$C$4=1,IFERROR(MAX(Stock!AD19-Datos!$C$6,0),0),IFERROR(MAX(Datos!$C$6-Stock!AD19,0),0)))</f>
        <v>329.53731501254794</v>
      </c>
      <c r="AE19">
        <f>IF($B19&gt;AE$2,0,IF(Datos!$C$4=1,IFERROR(MAX(Stock!AE19-Datos!$C$6,0),0),IFERROR(MAX(Datos!$C$6-Stock!AE19,0),0)))</f>
        <v>622.82817377719209</v>
      </c>
      <c r="AF19">
        <f>IF($B19&gt;AF$2,0,IF(Datos!$C$4=1,IFERROR(MAX(Stock!AF19-Datos!$C$6,0),0),IFERROR(MAX(Datos!$C$6-Stock!AF19,0),0)))</f>
        <v>1148.8953296580869</v>
      </c>
      <c r="AG19">
        <f>IF($B19&gt;AG$2,0,IF(Datos!$C$4=1,IFERROR(MAX(Stock!AG19-Datos!$C$6,0),0),IFERROR(MAX(Datos!$C$6-Stock!AG19,0),0)))</f>
        <v>2092.4864584859156</v>
      </c>
      <c r="AH19">
        <f>IF($B19&gt;AH$2,0,IF(Datos!$C$4=1,IFERROR(MAX(Stock!AH19-Datos!$C$6,0),0),IFERROR(MAX(Datos!$C$6-Stock!AH19,0),0)))</f>
        <v>3784.9780129371129</v>
      </c>
      <c r="AI19">
        <f>IF($B19&gt;AI$2,0,IF(Datos!$C$4=1,IFERROR(MAX(Stock!AI19-Datos!$C$6,0),0),IFERROR(MAX(Datos!$C$6-Stock!AI19,0),0)))</f>
        <v>6820.7501544652705</v>
      </c>
      <c r="AJ19">
        <f>IF($B19&gt;AJ$2,0,IF(Datos!$C$4=1,IFERROR(MAX(Stock!AJ19-Datos!$C$6,0),0),IFERROR(MAX(Datos!$C$6-Stock!AJ19,0),0)))</f>
        <v>12265.925033501391</v>
      </c>
      <c r="AK19">
        <f>IF($B19&gt;AK$2,0,IF(Datos!$C$4=1,IFERROR(MAX(Stock!AK19-Datos!$C$6,0),0),IFERROR(MAX(Datos!$C$6-Stock!AK19,0),0)))</f>
        <v>22032.774481023091</v>
      </c>
      <c r="AL19">
        <f>IF($B19&gt;AL$2,0,IF(Datos!$C$4=1,IFERROR(MAX(Stock!AL19-Datos!$C$6,0),0),IFERROR(MAX(Datos!$C$6-Stock!AL19,0),0)))</f>
        <v>39551.284032995572</v>
      </c>
      <c r="AM19">
        <f>IF($B19&gt;AM$2,0,IF(Datos!$C$4=1,IFERROR(MAX(Stock!AM19-Datos!$C$6,0),0),IFERROR(MAX(Datos!$C$6-Stock!AM19,0),0)))</f>
        <v>70973.717497496778</v>
      </c>
      <c r="AN19">
        <f>IF($B19&gt;AN$2,0,IF(Datos!$C$4=1,IFERROR(MAX(Stock!AN19-Datos!$C$6,0),0),IFERROR(MAX(Datos!$C$6-Stock!AN19,0),0)))</f>
        <v>127335.20886191679</v>
      </c>
      <c r="AO19">
        <f>IF($B19&gt;AO$2,0,IF(Datos!$C$4=1,IFERROR(MAX(Stock!AO19-Datos!$C$6,0),0),IFERROR(MAX(Datos!$C$6-Stock!AO19,0),0)))</f>
        <v>228429.15221962327</v>
      </c>
      <c r="AP19">
        <f>IF($B19&gt;AP$2,0,IF(Datos!$C$4=1,IFERROR(MAX(Stock!AP19-Datos!$C$6,0),0),IFERROR(MAX(Datos!$C$6-Stock!AP19,0),0)))</f>
        <v>409758.37428600172</v>
      </c>
      <c r="AQ19">
        <f>IF($B19&gt;AQ$2,0,IF(Datos!$C$4=1,IFERROR(MAX(Stock!AQ19-Datos!$C$6,0),0),IFERROR(MAX(Datos!$C$6-Stock!AQ19,0),0)))</f>
        <v>735003.24735278625</v>
      </c>
      <c r="AR19">
        <f>IF($B19&gt;AR$2,0,IF(Datos!$C$4=1,IFERROR(MAX(Stock!AR19-Datos!$C$6,0),0),IFERROR(MAX(Datos!$C$6-Stock!AR19,0),0)))</f>
        <v>1318385.3754551434</v>
      </c>
      <c r="AS19">
        <f>IF($B19&gt;AS$2,0,IF(Datos!$C$4=1,IFERROR(MAX(Stock!AS19-Datos!$C$6,0),0),IFERROR(MAX(Datos!$C$6-Stock!AS19,0),0)))</f>
        <v>2364780.6781086992</v>
      </c>
      <c r="AT19">
        <f>IF($B19&gt;AT$2,0,IF(Datos!$C$4=1,IFERROR(MAX(Stock!AT19-Datos!$C$6,0),0),IFERROR(MAX(Datos!$C$6-Stock!AT19,0),0)))</f>
        <v>4241669.0445334464</v>
      </c>
      <c r="AU19">
        <f>IF($B19&gt;AU$2,0,IF(Datos!$C$4=1,IFERROR(MAX(Stock!AU19-Datos!$C$6,0),0),IFERROR(MAX(Datos!$C$6-Stock!AU19,0),0)))</f>
        <v>7608188.3045944497</v>
      </c>
      <c r="AV19">
        <f>IF($B19&gt;AV$2,0,IF(Datos!$C$4=1,IFERROR(MAX(Stock!AV19-Datos!$C$6,0),0),IFERROR(MAX(Datos!$C$6-Stock!AV19,0),0)))</f>
        <v>13646614.527007764</v>
      </c>
      <c r="AW19">
        <f>IF($B19&gt;AW$2,0,IF(Datos!$C$4=1,IFERROR(MAX(Stock!AW19-Datos!$C$6,0),0),IFERROR(MAX(Datos!$C$6-Stock!AW19,0),0)))</f>
        <v>24477561.397297759</v>
      </c>
      <c r="AX19">
        <f>IF($B19&gt;AX$2,0,IF(Datos!$C$4=1,IFERROR(MAX(Stock!AX19-Datos!$C$6,0),0),IFERROR(MAX(Datos!$C$6-Stock!AX19,0),0)))</f>
        <v>43904711.086006038</v>
      </c>
      <c r="AY19">
        <f>IF($B19&gt;AY$2,0,IF(Datos!$C$4=1,IFERROR(MAX(Stock!AY19-Datos!$C$6,0),0),IFERROR(MAX(Datos!$C$6-Stock!AY19,0),0)))</f>
        <v>78750616.023712844</v>
      </c>
      <c r="AZ19">
        <f>IF($B19&gt;AZ$2,0,IF(Datos!$C$4=1,IFERROR(MAX(Stock!AZ19-Datos!$C$6,0),0),IFERROR(MAX(Datos!$C$6-Stock!AZ19,0),0)))</f>
        <v>141252687.11412373</v>
      </c>
      <c r="BA19">
        <f>IF($B19&gt;BA$2,0,IF(Datos!$C$4=1,IFERROR(MAX(Stock!BA19-Datos!$C$6,0),0),IFERROR(MAX(Datos!$C$6-Stock!BA19,0),0)))</f>
        <v>253360807.06607652</v>
      </c>
    </row>
    <row r="20" spans="2:53" x14ac:dyDescent="0.25">
      <c r="B20">
        <v>17</v>
      </c>
      <c r="D20">
        <f>IF($B20&gt;D$2,0,IF(Datos!$C$4=1,IFERROR(MAX(Stock!D20-Datos!$C$6,0),0),IFERROR(MAX(Datos!$C$6-Stock!D20,0),0)))</f>
        <v>0</v>
      </c>
      <c r="E20">
        <f>IF($B20&gt;E$2,0,IF(Datos!$C$4=1,IFERROR(MAX(Stock!E20-Datos!$C$6,0),0),IFERROR(MAX(Datos!$C$6-Stock!E20,0),0)))</f>
        <v>0</v>
      </c>
      <c r="F20">
        <f>IF($B20&gt;F$2,0,IF(Datos!$C$4=1,IFERROR(MAX(Stock!F20-Datos!$C$6,0),0),IFERROR(MAX(Datos!$C$6-Stock!F20,0),0)))</f>
        <v>0</v>
      </c>
      <c r="G20">
        <f>IF($B20&gt;G$2,0,IF(Datos!$C$4=1,IFERROR(MAX(Stock!G20-Datos!$C$6,0),0),IFERROR(MAX(Datos!$C$6-Stock!G20,0),0)))</f>
        <v>0</v>
      </c>
      <c r="H20">
        <f>IF($B20&gt;H$2,0,IF(Datos!$C$4=1,IFERROR(MAX(Stock!H20-Datos!$C$6,0),0),IFERROR(MAX(Datos!$C$6-Stock!H20,0),0)))</f>
        <v>0</v>
      </c>
      <c r="I20">
        <f>IF($B20&gt;I$2,0,IF(Datos!$C$4=1,IFERROR(MAX(Stock!I20-Datos!$C$6,0),0),IFERROR(MAX(Datos!$C$6-Stock!I20,0),0)))</f>
        <v>0</v>
      </c>
      <c r="J20">
        <f>IF($B20&gt;J$2,0,IF(Datos!$C$4=1,IFERROR(MAX(Stock!J20-Datos!$C$6,0),0),IFERROR(MAX(Datos!$C$6-Stock!J20,0),0)))</f>
        <v>0</v>
      </c>
      <c r="K20">
        <f>IF($B20&gt;K$2,0,IF(Datos!$C$4=1,IFERROR(MAX(Stock!K20-Datos!$C$6,0),0),IFERROR(MAX(Datos!$C$6-Stock!K20,0),0)))</f>
        <v>0</v>
      </c>
      <c r="L20">
        <f>IF($B20&gt;L$2,0,IF(Datos!$C$4=1,IFERROR(MAX(Stock!L20-Datos!$C$6,0),0),IFERROR(MAX(Datos!$C$6-Stock!L20,0),0)))</f>
        <v>0</v>
      </c>
      <c r="M20">
        <f>IF($B20&gt;M$2,0,IF(Datos!$C$4=1,IFERROR(MAX(Stock!M20-Datos!$C$6,0),0),IFERROR(MAX(Datos!$C$6-Stock!M20,0),0)))</f>
        <v>0</v>
      </c>
      <c r="N20">
        <f>IF($B20&gt;N$2,0,IF(Datos!$C$4=1,IFERROR(MAX(Stock!N20-Datos!$C$6,0),0),IFERROR(MAX(Datos!$C$6-Stock!N20,0),0)))</f>
        <v>0</v>
      </c>
      <c r="O20">
        <f>IF($B20&gt;O$2,0,IF(Datos!$C$4=1,IFERROR(MAX(Stock!O20-Datos!$C$6,0),0),IFERROR(MAX(Datos!$C$6-Stock!O20,0),0)))</f>
        <v>0</v>
      </c>
      <c r="P20">
        <f>IF($B20&gt;P$2,0,IF(Datos!$C$4=1,IFERROR(MAX(Stock!P20-Datos!$C$6,0),0),IFERROR(MAX(Datos!$C$6-Stock!P20,0),0)))</f>
        <v>0</v>
      </c>
      <c r="Q20">
        <f>IF($B20&gt;Q$2,0,IF(Datos!$C$4=1,IFERROR(MAX(Stock!Q20-Datos!$C$6,0),0),IFERROR(MAX(Datos!$C$6-Stock!Q20,0),0)))</f>
        <v>0</v>
      </c>
      <c r="R20">
        <f>IF($B20&gt;R$2,0,IF(Datos!$C$4=1,IFERROR(MAX(Stock!R20-Datos!$C$6,0),0),IFERROR(MAX(Datos!$C$6-Stock!R20,0),0)))</f>
        <v>0</v>
      </c>
      <c r="S20">
        <f>IF($B20&gt;S$2,0,IF(Datos!$C$4=1,IFERROR(MAX(Stock!S20-Datos!$C$6,0),0),IFERROR(MAX(Datos!$C$6-Stock!S20,0),0)))</f>
        <v>0</v>
      </c>
      <c r="T20">
        <f>IF($B20&gt;T$2,0,IF(Datos!$C$4=1,IFERROR(MAX(Stock!T20-Datos!$C$6,0),0),IFERROR(MAX(Datos!$C$6-Stock!T20,0),0)))</f>
        <v>0</v>
      </c>
      <c r="U20">
        <f>IF($B20&gt;U$2,0,IF(Datos!$C$4=1,IFERROR(MAX(Stock!U20-Datos!$C$6,0),0),IFERROR(MAX(Datos!$C$6-Stock!U20,0),0)))</f>
        <v>0</v>
      </c>
      <c r="V20">
        <f>IF($B20&gt;V$2,0,IF(Datos!$C$4=1,IFERROR(MAX(Stock!V20-Datos!$C$6,0),0),IFERROR(MAX(Datos!$C$6-Stock!V20,0),0)))</f>
        <v>0</v>
      </c>
      <c r="W20">
        <f>IF($B20&gt;W$2,0,IF(Datos!$C$4=1,IFERROR(MAX(Stock!W20-Datos!$C$6,0),0),IFERROR(MAX(Datos!$C$6-Stock!W20,0),0)))</f>
        <v>0</v>
      </c>
      <c r="X20">
        <f>IF($B20&gt;X$2,0,IF(Datos!$C$4=1,IFERROR(MAX(Stock!X20-Datos!$C$6,0),0),IFERROR(MAX(Datos!$C$6-Stock!X20,0),0)))</f>
        <v>0</v>
      </c>
      <c r="Y20">
        <f>IF($B20&gt;Y$2,0,IF(Datos!$C$4=1,IFERROR(MAX(Stock!Y20-Datos!$C$6,0),0),IFERROR(MAX(Datos!$C$6-Stock!Y20,0),0)))</f>
        <v>0</v>
      </c>
      <c r="Z20">
        <f>IF($B20&gt;Z$2,0,IF(Datos!$C$4=1,IFERROR(MAX(Stock!Z20-Datos!$C$6,0),0),IFERROR(MAX(Datos!$C$6-Stock!Z20,0),0)))</f>
        <v>0</v>
      </c>
      <c r="AA20">
        <f>IF($B20&gt;AA$2,0,IF(Datos!$C$4=1,IFERROR(MAX(Stock!AA20-Datos!$C$6,0),0),IFERROR(MAX(Datos!$C$6-Stock!AA20,0),0)))</f>
        <v>0</v>
      </c>
      <c r="AB20">
        <f>IF($B20&gt;AB$2,0,IF(Datos!$C$4=1,IFERROR(MAX(Stock!AB20-Datos!$C$6,0),0),IFERROR(MAX(Datos!$C$6-Stock!AB20,0),0)))</f>
        <v>9.1656617685411916</v>
      </c>
      <c r="AC20">
        <f>IF($B20&gt;AC$2,0,IF(Datos!$C$4=1,IFERROR(MAX(Stock!AC20-Datos!$C$6,0),0),IFERROR(MAX(Datos!$C$6-Stock!AC20,0),0)))</f>
        <v>48.186996221160243</v>
      </c>
      <c r="AD20">
        <f>IF($B20&gt;AD$2,0,IF(Datos!$C$4=1,IFERROR(MAX(Stock!AD20-Datos!$C$6,0),0),IFERROR(MAX(Datos!$C$6-Stock!AD20,0),0)))</f>
        <v>118.17841198035163</v>
      </c>
      <c r="AE20">
        <f>IF($B20&gt;AE$2,0,IF(Datos!$C$4=1,IFERROR(MAX(Stock!AE20-Datos!$C$6,0),0),IFERROR(MAX(Datos!$C$6-Stock!AE20,0),0)))</f>
        <v>243.71994839101075</v>
      </c>
      <c r="AF20">
        <f>IF($B20&gt;AF$2,0,IF(Datos!$C$4=1,IFERROR(MAX(Stock!AF20-Datos!$C$6,0),0),IFERROR(MAX(Datos!$C$6-Stock!AF20,0),0)))</f>
        <v>468.9000964619425</v>
      </c>
      <c r="AG20">
        <f>IF($B20&gt;AG$2,0,IF(Datos!$C$4=1,IFERROR(MAX(Stock!AG20-Datos!$C$6,0),0),IFERROR(MAX(Datos!$C$6-Stock!AG20,0),0)))</f>
        <v>872.79908109266978</v>
      </c>
      <c r="AH20">
        <f>IF($B20&gt;AH$2,0,IF(Datos!$C$4=1,IFERROR(MAX(Stock!AH20-Datos!$C$6,0),0),IFERROR(MAX(Datos!$C$6-Stock!AH20,0),0)))</f>
        <v>1597.2607673615018</v>
      </c>
      <c r="AI20">
        <f>IF($B20&gt;AI$2,0,IF(Datos!$C$4=1,IFERROR(MAX(Stock!AI20-Datos!$C$6,0),0),IFERROR(MAX(Datos!$C$6-Stock!AI20,0),0)))</f>
        <v>2896.7063090514121</v>
      </c>
      <c r="AJ20">
        <f>IF($B20&gt;AJ$2,0,IF(Datos!$C$4=1,IFERROR(MAX(Stock!AJ20-Datos!$C$6,0),0),IFERROR(MAX(Datos!$C$6-Stock!AJ20,0),0)))</f>
        <v>5227.4834195902777</v>
      </c>
      <c r="AK20">
        <f>IF($B20&gt;AK$2,0,IF(Datos!$C$4=1,IFERROR(MAX(Stock!AK20-Datos!$C$6,0),0),IFERROR(MAX(Datos!$C$6-Stock!AK20,0),0)))</f>
        <v>9408.1295218863288</v>
      </c>
      <c r="AL20">
        <f>IF($B20&gt;AL$2,0,IF(Datos!$C$4=1,IFERROR(MAX(Stock!AL20-Datos!$C$6,0),0),IFERROR(MAX(Datos!$C$6-Stock!AL20,0),0)))</f>
        <v>16906.831029471661</v>
      </c>
      <c r="AM20">
        <f>IF($B20&gt;AM$2,0,IF(Datos!$C$4=1,IFERROR(MAX(Stock!AM20-Datos!$C$6,0),0),IFERROR(MAX(Datos!$C$6-Stock!AM20,0),0)))</f>
        <v>30357.030573743094</v>
      </c>
      <c r="AN20">
        <f>IF($B20&gt;AN$2,0,IF(Datos!$C$4=1,IFERROR(MAX(Stock!AN20-Datos!$C$6,0),0),IFERROR(MAX(Datos!$C$6-Stock!AN20,0),0)))</f>
        <v>54482.256467549058</v>
      </c>
      <c r="AO20">
        <f>IF($B20&gt;AO$2,0,IF(Datos!$C$4=1,IFERROR(MAX(Stock!AO20-Datos!$C$6,0),0),IFERROR(MAX(Datos!$C$6-Stock!AO20,0),0)))</f>
        <v>97754.962014513003</v>
      </c>
      <c r="AP20">
        <f>IF($B20&gt;AP$2,0,IF(Datos!$C$4=1,IFERROR(MAX(Stock!AP20-Datos!$C$6,0),0),IFERROR(MAX(Datos!$C$6-Stock!AP20,0),0)))</f>
        <v>175371.93661183701</v>
      </c>
      <c r="AQ20">
        <f>IF($B20&gt;AQ$2,0,IF(Datos!$C$4=1,IFERROR(MAX(Stock!AQ20-Datos!$C$6,0),0),IFERROR(MAX(Datos!$C$6-Stock!AQ20,0),0)))</f>
        <v>314591.21281594137</v>
      </c>
      <c r="AR20">
        <f>IF($B20&gt;AR$2,0,IF(Datos!$C$4=1,IFERROR(MAX(Stock!AR20-Datos!$C$6,0),0),IFERROR(MAX(Datos!$C$6-Stock!AR20,0),0)))</f>
        <v>564304.71900899138</v>
      </c>
      <c r="AS20">
        <f>IF($B20&gt;AS$2,0,IF(Datos!$C$4=1,IFERROR(MAX(Stock!AS20-Datos!$C$6,0),0),IFERROR(MAX(Datos!$C$6-Stock!AS20,0),0)))</f>
        <v>1012208.4639171843</v>
      </c>
      <c r="AT20">
        <f>IF($B20&gt;AT$2,0,IF(Datos!$C$4=1,IFERROR(MAX(Stock!AT20-Datos!$C$6,0),0),IFERROR(MAX(Datos!$C$6-Stock!AT20,0),0)))</f>
        <v>1815600.1897443368</v>
      </c>
      <c r="AU20">
        <f>IF($B20&gt;AU$2,0,IF(Datos!$C$4=1,IFERROR(MAX(Stock!AU20-Datos!$C$6,0),0),IFERROR(MAX(Datos!$C$6-Stock!AU20,0),0)))</f>
        <v>3256620.2134992746</v>
      </c>
      <c r="AV20">
        <f>IF($B20&gt;AV$2,0,IF(Datos!$C$4=1,IFERROR(MAX(Stock!AV20-Datos!$C$6,0),0),IFERROR(MAX(Datos!$C$6-Stock!AV20,0),0)))</f>
        <v>5841335.2934619542</v>
      </c>
      <c r="AW20">
        <f>IF($B20&gt;AW$2,0,IF(Datos!$C$4=1,IFERROR(MAX(Stock!AW20-Datos!$C$6,0),0),IFERROR(MAX(Datos!$C$6-Stock!AW20,0),0)))</f>
        <v>10477462.435663704</v>
      </c>
      <c r="AX20">
        <f>IF($B20&gt;AX$2,0,IF(Datos!$C$4=1,IFERROR(MAX(Stock!AX20-Datos!$C$6,0),0),IFERROR(MAX(Datos!$C$6-Stock!AX20,0),0)))</f>
        <v>18793146.839443367</v>
      </c>
      <c r="AY20">
        <f>IF($B20&gt;AY$2,0,IF(Datos!$C$4=1,IFERROR(MAX(Stock!AY20-Datos!$C$6,0),0),IFERROR(MAX(Datos!$C$6-Stock!AY20,0),0)))</f>
        <v>33708744.48856736</v>
      </c>
      <c r="AZ20">
        <f>IF($B20&gt;AZ$2,0,IF(Datos!$C$4=1,IFERROR(MAX(Stock!AZ20-Datos!$C$6,0),0),IFERROR(MAX(Datos!$C$6-Stock!AZ20,0),0)))</f>
        <v>60462411.706798196</v>
      </c>
      <c r="BA20">
        <f>IF($B20&gt;BA$2,0,IF(Datos!$C$4=1,IFERROR(MAX(Stock!BA20-Datos!$C$6,0),0),IFERROR(MAX(Datos!$C$6-Stock!BA20,0),0)))</f>
        <v>108449674.86992565</v>
      </c>
    </row>
    <row r="21" spans="2:53" x14ac:dyDescent="0.25">
      <c r="B21">
        <v>18</v>
      </c>
      <c r="D21">
        <f>IF($B21&gt;D$2,0,IF(Datos!$C$4=1,IFERROR(MAX(Stock!D21-Datos!$C$6,0),0),IFERROR(MAX(Datos!$C$6-Stock!D21,0),0)))</f>
        <v>0</v>
      </c>
      <c r="E21">
        <f>IF($B21&gt;E$2,0,IF(Datos!$C$4=1,IFERROR(MAX(Stock!E21-Datos!$C$6,0),0),IFERROR(MAX(Datos!$C$6-Stock!E21,0),0)))</f>
        <v>0</v>
      </c>
      <c r="F21">
        <f>IF($B21&gt;F$2,0,IF(Datos!$C$4=1,IFERROR(MAX(Stock!F21-Datos!$C$6,0),0),IFERROR(MAX(Datos!$C$6-Stock!F21,0),0)))</f>
        <v>0</v>
      </c>
      <c r="G21">
        <f>IF($B21&gt;G$2,0,IF(Datos!$C$4=1,IFERROR(MAX(Stock!G21-Datos!$C$6,0),0),IFERROR(MAX(Datos!$C$6-Stock!G21,0),0)))</f>
        <v>0</v>
      </c>
      <c r="H21">
        <f>IF($B21&gt;H$2,0,IF(Datos!$C$4=1,IFERROR(MAX(Stock!H21-Datos!$C$6,0),0),IFERROR(MAX(Datos!$C$6-Stock!H21,0),0)))</f>
        <v>0</v>
      </c>
      <c r="I21">
        <f>IF($B21&gt;I$2,0,IF(Datos!$C$4=1,IFERROR(MAX(Stock!I21-Datos!$C$6,0),0),IFERROR(MAX(Datos!$C$6-Stock!I21,0),0)))</f>
        <v>0</v>
      </c>
      <c r="J21">
        <f>IF($B21&gt;J$2,0,IF(Datos!$C$4=1,IFERROR(MAX(Stock!J21-Datos!$C$6,0),0),IFERROR(MAX(Datos!$C$6-Stock!J21,0),0)))</f>
        <v>0</v>
      </c>
      <c r="K21">
        <f>IF($B21&gt;K$2,0,IF(Datos!$C$4=1,IFERROR(MAX(Stock!K21-Datos!$C$6,0),0),IFERROR(MAX(Datos!$C$6-Stock!K21,0),0)))</f>
        <v>0</v>
      </c>
      <c r="L21">
        <f>IF($B21&gt;L$2,0,IF(Datos!$C$4=1,IFERROR(MAX(Stock!L21-Datos!$C$6,0),0),IFERROR(MAX(Datos!$C$6-Stock!L21,0),0)))</f>
        <v>0</v>
      </c>
      <c r="M21">
        <f>IF($B21&gt;M$2,0,IF(Datos!$C$4=1,IFERROR(MAX(Stock!M21-Datos!$C$6,0),0),IFERROR(MAX(Datos!$C$6-Stock!M21,0),0)))</f>
        <v>0</v>
      </c>
      <c r="N21">
        <f>IF($B21&gt;N$2,0,IF(Datos!$C$4=1,IFERROR(MAX(Stock!N21-Datos!$C$6,0),0),IFERROR(MAX(Datos!$C$6-Stock!N21,0),0)))</f>
        <v>0</v>
      </c>
      <c r="O21">
        <f>IF($B21&gt;O$2,0,IF(Datos!$C$4=1,IFERROR(MAX(Stock!O21-Datos!$C$6,0),0),IFERROR(MAX(Datos!$C$6-Stock!O21,0),0)))</f>
        <v>0</v>
      </c>
      <c r="P21">
        <f>IF($B21&gt;P$2,0,IF(Datos!$C$4=1,IFERROR(MAX(Stock!P21-Datos!$C$6,0),0),IFERROR(MAX(Datos!$C$6-Stock!P21,0),0)))</f>
        <v>0</v>
      </c>
      <c r="Q21">
        <f>IF($B21&gt;Q$2,0,IF(Datos!$C$4=1,IFERROR(MAX(Stock!Q21-Datos!$C$6,0),0),IFERROR(MAX(Datos!$C$6-Stock!Q21,0),0)))</f>
        <v>0</v>
      </c>
      <c r="R21">
        <f>IF($B21&gt;R$2,0,IF(Datos!$C$4=1,IFERROR(MAX(Stock!R21-Datos!$C$6,0),0),IFERROR(MAX(Datos!$C$6-Stock!R21,0),0)))</f>
        <v>0</v>
      </c>
      <c r="S21">
        <f>IF($B21&gt;S$2,0,IF(Datos!$C$4=1,IFERROR(MAX(Stock!S21-Datos!$C$6,0),0),IFERROR(MAX(Datos!$C$6-Stock!S21,0),0)))</f>
        <v>0</v>
      </c>
      <c r="T21">
        <f>IF($B21&gt;T$2,0,IF(Datos!$C$4=1,IFERROR(MAX(Stock!T21-Datos!$C$6,0),0),IFERROR(MAX(Datos!$C$6-Stock!T21,0),0)))</f>
        <v>0</v>
      </c>
      <c r="U21">
        <f>IF($B21&gt;U$2,0,IF(Datos!$C$4=1,IFERROR(MAX(Stock!U21-Datos!$C$6,0),0),IFERROR(MAX(Datos!$C$6-Stock!U21,0),0)))</f>
        <v>0</v>
      </c>
      <c r="V21">
        <f>IF($B21&gt;V$2,0,IF(Datos!$C$4=1,IFERROR(MAX(Stock!V21-Datos!$C$6,0),0),IFERROR(MAX(Datos!$C$6-Stock!V21,0),0)))</f>
        <v>0</v>
      </c>
      <c r="W21">
        <f>IF($B21&gt;W$2,0,IF(Datos!$C$4=1,IFERROR(MAX(Stock!W21-Datos!$C$6,0),0),IFERROR(MAX(Datos!$C$6-Stock!W21,0),0)))</f>
        <v>0</v>
      </c>
      <c r="X21">
        <f>IF($B21&gt;X$2,0,IF(Datos!$C$4=1,IFERROR(MAX(Stock!X21-Datos!$C$6,0),0),IFERROR(MAX(Datos!$C$6-Stock!X21,0),0)))</f>
        <v>0</v>
      </c>
      <c r="Y21">
        <f>IF($B21&gt;Y$2,0,IF(Datos!$C$4=1,IFERROR(MAX(Stock!Y21-Datos!$C$6,0),0),IFERROR(MAX(Datos!$C$6-Stock!Y21,0),0)))</f>
        <v>0</v>
      </c>
      <c r="Z21">
        <f>IF($B21&gt;Z$2,0,IF(Datos!$C$4=1,IFERROR(MAX(Stock!Z21-Datos!$C$6,0),0),IFERROR(MAX(Datos!$C$6-Stock!Z21,0),0)))</f>
        <v>0</v>
      </c>
      <c r="AA21">
        <f>IF($B21&gt;AA$2,0,IF(Datos!$C$4=1,IFERROR(MAX(Stock!AA21-Datos!$C$6,0),0),IFERROR(MAX(Datos!$C$6-Stock!AA21,0),0)))</f>
        <v>0</v>
      </c>
      <c r="AB21">
        <f>IF($B21&gt;AB$2,0,IF(Datos!$C$4=1,IFERROR(MAX(Stock!AB21-Datos!$C$6,0),0),IFERROR(MAX(Datos!$C$6-Stock!AB21,0),0)))</f>
        <v>0</v>
      </c>
      <c r="AC21">
        <f>IF($B21&gt;AC$2,0,IF(Datos!$C$4=1,IFERROR(MAX(Stock!AC21-Datos!$C$6,0),0),IFERROR(MAX(Datos!$C$6-Stock!AC21,0),0)))</f>
        <v>0</v>
      </c>
      <c r="AD21">
        <f>IF($B21&gt;AD$2,0,IF(Datos!$C$4=1,IFERROR(MAX(Stock!AD21-Datos!$C$6,0),0),IFERROR(MAX(Datos!$C$6-Stock!AD21,0),0)))</f>
        <v>27.707397873408965</v>
      </c>
      <c r="AE21">
        <f>IF($B21&gt;AE$2,0,IF(Datos!$C$4=1,IFERROR(MAX(Stock!AE21-Datos!$C$6,0),0),IFERROR(MAX(Datos!$C$6-Stock!AE21,0),0)))</f>
        <v>81.444760949549902</v>
      </c>
      <c r="AF21">
        <f>IF($B21&gt;AF$2,0,IF(Datos!$C$4=1,IFERROR(MAX(Stock!AF21-Datos!$C$6,0),0),IFERROR(MAX(Datos!$C$6-Stock!AF21,0),0)))</f>
        <v>177.83188285671361</v>
      </c>
      <c r="AG21">
        <f>IF($B21&gt;AG$2,0,IF(Datos!$C$4=1,IFERROR(MAX(Stock!AG21-Datos!$C$6,0),0),IFERROR(MAX(Datos!$C$6-Stock!AG21,0),0)))</f>
        <v>350.71861822522584</v>
      </c>
      <c r="AH21">
        <f>IF($B21&gt;AH$2,0,IF(Datos!$C$4=1,IFERROR(MAX(Stock!AH21-Datos!$C$6,0),0),IFERROR(MAX(Datos!$C$6-Stock!AH21,0),0)))</f>
        <v>660.82045211098773</v>
      </c>
      <c r="AI21">
        <f>IF($B21&gt;AI$2,0,IF(Datos!$C$4=1,IFERROR(MAX(Stock!AI21-Datos!$C$6,0),0),IFERROR(MAX(Datos!$C$6-Stock!AI21,0),0)))</f>
        <v>1217.0409578330641</v>
      </c>
      <c r="AJ21">
        <f>IF($B21&gt;AJ$2,0,IF(Datos!$C$4=1,IFERROR(MAX(Stock!AJ21-Datos!$C$6,0),0),IFERROR(MAX(Datos!$C$6-Stock!AJ21,0),0)))</f>
        <v>2214.717260191519</v>
      </c>
      <c r="AK21">
        <f>IF($B21&gt;AK$2,0,IF(Datos!$C$4=1,IFERROR(MAX(Stock!AK21-Datos!$C$6,0),0),IFERROR(MAX(Datos!$C$6-Stock!AK21,0),0)))</f>
        <v>4004.2197938952713</v>
      </c>
      <c r="AL21">
        <f>IF($B21&gt;AL$2,0,IF(Datos!$C$4=1,IFERROR(MAX(Stock!AL21-Datos!$C$6,0),0),IFERROR(MAX(Datos!$C$6-Stock!AL21,0),0)))</f>
        <v>7213.9976652970809</v>
      </c>
      <c r="AM21">
        <f>IF($B21&gt;AM$2,0,IF(Datos!$C$4=1,IFERROR(MAX(Stock!AM21-Datos!$C$6,0),0),IFERROR(MAX(Datos!$C$6-Stock!AM21,0),0)))</f>
        <v>12971.281485631876</v>
      </c>
      <c r="AN21">
        <f>IF($B21&gt;AN$2,0,IF(Datos!$C$4=1,IFERROR(MAX(Stock!AN21-Datos!$C$6,0),0),IFERROR(MAX(Datos!$C$6-Stock!AN21,0),0)))</f>
        <v>23297.951528195532</v>
      </c>
      <c r="AO21">
        <f>IF($B21&gt;AO$2,0,IF(Datos!$C$4=1,IFERROR(MAX(Stock!AO21-Datos!$C$6,0),0),IFERROR(MAX(Datos!$C$6-Stock!AO21,0),0)))</f>
        <v>41820.594756470557</v>
      </c>
      <c r="AP21">
        <f>IF($B21&gt;AP$2,0,IF(Datos!$C$4=1,IFERROR(MAX(Stock!AP21-Datos!$C$6,0),0),IFERROR(MAX(Datos!$C$6-Stock!AP21,0),0)))</f>
        <v>75044.113155707528</v>
      </c>
      <c r="AQ21">
        <f>IF($B21&gt;AQ$2,0,IF(Datos!$C$4=1,IFERROR(MAX(Stock!AQ21-Datos!$C$6,0),0),IFERROR(MAX(Datos!$C$6-Stock!AQ21,0),0)))</f>
        <v>134636.15740236611</v>
      </c>
      <c r="AR21">
        <f>IF($B21&gt;AR$2,0,IF(Datos!$C$4=1,IFERROR(MAX(Stock!AR21-Datos!$C$6,0),0),IFERROR(MAX(Datos!$C$6-Stock!AR21,0),0)))</f>
        <v>241524.64810409979</v>
      </c>
      <c r="AS21">
        <f>IF($B21&gt;AS$2,0,IF(Datos!$C$4=1,IFERROR(MAX(Stock!AS21-Datos!$C$6,0),0),IFERROR(MAX(Datos!$C$6-Stock!AS21,0),0)))</f>
        <v>433247.37869552802</v>
      </c>
      <c r="AT21">
        <f>IF($B21&gt;AT$2,0,IF(Datos!$C$4=1,IFERROR(MAX(Stock!AT21-Datos!$C$6,0),0),IFERROR(MAX(Datos!$C$6-Stock!AT21,0),0)))</f>
        <v>777134.78120365611</v>
      </c>
      <c r="AU21">
        <f>IF($B21&gt;AU$2,0,IF(Datos!$C$4=1,IFERROR(MAX(Stock!AU21-Datos!$C$6,0),0),IFERROR(MAX(Datos!$C$6-Stock!AU21,0),0)))</f>
        <v>1393955.464066779</v>
      </c>
      <c r="AV21">
        <f>IF($B21&gt;AV$2,0,IF(Datos!$C$4=1,IFERROR(MAX(Stock!AV21-Datos!$C$6,0),0),IFERROR(MAX(Datos!$C$6-Stock!AV21,0),0)))</f>
        <v>2500328.515341131</v>
      </c>
      <c r="AW21">
        <f>IF($B21&gt;AW$2,0,IF(Datos!$C$4=1,IFERROR(MAX(Stock!AW21-Datos!$C$6,0),0),IFERROR(MAX(Datos!$C$6-Stock!AW21,0),0)))</f>
        <v>4484797.199018117</v>
      </c>
      <c r="AX21">
        <f>IF($B21&gt;AX$2,0,IF(Datos!$C$4=1,IFERROR(MAX(Stock!AX21-Datos!$C$6,0),0),IFERROR(MAX(Datos!$C$6-Stock!AX21,0),0)))</f>
        <v>8044280.0985325556</v>
      </c>
      <c r="AY21">
        <f>IF($B21&gt;AY$2,0,IF(Datos!$C$4=1,IFERROR(MAX(Stock!AY21-Datos!$C$6,0),0),IFERROR(MAX(Datos!$C$6-Stock!AY21,0),0)))</f>
        <v>14428819.5050501</v>
      </c>
      <c r="AZ21">
        <f>IF($B21&gt;AZ$2,0,IF(Datos!$C$4=1,IFERROR(MAX(Stock!AZ21-Datos!$C$6,0),0),IFERROR(MAX(Datos!$C$6-Stock!AZ21,0),0)))</f>
        <v>25880579.376950573</v>
      </c>
      <c r="BA21">
        <f>IF($B21&gt;BA$2,0,IF(Datos!$C$4=1,IFERROR(MAX(Stock!BA21-Datos!$C$6,0),0),IFERROR(MAX(Datos!$C$6-Stock!BA21,0),0)))</f>
        <v>46421263.021223374</v>
      </c>
    </row>
    <row r="22" spans="2:53" x14ac:dyDescent="0.25">
      <c r="B22">
        <v>19</v>
      </c>
      <c r="D22">
        <f>IF($B22&gt;D$2,0,IF(Datos!$C$4=1,IFERROR(MAX(Stock!D22-Datos!$C$6,0),0),IFERROR(MAX(Datos!$C$6-Stock!D22,0),0)))</f>
        <v>0</v>
      </c>
      <c r="E22">
        <f>IF($B22&gt;E$2,0,IF(Datos!$C$4=1,IFERROR(MAX(Stock!E22-Datos!$C$6,0),0),IFERROR(MAX(Datos!$C$6-Stock!E22,0),0)))</f>
        <v>0</v>
      </c>
      <c r="F22">
        <f>IF($B22&gt;F$2,0,IF(Datos!$C$4=1,IFERROR(MAX(Stock!F22-Datos!$C$6,0),0),IFERROR(MAX(Datos!$C$6-Stock!F22,0),0)))</f>
        <v>0</v>
      </c>
      <c r="G22">
        <f>IF($B22&gt;G$2,0,IF(Datos!$C$4=1,IFERROR(MAX(Stock!G22-Datos!$C$6,0),0),IFERROR(MAX(Datos!$C$6-Stock!G22,0),0)))</f>
        <v>0</v>
      </c>
      <c r="H22">
        <f>IF($B22&gt;H$2,0,IF(Datos!$C$4=1,IFERROR(MAX(Stock!H22-Datos!$C$6,0),0),IFERROR(MAX(Datos!$C$6-Stock!H22,0),0)))</f>
        <v>0</v>
      </c>
      <c r="I22">
        <f>IF($B22&gt;I$2,0,IF(Datos!$C$4=1,IFERROR(MAX(Stock!I22-Datos!$C$6,0),0),IFERROR(MAX(Datos!$C$6-Stock!I22,0),0)))</f>
        <v>0</v>
      </c>
      <c r="J22">
        <f>IF($B22&gt;J$2,0,IF(Datos!$C$4=1,IFERROR(MAX(Stock!J22-Datos!$C$6,0),0),IFERROR(MAX(Datos!$C$6-Stock!J22,0),0)))</f>
        <v>0</v>
      </c>
      <c r="K22">
        <f>IF($B22&gt;K$2,0,IF(Datos!$C$4=1,IFERROR(MAX(Stock!K22-Datos!$C$6,0),0),IFERROR(MAX(Datos!$C$6-Stock!K22,0),0)))</f>
        <v>0</v>
      </c>
      <c r="L22">
        <f>IF($B22&gt;L$2,0,IF(Datos!$C$4=1,IFERROR(MAX(Stock!L22-Datos!$C$6,0),0),IFERROR(MAX(Datos!$C$6-Stock!L22,0),0)))</f>
        <v>0</v>
      </c>
      <c r="M22">
        <f>IF($B22&gt;M$2,0,IF(Datos!$C$4=1,IFERROR(MAX(Stock!M22-Datos!$C$6,0),0),IFERROR(MAX(Datos!$C$6-Stock!M22,0),0)))</f>
        <v>0</v>
      </c>
      <c r="N22">
        <f>IF($B22&gt;N$2,0,IF(Datos!$C$4=1,IFERROR(MAX(Stock!N22-Datos!$C$6,0),0),IFERROR(MAX(Datos!$C$6-Stock!N22,0),0)))</f>
        <v>0</v>
      </c>
      <c r="O22">
        <f>IF($B22&gt;O$2,0,IF(Datos!$C$4=1,IFERROR(MAX(Stock!O22-Datos!$C$6,0),0),IFERROR(MAX(Datos!$C$6-Stock!O22,0),0)))</f>
        <v>0</v>
      </c>
      <c r="P22">
        <f>IF($B22&gt;P$2,0,IF(Datos!$C$4=1,IFERROR(MAX(Stock!P22-Datos!$C$6,0),0),IFERROR(MAX(Datos!$C$6-Stock!P22,0),0)))</f>
        <v>0</v>
      </c>
      <c r="Q22">
        <f>IF($B22&gt;Q$2,0,IF(Datos!$C$4=1,IFERROR(MAX(Stock!Q22-Datos!$C$6,0),0),IFERROR(MAX(Datos!$C$6-Stock!Q22,0),0)))</f>
        <v>0</v>
      </c>
      <c r="R22">
        <f>IF($B22&gt;R$2,0,IF(Datos!$C$4=1,IFERROR(MAX(Stock!R22-Datos!$C$6,0),0),IFERROR(MAX(Datos!$C$6-Stock!R22,0),0)))</f>
        <v>0</v>
      </c>
      <c r="S22">
        <f>IF($B22&gt;S$2,0,IF(Datos!$C$4=1,IFERROR(MAX(Stock!S22-Datos!$C$6,0),0),IFERROR(MAX(Datos!$C$6-Stock!S22,0),0)))</f>
        <v>0</v>
      </c>
      <c r="T22">
        <f>IF($B22&gt;T$2,0,IF(Datos!$C$4=1,IFERROR(MAX(Stock!T22-Datos!$C$6,0),0),IFERROR(MAX(Datos!$C$6-Stock!T22,0),0)))</f>
        <v>0</v>
      </c>
      <c r="U22">
        <f>IF($B22&gt;U$2,0,IF(Datos!$C$4=1,IFERROR(MAX(Stock!U22-Datos!$C$6,0),0),IFERROR(MAX(Datos!$C$6-Stock!U22,0),0)))</f>
        <v>0</v>
      </c>
      <c r="V22">
        <f>IF($B22&gt;V$2,0,IF(Datos!$C$4=1,IFERROR(MAX(Stock!V22-Datos!$C$6,0),0),IFERROR(MAX(Datos!$C$6-Stock!V22,0),0)))</f>
        <v>0</v>
      </c>
      <c r="W22">
        <f>IF($B22&gt;W$2,0,IF(Datos!$C$4=1,IFERROR(MAX(Stock!W22-Datos!$C$6,0),0),IFERROR(MAX(Datos!$C$6-Stock!W22,0),0)))</f>
        <v>0</v>
      </c>
      <c r="X22">
        <f>IF($B22&gt;X$2,0,IF(Datos!$C$4=1,IFERROR(MAX(Stock!X22-Datos!$C$6,0),0),IFERROR(MAX(Datos!$C$6-Stock!X22,0),0)))</f>
        <v>0</v>
      </c>
      <c r="Y22">
        <f>IF($B22&gt;Y$2,0,IF(Datos!$C$4=1,IFERROR(MAX(Stock!Y22-Datos!$C$6,0),0),IFERROR(MAX(Datos!$C$6-Stock!Y22,0),0)))</f>
        <v>0</v>
      </c>
      <c r="Z22">
        <f>IF($B22&gt;Z$2,0,IF(Datos!$C$4=1,IFERROR(MAX(Stock!Z22-Datos!$C$6,0),0),IFERROR(MAX(Datos!$C$6-Stock!Z22,0),0)))</f>
        <v>0</v>
      </c>
      <c r="AA22">
        <f>IF($B22&gt;AA$2,0,IF(Datos!$C$4=1,IFERROR(MAX(Stock!AA22-Datos!$C$6,0),0),IFERROR(MAX(Datos!$C$6-Stock!AA22,0),0)))</f>
        <v>0</v>
      </c>
      <c r="AB22">
        <f>IF($B22&gt;AB$2,0,IF(Datos!$C$4=1,IFERROR(MAX(Stock!AB22-Datos!$C$6,0),0),IFERROR(MAX(Datos!$C$6-Stock!AB22,0),0)))</f>
        <v>0</v>
      </c>
      <c r="AC22">
        <f>IF($B22&gt;AC$2,0,IF(Datos!$C$4=1,IFERROR(MAX(Stock!AC22-Datos!$C$6,0),0),IFERROR(MAX(Datos!$C$6-Stock!AC22,0),0)))</f>
        <v>0</v>
      </c>
      <c r="AD22">
        <f>IF($B22&gt;AD$2,0,IF(Datos!$C$4=1,IFERROR(MAX(Stock!AD22-Datos!$C$6,0),0),IFERROR(MAX(Datos!$C$6-Stock!AD22,0),0)))</f>
        <v>0</v>
      </c>
      <c r="AE22">
        <f>IF($B22&gt;AE$2,0,IF(Datos!$C$4=1,IFERROR(MAX(Stock!AE22-Datos!$C$6,0),0),IFERROR(MAX(Datos!$C$6-Stock!AE22,0),0)))</f>
        <v>11.983760908369803</v>
      </c>
      <c r="AF22">
        <f>IF($B22&gt;AF$2,0,IF(Datos!$C$4=1,IFERROR(MAX(Stock!AF22-Datos!$C$6,0),0),IFERROR(MAX(Datos!$C$6-Stock!AF22,0),0)))</f>
        <v>53.241737462412829</v>
      </c>
      <c r="AG22">
        <f>IF($B22&gt;AG$2,0,IF(Datos!$C$4=1,IFERROR(MAX(Stock!AG22-Datos!$C$6,0),0),IFERROR(MAX(Datos!$C$6-Stock!AG22,0),0)))</f>
        <v>127.24495213676843</v>
      </c>
      <c r="AH22">
        <f>IF($B22&gt;AH$2,0,IF(Datos!$C$4=1,IFERROR(MAX(Stock!AH22-Datos!$C$6,0),0),IFERROR(MAX(Datos!$C$6-Stock!AH22,0),0)))</f>
        <v>259.98233383955818</v>
      </c>
      <c r="AI22">
        <f>IF($B22&gt;AI$2,0,IF(Datos!$C$4=1,IFERROR(MAX(Stock!AI22-Datos!$C$6,0),0),IFERROR(MAX(Datos!$C$6-Stock!AI22,0),0)))</f>
        <v>498.06945720093961</v>
      </c>
      <c r="AJ22">
        <f>IF($B22&gt;AJ$2,0,IF(Datos!$C$4=1,IFERROR(MAX(Stock!AJ22-Datos!$C$6,0),0),IFERROR(MAX(Datos!$C$6-Stock!AJ22,0),0)))</f>
        <v>925.11930241651908</v>
      </c>
      <c r="AK22">
        <f>IF($B22&gt;AK$2,0,IF(Datos!$C$4=1,IFERROR(MAX(Stock!AK22-Datos!$C$6,0),0),IFERROR(MAX(Datos!$C$6-Stock!AK22,0),0)))</f>
        <v>1691.1060039393783</v>
      </c>
      <c r="AL22">
        <f>IF($B22&gt;AL$2,0,IF(Datos!$C$4=1,IFERROR(MAX(Stock!AL22-Datos!$C$6,0),0),IFERROR(MAX(Datos!$C$6-Stock!AL22,0),0)))</f>
        <v>3065.0337397372414</v>
      </c>
      <c r="AM22">
        <f>IF($B22&gt;AM$2,0,IF(Datos!$C$4=1,IFERROR(MAX(Stock!AM22-Datos!$C$6,0),0),IFERROR(MAX(Datos!$C$6-Stock!AM22,0),0)))</f>
        <v>5529.4073632502204</v>
      </c>
      <c r="AN22">
        <f>IF($B22&gt;AN$2,0,IF(Datos!$C$4=1,IFERROR(MAX(Stock!AN22-Datos!$C$6,0),0),IFERROR(MAX(Datos!$C$6-Stock!AN22,0),0)))</f>
        <v>9949.6815873088235</v>
      </c>
      <c r="AO22">
        <f>IF($B22&gt;AO$2,0,IF(Datos!$C$4=1,IFERROR(MAX(Stock!AO22-Datos!$C$6,0),0),IFERROR(MAX(Datos!$C$6-Stock!AO22,0),0)))</f>
        <v>17878.196983454058</v>
      </c>
      <c r="AP22">
        <f>IF($B22&gt;AP$2,0,IF(Datos!$C$4=1,IFERROR(MAX(Stock!AP22-Datos!$C$6,0),0),IFERROR(MAX(Datos!$C$6-Stock!AP22,0),0)))</f>
        <v>32099.341012204848</v>
      </c>
      <c r="AQ22">
        <f>IF($B22&gt;AQ$2,0,IF(Datos!$C$4=1,IFERROR(MAX(Stock!AQ22-Datos!$C$6,0),0),IFERROR(MAX(Datos!$C$6-Stock!AQ22,0),0)))</f>
        <v>57607.387270751802</v>
      </c>
      <c r="AR22">
        <f>IF($B22&gt;AR$2,0,IF(Datos!$C$4=1,IFERROR(MAX(Stock!AR22-Datos!$C$6,0),0),IFERROR(MAX(Datos!$C$6-Stock!AR22,0),0)))</f>
        <v>103360.41688726751</v>
      </c>
      <c r="AS22">
        <f>IF($B22&gt;AS$2,0,IF(Datos!$C$4=1,IFERROR(MAX(Stock!AS22-Datos!$C$6,0),0),IFERROR(MAX(Datos!$C$6-Stock!AS22,0),0)))</f>
        <v>185426.27555287795</v>
      </c>
      <c r="AT22">
        <f>IF($B22&gt;AT$2,0,IF(Datos!$C$4=1,IFERROR(MAX(Stock!AT22-Datos!$C$6,0),0),IFERROR(MAX(Datos!$C$6-Stock!AT22,0),0)))</f>
        <v>332625.38378620113</v>
      </c>
      <c r="AU22">
        <f>IF($B22&gt;AU$2,0,IF(Datos!$C$4=1,IFERROR(MAX(Stock!AU22-Datos!$C$6,0),0),IFERROR(MAX(Datos!$C$6-Stock!AU22,0),0)))</f>
        <v>596652.07913795975</v>
      </c>
      <c r="AV22">
        <f>IF($B22&gt;AV$2,0,IF(Datos!$C$4=1,IFERROR(MAX(Stock!AV22-Datos!$C$6,0),0),IFERROR(MAX(Datos!$C$6-Stock!AV22,0),0)))</f>
        <v>1070228.9689372778</v>
      </c>
      <c r="AW22">
        <f>IF($B22&gt;AW$2,0,IF(Datos!$C$4=1,IFERROR(MAX(Stock!AW22-Datos!$C$6,0),0),IFERROR(MAX(Datos!$C$6-Stock!AW22,0),0)))</f>
        <v>1919669.8569247483</v>
      </c>
      <c r="AX22">
        <f>IF($B22&gt;AX$2,0,IF(Datos!$C$4=1,IFERROR(MAX(Stock!AX22-Datos!$C$6,0),0),IFERROR(MAX(Datos!$C$6-Stock!AX22,0),0)))</f>
        <v>3443286.9035477485</v>
      </c>
      <c r="AY22">
        <f>IF($B22&gt;AY$2,0,IF(Datos!$C$4=1,IFERROR(MAX(Stock!AY22-Datos!$C$6,0),0),IFERROR(MAX(Datos!$C$6-Stock!AY22,0),0)))</f>
        <v>6176153.8252945561</v>
      </c>
      <c r="AZ22">
        <f>IF($B22&gt;AZ$2,0,IF(Datos!$C$4=1,IFERROR(MAX(Stock!AZ22-Datos!$C$6,0),0),IFERROR(MAX(Datos!$C$6-Stock!AZ22,0),0)))</f>
        <v>11078016.552894944</v>
      </c>
      <c r="BA22">
        <f>IF($B22&gt;BA$2,0,IF(Datos!$C$4=1,IFERROR(MAX(Stock!BA22-Datos!$C$6,0),0),IFERROR(MAX(Datos!$C$6-Stock!BA22,0),0)))</f>
        <v>19870343.032107268</v>
      </c>
    </row>
    <row r="23" spans="2:53" x14ac:dyDescent="0.25">
      <c r="B23">
        <v>20</v>
      </c>
      <c r="D23">
        <f>IF($B23&gt;D$2,0,IF(Datos!$C$4=1,IFERROR(MAX(Stock!D23-Datos!$C$6,0),0),IFERROR(MAX(Datos!$C$6-Stock!D23,0),0)))</f>
        <v>0</v>
      </c>
      <c r="E23">
        <f>IF($B23&gt;E$2,0,IF(Datos!$C$4=1,IFERROR(MAX(Stock!E23-Datos!$C$6,0),0),IFERROR(MAX(Datos!$C$6-Stock!E23,0),0)))</f>
        <v>0</v>
      </c>
      <c r="F23">
        <f>IF($B23&gt;F$2,0,IF(Datos!$C$4=1,IFERROR(MAX(Stock!F23-Datos!$C$6,0),0),IFERROR(MAX(Datos!$C$6-Stock!F23,0),0)))</f>
        <v>0</v>
      </c>
      <c r="G23">
        <f>IF($B23&gt;G$2,0,IF(Datos!$C$4=1,IFERROR(MAX(Stock!G23-Datos!$C$6,0),0),IFERROR(MAX(Datos!$C$6-Stock!G23,0),0)))</f>
        <v>0</v>
      </c>
      <c r="H23">
        <f>IF($B23&gt;H$2,0,IF(Datos!$C$4=1,IFERROR(MAX(Stock!H23-Datos!$C$6,0),0),IFERROR(MAX(Datos!$C$6-Stock!H23,0),0)))</f>
        <v>0</v>
      </c>
      <c r="I23">
        <f>IF($B23&gt;I$2,0,IF(Datos!$C$4=1,IFERROR(MAX(Stock!I23-Datos!$C$6,0),0),IFERROR(MAX(Datos!$C$6-Stock!I23,0),0)))</f>
        <v>0</v>
      </c>
      <c r="J23">
        <f>IF($B23&gt;J$2,0,IF(Datos!$C$4=1,IFERROR(MAX(Stock!J23-Datos!$C$6,0),0),IFERROR(MAX(Datos!$C$6-Stock!J23,0),0)))</f>
        <v>0</v>
      </c>
      <c r="K23">
        <f>IF($B23&gt;K$2,0,IF(Datos!$C$4=1,IFERROR(MAX(Stock!K23-Datos!$C$6,0),0),IFERROR(MAX(Datos!$C$6-Stock!K23,0),0)))</f>
        <v>0</v>
      </c>
      <c r="L23">
        <f>IF($B23&gt;L$2,0,IF(Datos!$C$4=1,IFERROR(MAX(Stock!L23-Datos!$C$6,0),0),IFERROR(MAX(Datos!$C$6-Stock!L23,0),0)))</f>
        <v>0</v>
      </c>
      <c r="M23">
        <f>IF($B23&gt;M$2,0,IF(Datos!$C$4=1,IFERROR(MAX(Stock!M23-Datos!$C$6,0),0),IFERROR(MAX(Datos!$C$6-Stock!M23,0),0)))</f>
        <v>0</v>
      </c>
      <c r="N23">
        <f>IF($B23&gt;N$2,0,IF(Datos!$C$4=1,IFERROR(MAX(Stock!N23-Datos!$C$6,0),0),IFERROR(MAX(Datos!$C$6-Stock!N23,0),0)))</f>
        <v>0</v>
      </c>
      <c r="O23">
        <f>IF($B23&gt;O$2,0,IF(Datos!$C$4=1,IFERROR(MAX(Stock!O23-Datos!$C$6,0),0),IFERROR(MAX(Datos!$C$6-Stock!O23,0),0)))</f>
        <v>0</v>
      </c>
      <c r="P23">
        <f>IF($B23&gt;P$2,0,IF(Datos!$C$4=1,IFERROR(MAX(Stock!P23-Datos!$C$6,0),0),IFERROR(MAX(Datos!$C$6-Stock!P23,0),0)))</f>
        <v>0</v>
      </c>
      <c r="Q23">
        <f>IF($B23&gt;Q$2,0,IF(Datos!$C$4=1,IFERROR(MAX(Stock!Q23-Datos!$C$6,0),0),IFERROR(MAX(Datos!$C$6-Stock!Q23,0),0)))</f>
        <v>0</v>
      </c>
      <c r="R23">
        <f>IF($B23&gt;R$2,0,IF(Datos!$C$4=1,IFERROR(MAX(Stock!R23-Datos!$C$6,0),0),IFERROR(MAX(Datos!$C$6-Stock!R23,0),0)))</f>
        <v>0</v>
      </c>
      <c r="S23">
        <f>IF($B23&gt;S$2,0,IF(Datos!$C$4=1,IFERROR(MAX(Stock!S23-Datos!$C$6,0),0),IFERROR(MAX(Datos!$C$6-Stock!S23,0),0)))</f>
        <v>0</v>
      </c>
      <c r="T23">
        <f>IF($B23&gt;T$2,0,IF(Datos!$C$4=1,IFERROR(MAX(Stock!T23-Datos!$C$6,0),0),IFERROR(MAX(Datos!$C$6-Stock!T23,0),0)))</f>
        <v>0</v>
      </c>
      <c r="U23">
        <f>IF($B23&gt;U$2,0,IF(Datos!$C$4=1,IFERROR(MAX(Stock!U23-Datos!$C$6,0),0),IFERROR(MAX(Datos!$C$6-Stock!U23,0),0)))</f>
        <v>0</v>
      </c>
      <c r="V23">
        <f>IF($B23&gt;V$2,0,IF(Datos!$C$4=1,IFERROR(MAX(Stock!V23-Datos!$C$6,0),0),IFERROR(MAX(Datos!$C$6-Stock!V23,0),0)))</f>
        <v>0</v>
      </c>
      <c r="W23">
        <f>IF($B23&gt;W$2,0,IF(Datos!$C$4=1,IFERROR(MAX(Stock!W23-Datos!$C$6,0),0),IFERROR(MAX(Datos!$C$6-Stock!W23,0),0)))</f>
        <v>0</v>
      </c>
      <c r="X23">
        <f>IF($B23&gt;X$2,0,IF(Datos!$C$4=1,IFERROR(MAX(Stock!X23-Datos!$C$6,0),0),IFERROR(MAX(Datos!$C$6-Stock!X23,0),0)))</f>
        <v>0</v>
      </c>
      <c r="Y23">
        <f>IF($B23&gt;Y$2,0,IF(Datos!$C$4=1,IFERROR(MAX(Stock!Y23-Datos!$C$6,0),0),IFERROR(MAX(Datos!$C$6-Stock!Y23,0),0)))</f>
        <v>0</v>
      </c>
      <c r="Z23">
        <f>IF($B23&gt;Z$2,0,IF(Datos!$C$4=1,IFERROR(MAX(Stock!Z23-Datos!$C$6,0),0),IFERROR(MAX(Datos!$C$6-Stock!Z23,0),0)))</f>
        <v>0</v>
      </c>
      <c r="AA23">
        <f>IF($B23&gt;AA$2,0,IF(Datos!$C$4=1,IFERROR(MAX(Stock!AA23-Datos!$C$6,0),0),IFERROR(MAX(Datos!$C$6-Stock!AA23,0),0)))</f>
        <v>0</v>
      </c>
      <c r="AB23">
        <f>IF($B23&gt;AB$2,0,IF(Datos!$C$4=1,IFERROR(MAX(Stock!AB23-Datos!$C$6,0),0),IFERROR(MAX(Datos!$C$6-Stock!AB23,0),0)))</f>
        <v>0</v>
      </c>
      <c r="AC23">
        <f>IF($B23&gt;AC$2,0,IF(Datos!$C$4=1,IFERROR(MAX(Stock!AC23-Datos!$C$6,0),0),IFERROR(MAX(Datos!$C$6-Stock!AC23,0),0)))</f>
        <v>0</v>
      </c>
      <c r="AD23">
        <f>IF($B23&gt;AD$2,0,IF(Datos!$C$4=1,IFERROR(MAX(Stock!AD23-Datos!$C$6,0),0),IFERROR(MAX(Datos!$C$6-Stock!AD23,0),0)))</f>
        <v>0</v>
      </c>
      <c r="AE23">
        <f>IF($B23&gt;AE$2,0,IF(Datos!$C$4=1,IFERROR(MAX(Stock!AE23-Datos!$C$6,0),0),IFERROR(MAX(Datos!$C$6-Stock!AE23,0),0)))</f>
        <v>0</v>
      </c>
      <c r="AF23">
        <f>IF($B23&gt;AF$2,0,IF(Datos!$C$4=1,IFERROR(MAX(Stock!AF23-Datos!$C$6,0),0),IFERROR(MAX(Datos!$C$6-Stock!AF23,0),0)))</f>
        <v>0</v>
      </c>
      <c r="AG23">
        <f>IF($B23&gt;AG$2,0,IF(Datos!$C$4=1,IFERROR(MAX(Stock!AG23-Datos!$C$6,0),0),IFERROR(MAX(Datos!$C$6-Stock!AG23,0),0)))</f>
        <v>31.588280441518222</v>
      </c>
      <c r="AH23">
        <f>IF($B23&gt;AH$2,0,IF(Datos!$C$4=1,IFERROR(MAX(Stock!AH23-Datos!$C$6,0),0),IFERROR(MAX(Datos!$C$6-Stock!AH23,0),0)))</f>
        <v>88.405785454412836</v>
      </c>
      <c r="AI23">
        <f>IF($B23&gt;AI$2,0,IF(Datos!$C$4=1,IFERROR(MAX(Stock!AI23-Datos!$C$6,0),0),IFERROR(MAX(Datos!$C$6-Stock!AI23,0),0)))</f>
        <v>190.31766703258205</v>
      </c>
      <c r="AJ23">
        <f>IF($B23&gt;AJ$2,0,IF(Datos!$C$4=1,IFERROR(MAX(Stock!AJ23-Datos!$C$6,0),0),IFERROR(MAX(Datos!$C$6-Stock!AJ23,0),0)))</f>
        <v>373.1140007407534</v>
      </c>
      <c r="AK23">
        <f>IF($B23&gt;AK$2,0,IF(Datos!$C$4=1,IFERROR(MAX(Stock!AK23-Datos!$C$6,0),0),IFERROR(MAX(Datos!$C$6-Stock!AK23,0),0)))</f>
        <v>700.99038865259172</v>
      </c>
      <c r="AL23">
        <f>IF($B23&gt;AL$2,0,IF(Datos!$C$4=1,IFERROR(MAX(Stock!AL23-Datos!$C$6,0),0),IFERROR(MAX(Datos!$C$6-Stock!AL23,0),0)))</f>
        <v>1289.0925872543396</v>
      </c>
      <c r="AM23">
        <f>IF($B23&gt;AM$2,0,IF(Datos!$C$4=1,IFERROR(MAX(Stock!AM23-Datos!$C$6,0),0),IFERROR(MAX(Datos!$C$6-Stock!AM23,0),0)))</f>
        <v>2343.9541410335883</v>
      </c>
      <c r="AN23">
        <f>IF($B23&gt;AN$2,0,IF(Datos!$C$4=1,IFERROR(MAX(Stock!AN23-Datos!$C$6,0),0),IFERROR(MAX(Datos!$C$6-Stock!AN23,0),0)))</f>
        <v>4236.0281721920628</v>
      </c>
      <c r="AO23">
        <f>IF($B23&gt;AO$2,0,IF(Datos!$C$4=1,IFERROR(MAX(Stock!AO23-Datos!$C$6,0),0),IFERROR(MAX(Datos!$C$6-Stock!AO23,0),0)))</f>
        <v>7629.7855108289932</v>
      </c>
      <c r="AP23">
        <f>IF($B23&gt;AP$2,0,IF(Datos!$C$4=1,IFERROR(MAX(Stock!AP23-Datos!$C$6,0),0),IFERROR(MAX(Datos!$C$6-Stock!AP23,0),0)))</f>
        <v>13717.067870758674</v>
      </c>
      <c r="AQ23">
        <f>IF($B23&gt;AQ$2,0,IF(Datos!$C$4=1,IFERROR(MAX(Stock!AQ23-Datos!$C$6,0),0),IFERROR(MAX(Datos!$C$6-Stock!AQ23,0),0)))</f>
        <v>24635.646552755374</v>
      </c>
      <c r="AR23">
        <f>IF($B23&gt;AR$2,0,IF(Datos!$C$4=1,IFERROR(MAX(Stock!AR23-Datos!$C$6,0),0),IFERROR(MAX(Datos!$C$6-Stock!AR23,0),0)))</f>
        <v>44219.978835368602</v>
      </c>
      <c r="AS23">
        <f>IF($B23&gt;AS$2,0,IF(Datos!$C$4=1,IFERROR(MAX(Stock!AS23-Datos!$C$6,0),0),IFERROR(MAX(Datos!$C$6-Stock!AS23,0),0)))</f>
        <v>79347.817551979519</v>
      </c>
      <c r="AT23">
        <f>IF($B23&gt;AT$2,0,IF(Datos!$C$4=1,IFERROR(MAX(Stock!AT23-Datos!$C$6,0),0),IFERROR(MAX(Datos!$C$6-Stock!AT23,0),0)))</f>
        <v>142355.58493936868</v>
      </c>
      <c r="AU23">
        <f>IF($B23&gt;AU$2,0,IF(Datos!$C$4=1,IFERROR(MAX(Stock!AU23-Datos!$C$6,0),0),IFERROR(MAX(Datos!$C$6-Stock!AU23,0),0)))</f>
        <v>255370.75741185134</v>
      </c>
      <c r="AV23">
        <f>IF($B23&gt;AV$2,0,IF(Datos!$C$4=1,IFERROR(MAX(Stock!AV23-Datos!$C$6,0),0),IFERROR(MAX(Datos!$C$6-Stock!AV23,0),0)))</f>
        <v>458082.73624545429</v>
      </c>
      <c r="AW23">
        <f>IF($B23&gt;AW$2,0,IF(Datos!$C$4=1,IFERROR(MAX(Stock!AW23-Datos!$C$6,0),0),IFERROR(MAX(Datos!$C$6-Stock!AW23,0),0)))</f>
        <v>821681.22894023254</v>
      </c>
      <c r="AX23">
        <f>IF($B23&gt;AX$2,0,IF(Datos!$C$4=1,IFERROR(MAX(Stock!AX23-Datos!$C$6,0),0),IFERROR(MAX(Datos!$C$6-Stock!AX23,0),0)))</f>
        <v>1473857.1124307429</v>
      </c>
      <c r="AY23">
        <f>IF($B23&gt;AY$2,0,IF(Datos!$C$4=1,IFERROR(MAX(Stock!AY23-Datos!$C$6,0),0),IFERROR(MAX(Datos!$C$6-Stock!AY23,0),0)))</f>
        <v>2643645.7434404786</v>
      </c>
      <c r="AZ23">
        <f>IF($B23&gt;AZ$2,0,IF(Datos!$C$4=1,IFERROR(MAX(Stock!AZ23-Datos!$C$6,0),0),IFERROR(MAX(Datos!$C$6-Stock!AZ23,0),0)))</f>
        <v>4741861.0805605641</v>
      </c>
      <c r="BA23">
        <f>IF($B23&gt;BA$2,0,IF(Datos!$C$4=1,IFERROR(MAX(Stock!BA23-Datos!$C$6,0),0),IFERROR(MAX(Datos!$C$6-Stock!BA23,0),0)))</f>
        <v>8505367.9947334323</v>
      </c>
    </row>
    <row r="24" spans="2:53" x14ac:dyDescent="0.25">
      <c r="B24">
        <v>21</v>
      </c>
      <c r="D24">
        <f>IF($B24&gt;D$2,0,IF(Datos!$C$4=1,IFERROR(MAX(Stock!D24-Datos!$C$6,0),0),IFERROR(MAX(Datos!$C$6-Stock!D24,0),0)))</f>
        <v>0</v>
      </c>
      <c r="E24">
        <f>IF($B24&gt;E$2,0,IF(Datos!$C$4=1,IFERROR(MAX(Stock!E24-Datos!$C$6,0),0),IFERROR(MAX(Datos!$C$6-Stock!E24,0),0)))</f>
        <v>0</v>
      </c>
      <c r="F24">
        <f>IF($B24&gt;F$2,0,IF(Datos!$C$4=1,IFERROR(MAX(Stock!F24-Datos!$C$6,0),0),IFERROR(MAX(Datos!$C$6-Stock!F24,0),0)))</f>
        <v>0</v>
      </c>
      <c r="G24">
        <f>IF($B24&gt;G$2,0,IF(Datos!$C$4=1,IFERROR(MAX(Stock!G24-Datos!$C$6,0),0),IFERROR(MAX(Datos!$C$6-Stock!G24,0),0)))</f>
        <v>0</v>
      </c>
      <c r="H24">
        <f>IF($B24&gt;H$2,0,IF(Datos!$C$4=1,IFERROR(MAX(Stock!H24-Datos!$C$6,0),0),IFERROR(MAX(Datos!$C$6-Stock!H24,0),0)))</f>
        <v>0</v>
      </c>
      <c r="I24">
        <f>IF($B24&gt;I$2,0,IF(Datos!$C$4=1,IFERROR(MAX(Stock!I24-Datos!$C$6,0),0),IFERROR(MAX(Datos!$C$6-Stock!I24,0),0)))</f>
        <v>0</v>
      </c>
      <c r="J24">
        <f>IF($B24&gt;J$2,0,IF(Datos!$C$4=1,IFERROR(MAX(Stock!J24-Datos!$C$6,0),0),IFERROR(MAX(Datos!$C$6-Stock!J24,0),0)))</f>
        <v>0</v>
      </c>
      <c r="K24">
        <f>IF($B24&gt;K$2,0,IF(Datos!$C$4=1,IFERROR(MAX(Stock!K24-Datos!$C$6,0),0),IFERROR(MAX(Datos!$C$6-Stock!K24,0),0)))</f>
        <v>0</v>
      </c>
      <c r="L24">
        <f>IF($B24&gt;L$2,0,IF(Datos!$C$4=1,IFERROR(MAX(Stock!L24-Datos!$C$6,0),0),IFERROR(MAX(Datos!$C$6-Stock!L24,0),0)))</f>
        <v>0</v>
      </c>
      <c r="M24">
        <f>IF($B24&gt;M$2,0,IF(Datos!$C$4=1,IFERROR(MAX(Stock!M24-Datos!$C$6,0),0),IFERROR(MAX(Datos!$C$6-Stock!M24,0),0)))</f>
        <v>0</v>
      </c>
      <c r="N24">
        <f>IF($B24&gt;N$2,0,IF(Datos!$C$4=1,IFERROR(MAX(Stock!N24-Datos!$C$6,0),0),IFERROR(MAX(Datos!$C$6-Stock!N24,0),0)))</f>
        <v>0</v>
      </c>
      <c r="O24">
        <f>IF($B24&gt;O$2,0,IF(Datos!$C$4=1,IFERROR(MAX(Stock!O24-Datos!$C$6,0),0),IFERROR(MAX(Datos!$C$6-Stock!O24,0),0)))</f>
        <v>0</v>
      </c>
      <c r="P24">
        <f>IF($B24&gt;P$2,0,IF(Datos!$C$4=1,IFERROR(MAX(Stock!P24-Datos!$C$6,0),0),IFERROR(MAX(Datos!$C$6-Stock!P24,0),0)))</f>
        <v>0</v>
      </c>
      <c r="Q24">
        <f>IF($B24&gt;Q$2,0,IF(Datos!$C$4=1,IFERROR(MAX(Stock!Q24-Datos!$C$6,0),0),IFERROR(MAX(Datos!$C$6-Stock!Q24,0),0)))</f>
        <v>0</v>
      </c>
      <c r="R24">
        <f>IF($B24&gt;R$2,0,IF(Datos!$C$4=1,IFERROR(MAX(Stock!R24-Datos!$C$6,0),0),IFERROR(MAX(Datos!$C$6-Stock!R24,0),0)))</f>
        <v>0</v>
      </c>
      <c r="S24">
        <f>IF($B24&gt;S$2,0,IF(Datos!$C$4=1,IFERROR(MAX(Stock!S24-Datos!$C$6,0),0),IFERROR(MAX(Datos!$C$6-Stock!S24,0),0)))</f>
        <v>0</v>
      </c>
      <c r="T24">
        <f>IF($B24&gt;T$2,0,IF(Datos!$C$4=1,IFERROR(MAX(Stock!T24-Datos!$C$6,0),0),IFERROR(MAX(Datos!$C$6-Stock!T24,0),0)))</f>
        <v>0</v>
      </c>
      <c r="U24">
        <f>IF($B24&gt;U$2,0,IF(Datos!$C$4=1,IFERROR(MAX(Stock!U24-Datos!$C$6,0),0),IFERROR(MAX(Datos!$C$6-Stock!U24,0),0)))</f>
        <v>0</v>
      </c>
      <c r="V24">
        <f>IF($B24&gt;V$2,0,IF(Datos!$C$4=1,IFERROR(MAX(Stock!V24-Datos!$C$6,0),0),IFERROR(MAX(Datos!$C$6-Stock!V24,0),0)))</f>
        <v>0</v>
      </c>
      <c r="W24">
        <f>IF($B24&gt;W$2,0,IF(Datos!$C$4=1,IFERROR(MAX(Stock!W24-Datos!$C$6,0),0),IFERROR(MAX(Datos!$C$6-Stock!W24,0),0)))</f>
        <v>0</v>
      </c>
      <c r="X24">
        <f>IF($B24&gt;X$2,0,IF(Datos!$C$4=1,IFERROR(MAX(Stock!X24-Datos!$C$6,0),0),IFERROR(MAX(Datos!$C$6-Stock!X24,0),0)))</f>
        <v>0</v>
      </c>
      <c r="Y24">
        <f>IF($B24&gt;Y$2,0,IF(Datos!$C$4=1,IFERROR(MAX(Stock!Y24-Datos!$C$6,0),0),IFERROR(MAX(Datos!$C$6-Stock!Y24,0),0)))</f>
        <v>0</v>
      </c>
      <c r="Z24">
        <f>IF($B24&gt;Z$2,0,IF(Datos!$C$4=1,IFERROR(MAX(Stock!Z24-Datos!$C$6,0),0),IFERROR(MAX(Datos!$C$6-Stock!Z24,0),0)))</f>
        <v>0</v>
      </c>
      <c r="AA24">
        <f>IF($B24&gt;AA$2,0,IF(Datos!$C$4=1,IFERROR(MAX(Stock!AA24-Datos!$C$6,0),0),IFERROR(MAX(Datos!$C$6-Stock!AA24,0),0)))</f>
        <v>0</v>
      </c>
      <c r="AB24">
        <f>IF($B24&gt;AB$2,0,IF(Datos!$C$4=1,IFERROR(MAX(Stock!AB24-Datos!$C$6,0),0),IFERROR(MAX(Datos!$C$6-Stock!AB24,0),0)))</f>
        <v>0</v>
      </c>
      <c r="AC24">
        <f>IF($B24&gt;AC$2,0,IF(Datos!$C$4=1,IFERROR(MAX(Stock!AC24-Datos!$C$6,0),0),IFERROR(MAX(Datos!$C$6-Stock!AC24,0),0)))</f>
        <v>0</v>
      </c>
      <c r="AD24">
        <f>IF($B24&gt;AD$2,0,IF(Datos!$C$4=1,IFERROR(MAX(Stock!AD24-Datos!$C$6,0),0),IFERROR(MAX(Datos!$C$6-Stock!AD24,0),0)))</f>
        <v>0</v>
      </c>
      <c r="AE24">
        <f>IF($B24&gt;AE$2,0,IF(Datos!$C$4=1,IFERROR(MAX(Stock!AE24-Datos!$C$6,0),0),IFERROR(MAX(Datos!$C$6-Stock!AE24,0),0)))</f>
        <v>0</v>
      </c>
      <c r="AF24">
        <f>IF($B24&gt;AF$2,0,IF(Datos!$C$4=1,IFERROR(MAX(Stock!AF24-Datos!$C$6,0),0),IFERROR(MAX(Datos!$C$6-Stock!AF24,0),0)))</f>
        <v>0</v>
      </c>
      <c r="AG24">
        <f>IF($B24&gt;AG$2,0,IF(Datos!$C$4=1,IFERROR(MAX(Stock!AG24-Datos!$C$6,0),0),IFERROR(MAX(Datos!$C$6-Stock!AG24,0),0)))</f>
        <v>0</v>
      </c>
      <c r="AH24">
        <f>IF($B24&gt;AH$2,0,IF(Datos!$C$4=1,IFERROR(MAX(Stock!AH24-Datos!$C$6,0),0),IFERROR(MAX(Datos!$C$6-Stock!AH24,0),0)))</f>
        <v>14.963389100716611</v>
      </c>
      <c r="AI24">
        <f>IF($B24&gt;AI$2,0,IF(Datos!$C$4=1,IFERROR(MAX(Stock!AI24-Datos!$C$6,0),0),IFERROR(MAX(Datos!$C$6-Stock!AI24,0),0)))</f>
        <v>58.586208597083527</v>
      </c>
      <c r="AJ24">
        <f>IF($B24&gt;AJ$2,0,IF(Datos!$C$4=1,IFERROR(MAX(Stock!AJ24-Datos!$C$6,0),0),IFERROR(MAX(Datos!$C$6-Stock!AJ24,0),0)))</f>
        <v>136.83117225063813</v>
      </c>
      <c r="AK24">
        <f>IF($B24&gt;AK$2,0,IF(Datos!$C$4=1,IFERROR(MAX(Stock!AK24-Datos!$C$6,0),0),IFERROR(MAX(Datos!$C$6-Stock!AK24,0),0)))</f>
        <v>277.17685388765307</v>
      </c>
      <c r="AL24">
        <f>IF($B24&gt;AL$2,0,IF(Datos!$C$4=1,IFERROR(MAX(Stock!AL24-Datos!$C$6,0),0),IFERROR(MAX(Datos!$C$6-Stock!AL24,0),0)))</f>
        <v>528.91076025599659</v>
      </c>
      <c r="AM24">
        <f>IF($B24&gt;AM$2,0,IF(Datos!$C$4=1,IFERROR(MAX(Stock!AM24-Datos!$C$6,0),0),IFERROR(MAX(Datos!$C$6-Stock!AM24,0),0)))</f>
        <v>980.43843731957588</v>
      </c>
      <c r="AN24">
        <f>IF($B24&gt;AN$2,0,IF(Datos!$C$4=1,IFERROR(MAX(Stock!AN24-Datos!$C$6,0),0),IFERROR(MAX(Datos!$C$6-Stock!AN24,0),0)))</f>
        <v>1790.330303281062</v>
      </c>
      <c r="AO24">
        <f>IF($B24&gt;AO$2,0,IF(Datos!$C$4=1,IFERROR(MAX(Stock!AO24-Datos!$C$6,0),0),IFERROR(MAX(Datos!$C$6-Stock!AO24,0),0)))</f>
        <v>3243.0094365210325</v>
      </c>
      <c r="AP24">
        <f>IF($B24&gt;AP$2,0,IF(Datos!$C$4=1,IFERROR(MAX(Stock!AP24-Datos!$C$6,0),0),IFERROR(MAX(Datos!$C$6-Stock!AP24,0),0)))</f>
        <v>5848.6371170084249</v>
      </c>
      <c r="AQ24">
        <f>IF($B24&gt;AQ$2,0,IF(Datos!$C$4=1,IFERROR(MAX(Stock!AQ24-Datos!$C$6,0),0),IFERROR(MAX(Datos!$C$6-Stock!AQ24,0),0)))</f>
        <v>10522.274573464249</v>
      </c>
      <c r="AR24">
        <f>IF($B24&gt;AR$2,0,IF(Datos!$C$4=1,IFERROR(MAX(Stock!AR24-Datos!$C$6,0),0),IFERROR(MAX(Datos!$C$6-Stock!AR24,0),0)))</f>
        <v>18905.240120675917</v>
      </c>
      <c r="AS24">
        <f>IF($B24&gt;AS$2,0,IF(Datos!$C$4=1,IFERROR(MAX(Stock!AS24-Datos!$C$6,0),0),IFERROR(MAX(Datos!$C$6-Stock!AS24,0),0)))</f>
        <v>33941.517970740286</v>
      </c>
      <c r="AT24">
        <f>IF($B24&gt;AT$2,0,IF(Datos!$C$4=1,IFERROR(MAX(Stock!AT24-Datos!$C$6,0),0),IFERROR(MAX(Datos!$C$6-Stock!AT24,0),0)))</f>
        <v>60911.645703107934</v>
      </c>
      <c r="AU24">
        <f>IF($B24&gt;AU$2,0,IF(Datos!$C$4=1,IFERROR(MAX(Stock!AU24-Datos!$C$6,0),0),IFERROR(MAX(Datos!$C$6-Stock!AU24,0),0)))</f>
        <v>109287.16770086845</v>
      </c>
      <c r="AV24">
        <f>IF($B24&gt;AV$2,0,IF(Datos!$C$4=1,IFERROR(MAX(Stock!AV24-Datos!$C$6,0),0),IFERROR(MAX(Datos!$C$6-Stock!AV24,0),0)))</f>
        <v>196056.91353886368</v>
      </c>
      <c r="AW24">
        <f>IF($B24&gt;AW$2,0,IF(Datos!$C$4=1,IFERROR(MAX(Stock!AW24-Datos!$C$6,0),0),IFERROR(MAX(Datos!$C$6-Stock!AW24,0),0)))</f>
        <v>351693.24534193636</v>
      </c>
      <c r="AX24">
        <f>IF($B24&gt;AX$2,0,IF(Datos!$C$4=1,IFERROR(MAX(Stock!AX24-Datos!$C$6,0),0),IFERROR(MAX(Datos!$C$6-Stock!AX24,0),0)))</f>
        <v>630853.53955717385</v>
      </c>
      <c r="AY24">
        <f>IF($B24&gt;AY$2,0,IF(Datos!$C$4=1,IFERROR(MAX(Stock!AY24-Datos!$C$6,0),0),IFERROR(MAX(Datos!$C$6-Stock!AY24,0),0)))</f>
        <v>1131575.1189178575</v>
      </c>
      <c r="AZ24">
        <f>IF($B24&gt;AZ$2,0,IF(Datos!$C$4=1,IFERROR(MAX(Stock!AZ24-Datos!$C$6,0),0),IFERROR(MAX(Datos!$C$6-Stock!AZ24,0),0)))</f>
        <v>2029704.635302972</v>
      </c>
      <c r="BA24">
        <f>IF($B24&gt;BA$2,0,IF(Datos!$C$4=1,IFERROR(MAX(Stock!BA24-Datos!$C$6,0),0),IFERROR(MAX(Datos!$C$6-Stock!BA24,0),0)))</f>
        <v>3640653.037471029</v>
      </c>
    </row>
    <row r="25" spans="2:53" x14ac:dyDescent="0.25">
      <c r="B25">
        <v>22</v>
      </c>
      <c r="D25">
        <f>IF($B25&gt;D$2,0,IF(Datos!$C$4=1,IFERROR(MAX(Stock!D25-Datos!$C$6,0),0),IFERROR(MAX(Datos!$C$6-Stock!D25,0),0)))</f>
        <v>0</v>
      </c>
      <c r="E25">
        <f>IF($B25&gt;E$2,0,IF(Datos!$C$4=1,IFERROR(MAX(Stock!E25-Datos!$C$6,0),0),IFERROR(MAX(Datos!$C$6-Stock!E25,0),0)))</f>
        <v>0</v>
      </c>
      <c r="F25">
        <f>IF($B25&gt;F$2,0,IF(Datos!$C$4=1,IFERROR(MAX(Stock!F25-Datos!$C$6,0),0),IFERROR(MAX(Datos!$C$6-Stock!F25,0),0)))</f>
        <v>0</v>
      </c>
      <c r="G25">
        <f>IF($B25&gt;G$2,0,IF(Datos!$C$4=1,IFERROR(MAX(Stock!G25-Datos!$C$6,0),0),IFERROR(MAX(Datos!$C$6-Stock!G25,0),0)))</f>
        <v>0</v>
      </c>
      <c r="H25">
        <f>IF($B25&gt;H$2,0,IF(Datos!$C$4=1,IFERROR(MAX(Stock!H25-Datos!$C$6,0),0),IFERROR(MAX(Datos!$C$6-Stock!H25,0),0)))</f>
        <v>0</v>
      </c>
      <c r="I25">
        <f>IF($B25&gt;I$2,0,IF(Datos!$C$4=1,IFERROR(MAX(Stock!I25-Datos!$C$6,0),0),IFERROR(MAX(Datos!$C$6-Stock!I25,0),0)))</f>
        <v>0</v>
      </c>
      <c r="J25">
        <f>IF($B25&gt;J$2,0,IF(Datos!$C$4=1,IFERROR(MAX(Stock!J25-Datos!$C$6,0),0),IFERROR(MAX(Datos!$C$6-Stock!J25,0),0)))</f>
        <v>0</v>
      </c>
      <c r="K25">
        <f>IF($B25&gt;K$2,0,IF(Datos!$C$4=1,IFERROR(MAX(Stock!K25-Datos!$C$6,0),0),IFERROR(MAX(Datos!$C$6-Stock!K25,0),0)))</f>
        <v>0</v>
      </c>
      <c r="L25">
        <f>IF($B25&gt;L$2,0,IF(Datos!$C$4=1,IFERROR(MAX(Stock!L25-Datos!$C$6,0),0),IFERROR(MAX(Datos!$C$6-Stock!L25,0),0)))</f>
        <v>0</v>
      </c>
      <c r="M25">
        <f>IF($B25&gt;M$2,0,IF(Datos!$C$4=1,IFERROR(MAX(Stock!M25-Datos!$C$6,0),0),IFERROR(MAX(Datos!$C$6-Stock!M25,0),0)))</f>
        <v>0</v>
      </c>
      <c r="N25">
        <f>IF($B25&gt;N$2,0,IF(Datos!$C$4=1,IFERROR(MAX(Stock!N25-Datos!$C$6,0),0),IFERROR(MAX(Datos!$C$6-Stock!N25,0),0)))</f>
        <v>0</v>
      </c>
      <c r="O25">
        <f>IF($B25&gt;O$2,0,IF(Datos!$C$4=1,IFERROR(MAX(Stock!O25-Datos!$C$6,0),0),IFERROR(MAX(Datos!$C$6-Stock!O25,0),0)))</f>
        <v>0</v>
      </c>
      <c r="P25">
        <f>IF($B25&gt;P$2,0,IF(Datos!$C$4=1,IFERROR(MAX(Stock!P25-Datos!$C$6,0),0),IFERROR(MAX(Datos!$C$6-Stock!P25,0),0)))</f>
        <v>0</v>
      </c>
      <c r="Q25">
        <f>IF($B25&gt;Q$2,0,IF(Datos!$C$4=1,IFERROR(MAX(Stock!Q25-Datos!$C$6,0),0),IFERROR(MAX(Datos!$C$6-Stock!Q25,0),0)))</f>
        <v>0</v>
      </c>
      <c r="R25">
        <f>IF($B25&gt;R$2,0,IF(Datos!$C$4=1,IFERROR(MAX(Stock!R25-Datos!$C$6,0),0),IFERROR(MAX(Datos!$C$6-Stock!R25,0),0)))</f>
        <v>0</v>
      </c>
      <c r="S25">
        <f>IF($B25&gt;S$2,0,IF(Datos!$C$4=1,IFERROR(MAX(Stock!S25-Datos!$C$6,0),0),IFERROR(MAX(Datos!$C$6-Stock!S25,0),0)))</f>
        <v>0</v>
      </c>
      <c r="T25">
        <f>IF($B25&gt;T$2,0,IF(Datos!$C$4=1,IFERROR(MAX(Stock!T25-Datos!$C$6,0),0),IFERROR(MAX(Datos!$C$6-Stock!T25,0),0)))</f>
        <v>0</v>
      </c>
      <c r="U25">
        <f>IF($B25&gt;U$2,0,IF(Datos!$C$4=1,IFERROR(MAX(Stock!U25-Datos!$C$6,0),0),IFERROR(MAX(Datos!$C$6-Stock!U25,0),0)))</f>
        <v>0</v>
      </c>
      <c r="V25">
        <f>IF($B25&gt;V$2,0,IF(Datos!$C$4=1,IFERROR(MAX(Stock!V25-Datos!$C$6,0),0),IFERROR(MAX(Datos!$C$6-Stock!V25,0),0)))</f>
        <v>0</v>
      </c>
      <c r="W25">
        <f>IF($B25&gt;W$2,0,IF(Datos!$C$4=1,IFERROR(MAX(Stock!W25-Datos!$C$6,0),0),IFERROR(MAX(Datos!$C$6-Stock!W25,0),0)))</f>
        <v>0</v>
      </c>
      <c r="X25">
        <f>IF($B25&gt;X$2,0,IF(Datos!$C$4=1,IFERROR(MAX(Stock!X25-Datos!$C$6,0),0),IFERROR(MAX(Datos!$C$6-Stock!X25,0),0)))</f>
        <v>0</v>
      </c>
      <c r="Y25">
        <f>IF($B25&gt;Y$2,0,IF(Datos!$C$4=1,IFERROR(MAX(Stock!Y25-Datos!$C$6,0),0),IFERROR(MAX(Datos!$C$6-Stock!Y25,0),0)))</f>
        <v>0</v>
      </c>
      <c r="Z25">
        <f>IF($B25&gt;Z$2,0,IF(Datos!$C$4=1,IFERROR(MAX(Stock!Z25-Datos!$C$6,0),0),IFERROR(MAX(Datos!$C$6-Stock!Z25,0),0)))</f>
        <v>0</v>
      </c>
      <c r="AA25">
        <f>IF($B25&gt;AA$2,0,IF(Datos!$C$4=1,IFERROR(MAX(Stock!AA25-Datos!$C$6,0),0),IFERROR(MAX(Datos!$C$6-Stock!AA25,0),0)))</f>
        <v>0</v>
      </c>
      <c r="AB25">
        <f>IF($B25&gt;AB$2,0,IF(Datos!$C$4=1,IFERROR(MAX(Stock!AB25-Datos!$C$6,0),0),IFERROR(MAX(Datos!$C$6-Stock!AB25,0),0)))</f>
        <v>0</v>
      </c>
      <c r="AC25">
        <f>IF($B25&gt;AC$2,0,IF(Datos!$C$4=1,IFERROR(MAX(Stock!AC25-Datos!$C$6,0),0),IFERROR(MAX(Datos!$C$6-Stock!AC25,0),0)))</f>
        <v>0</v>
      </c>
      <c r="AD25">
        <f>IF($B25&gt;AD$2,0,IF(Datos!$C$4=1,IFERROR(MAX(Stock!AD25-Datos!$C$6,0),0),IFERROR(MAX(Datos!$C$6-Stock!AD25,0),0)))</f>
        <v>0</v>
      </c>
      <c r="AE25">
        <f>IF($B25&gt;AE$2,0,IF(Datos!$C$4=1,IFERROR(MAX(Stock!AE25-Datos!$C$6,0),0),IFERROR(MAX(Datos!$C$6-Stock!AE25,0),0)))</f>
        <v>0</v>
      </c>
      <c r="AF25">
        <f>IF($B25&gt;AF$2,0,IF(Datos!$C$4=1,IFERROR(MAX(Stock!AF25-Datos!$C$6,0),0),IFERROR(MAX(Datos!$C$6-Stock!AF25,0),0)))</f>
        <v>0</v>
      </c>
      <c r="AG25">
        <f>IF($B25&gt;AG$2,0,IF(Datos!$C$4=1,IFERROR(MAX(Stock!AG25-Datos!$C$6,0),0),IFERROR(MAX(Datos!$C$6-Stock!AG25,0),0)))</f>
        <v>0</v>
      </c>
      <c r="AH25">
        <f>IF($B25&gt;AH$2,0,IF(Datos!$C$4=1,IFERROR(MAX(Stock!AH25-Datos!$C$6,0),0),IFERROR(MAX(Datos!$C$6-Stock!AH25,0),0)))</f>
        <v>0</v>
      </c>
      <c r="AI25">
        <f>IF($B25&gt;AI$2,0,IF(Datos!$C$4=1,IFERROR(MAX(Stock!AI25-Datos!$C$6,0),0),IFERROR(MAX(Datos!$C$6-Stock!AI25,0),0)))</f>
        <v>2.199283497312976</v>
      </c>
      <c r="AJ25">
        <f>IF($B25&gt;AJ$2,0,IF(Datos!$C$4=1,IFERROR(MAX(Stock!AJ25-Datos!$C$6,0),0),IFERROR(MAX(Datos!$C$6-Stock!AJ25,0),0)))</f>
        <v>35.691609152597181</v>
      </c>
      <c r="AK25">
        <f>IF($B25&gt;AK$2,0,IF(Datos!$C$4=1,IFERROR(MAX(Stock!AK25-Datos!$C$6,0),0),IFERROR(MAX(Datos!$C$6-Stock!AK25,0),0)))</f>
        <v>95.765805039659966</v>
      </c>
      <c r="AL25">
        <f>IF($B25&gt;AL$2,0,IF(Datos!$C$4=1,IFERROR(MAX(Stock!AL25-Datos!$C$6,0),0),IFERROR(MAX(Datos!$C$6-Stock!AL25,0),0)))</f>
        <v>203.51911690642783</v>
      </c>
      <c r="AM25">
        <f>IF($B25&gt;AM$2,0,IF(Datos!$C$4=1,IFERROR(MAX(Stock!AM25-Datos!$C$6,0),0),IFERROR(MAX(Datos!$C$6-Stock!AM25,0),0)))</f>
        <v>396.7930516934162</v>
      </c>
      <c r="AN25">
        <f>IF($B25&gt;AN$2,0,IF(Datos!$C$4=1,IFERROR(MAX(Stock!AN25-Datos!$C$6,0),0),IFERROR(MAX(Datos!$C$6-Stock!AN25,0),0)))</f>
        <v>743.46280337801045</v>
      </c>
      <c r="AO25">
        <f>IF($B25&gt;AO$2,0,IF(Datos!$C$4=1,IFERROR(MAX(Stock!AO25-Datos!$C$6,0),0),IFERROR(MAX(Datos!$C$6-Stock!AO25,0),0)))</f>
        <v>1365.2741038283853</v>
      </c>
      <c r="AP25">
        <f>IF($B25&gt;AP$2,0,IF(Datos!$C$4=1,IFERROR(MAX(Stock!AP25-Datos!$C$6,0),0),IFERROR(MAX(Datos!$C$6-Stock!AP25,0),0)))</f>
        <v>2480.598678553803</v>
      </c>
      <c r="AQ25">
        <f>IF($B25&gt;AQ$2,0,IF(Datos!$C$4=1,IFERROR(MAX(Stock!AQ25-Datos!$C$6,0),0),IFERROR(MAX(Datos!$C$6-Stock!AQ25,0),0)))</f>
        <v>4481.1234456100601</v>
      </c>
      <c r="AR25">
        <f>IF($B25&gt;AR$2,0,IF(Datos!$C$4=1,IFERROR(MAX(Stock!AR25-Datos!$C$6,0),0),IFERROR(MAX(Datos!$C$6-Stock!AR25,0),0)))</f>
        <v>8069.4056679315481</v>
      </c>
      <c r="AS25">
        <f>IF($B25&gt;AS$2,0,IF(Datos!$C$4=1,IFERROR(MAX(Stock!AS25-Datos!$C$6,0),0),IFERROR(MAX(Datos!$C$6-Stock!AS25,0),0)))</f>
        <v>14505.601569657345</v>
      </c>
      <c r="AT25">
        <f>IF($B25&gt;AT$2,0,IF(Datos!$C$4=1,IFERROR(MAX(Stock!AT25-Datos!$C$6,0),0),IFERROR(MAX(Datos!$C$6-Stock!AT25,0),0)))</f>
        <v>26050.016172194308</v>
      </c>
      <c r="AU25">
        <f>IF($B25&gt;AU$2,0,IF(Datos!$C$4=1,IFERROR(MAX(Stock!AU25-Datos!$C$6,0),0),IFERROR(MAX(Datos!$C$6-Stock!AU25,0),0)))</f>
        <v>46756.891871787702</v>
      </c>
      <c r="AV25">
        <f>IF($B25&gt;AV$2,0,IF(Datos!$C$4=1,IFERROR(MAX(Stock!AV25-Datos!$C$6,0),0),IFERROR(MAX(Datos!$C$6-Stock!AV25,0),0)))</f>
        <v>83898.203579718393</v>
      </c>
      <c r="AW25">
        <f>IF($B25&gt;AW$2,0,IF(Datos!$C$4=1,IFERROR(MAX(Stock!AW25-Datos!$C$6,0),0),IFERROR(MAX(Datos!$C$6-Stock!AW25,0),0)))</f>
        <v>150517.47803707921</v>
      </c>
      <c r="AX25">
        <f>IF($B25&gt;AX$2,0,IF(Datos!$C$4=1,IFERROR(MAX(Stock!AX25-Datos!$C$6,0),0),IFERROR(MAX(Datos!$C$6-Stock!AX25,0),0)))</f>
        <v>270010.50413495681</v>
      </c>
      <c r="AY25">
        <f>IF($B25&gt;AY$2,0,IF(Datos!$C$4=1,IFERROR(MAX(Stock!AY25-Datos!$C$6,0),0),IFERROR(MAX(Datos!$C$6-Stock!AY25,0),0)))</f>
        <v>484341.61780037155</v>
      </c>
      <c r="AZ25">
        <f>IF($B25&gt;AZ$2,0,IF(Datos!$C$4=1,IFERROR(MAX(Stock!AZ25-Datos!$C$6,0),0),IFERROR(MAX(Datos!$C$6-Stock!AZ25,0),0)))</f>
        <v>868781.00966436951</v>
      </c>
      <c r="BA25">
        <f>IF($B25&gt;BA$2,0,IF(Datos!$C$4=1,IFERROR(MAX(Stock!BA25-Datos!$C$6,0),0),IFERROR(MAX(Datos!$C$6-Stock!BA25,0),0)))</f>
        <v>1558338.5988041174</v>
      </c>
    </row>
    <row r="26" spans="2:53" x14ac:dyDescent="0.25">
      <c r="B26">
        <v>23</v>
      </c>
      <c r="D26">
        <f>IF($B26&gt;D$2,0,IF(Datos!$C$4=1,IFERROR(MAX(Stock!D26-Datos!$C$6,0),0),IFERROR(MAX(Datos!$C$6-Stock!D26,0),0)))</f>
        <v>0</v>
      </c>
      <c r="E26">
        <f>IF($B26&gt;E$2,0,IF(Datos!$C$4=1,IFERROR(MAX(Stock!E26-Datos!$C$6,0),0),IFERROR(MAX(Datos!$C$6-Stock!E26,0),0)))</f>
        <v>0</v>
      </c>
      <c r="F26">
        <f>IF($B26&gt;F$2,0,IF(Datos!$C$4=1,IFERROR(MAX(Stock!F26-Datos!$C$6,0),0),IFERROR(MAX(Datos!$C$6-Stock!F26,0),0)))</f>
        <v>0</v>
      </c>
      <c r="G26">
        <f>IF($B26&gt;G$2,0,IF(Datos!$C$4=1,IFERROR(MAX(Stock!G26-Datos!$C$6,0),0),IFERROR(MAX(Datos!$C$6-Stock!G26,0),0)))</f>
        <v>0</v>
      </c>
      <c r="H26">
        <f>IF($B26&gt;H$2,0,IF(Datos!$C$4=1,IFERROR(MAX(Stock!H26-Datos!$C$6,0),0),IFERROR(MAX(Datos!$C$6-Stock!H26,0),0)))</f>
        <v>0</v>
      </c>
      <c r="I26">
        <f>IF($B26&gt;I$2,0,IF(Datos!$C$4=1,IFERROR(MAX(Stock!I26-Datos!$C$6,0),0),IFERROR(MAX(Datos!$C$6-Stock!I26,0),0)))</f>
        <v>0</v>
      </c>
      <c r="J26">
        <f>IF($B26&gt;J$2,0,IF(Datos!$C$4=1,IFERROR(MAX(Stock!J26-Datos!$C$6,0),0),IFERROR(MAX(Datos!$C$6-Stock!J26,0),0)))</f>
        <v>0</v>
      </c>
      <c r="K26">
        <f>IF($B26&gt;K$2,0,IF(Datos!$C$4=1,IFERROR(MAX(Stock!K26-Datos!$C$6,0),0),IFERROR(MAX(Datos!$C$6-Stock!K26,0),0)))</f>
        <v>0</v>
      </c>
      <c r="L26">
        <f>IF($B26&gt;L$2,0,IF(Datos!$C$4=1,IFERROR(MAX(Stock!L26-Datos!$C$6,0),0),IFERROR(MAX(Datos!$C$6-Stock!L26,0),0)))</f>
        <v>0</v>
      </c>
      <c r="M26">
        <f>IF($B26&gt;M$2,0,IF(Datos!$C$4=1,IFERROR(MAX(Stock!M26-Datos!$C$6,0),0),IFERROR(MAX(Datos!$C$6-Stock!M26,0),0)))</f>
        <v>0</v>
      </c>
      <c r="N26">
        <f>IF($B26&gt;N$2,0,IF(Datos!$C$4=1,IFERROR(MAX(Stock!N26-Datos!$C$6,0),0),IFERROR(MAX(Datos!$C$6-Stock!N26,0),0)))</f>
        <v>0</v>
      </c>
      <c r="O26">
        <f>IF($B26&gt;O$2,0,IF(Datos!$C$4=1,IFERROR(MAX(Stock!O26-Datos!$C$6,0),0),IFERROR(MAX(Datos!$C$6-Stock!O26,0),0)))</f>
        <v>0</v>
      </c>
      <c r="P26">
        <f>IF($B26&gt;P$2,0,IF(Datos!$C$4=1,IFERROR(MAX(Stock!P26-Datos!$C$6,0),0),IFERROR(MAX(Datos!$C$6-Stock!P26,0),0)))</f>
        <v>0</v>
      </c>
      <c r="Q26">
        <f>IF($B26&gt;Q$2,0,IF(Datos!$C$4=1,IFERROR(MAX(Stock!Q26-Datos!$C$6,0),0),IFERROR(MAX(Datos!$C$6-Stock!Q26,0),0)))</f>
        <v>0</v>
      </c>
      <c r="R26">
        <f>IF($B26&gt;R$2,0,IF(Datos!$C$4=1,IFERROR(MAX(Stock!R26-Datos!$C$6,0),0),IFERROR(MAX(Datos!$C$6-Stock!R26,0),0)))</f>
        <v>0</v>
      </c>
      <c r="S26">
        <f>IF($B26&gt;S$2,0,IF(Datos!$C$4=1,IFERROR(MAX(Stock!S26-Datos!$C$6,0),0),IFERROR(MAX(Datos!$C$6-Stock!S26,0),0)))</f>
        <v>0</v>
      </c>
      <c r="T26">
        <f>IF($B26&gt;T$2,0,IF(Datos!$C$4=1,IFERROR(MAX(Stock!T26-Datos!$C$6,0),0),IFERROR(MAX(Datos!$C$6-Stock!T26,0),0)))</f>
        <v>0</v>
      </c>
      <c r="U26">
        <f>IF($B26&gt;U$2,0,IF(Datos!$C$4=1,IFERROR(MAX(Stock!U26-Datos!$C$6,0),0),IFERROR(MAX(Datos!$C$6-Stock!U26,0),0)))</f>
        <v>0</v>
      </c>
      <c r="V26">
        <f>IF($B26&gt;V$2,0,IF(Datos!$C$4=1,IFERROR(MAX(Stock!V26-Datos!$C$6,0),0),IFERROR(MAX(Datos!$C$6-Stock!V26,0),0)))</f>
        <v>0</v>
      </c>
      <c r="W26">
        <f>IF($B26&gt;W$2,0,IF(Datos!$C$4=1,IFERROR(MAX(Stock!W26-Datos!$C$6,0),0),IFERROR(MAX(Datos!$C$6-Stock!W26,0),0)))</f>
        <v>0</v>
      </c>
      <c r="X26">
        <f>IF($B26&gt;X$2,0,IF(Datos!$C$4=1,IFERROR(MAX(Stock!X26-Datos!$C$6,0),0),IFERROR(MAX(Datos!$C$6-Stock!X26,0),0)))</f>
        <v>0</v>
      </c>
      <c r="Y26">
        <f>IF($B26&gt;Y$2,0,IF(Datos!$C$4=1,IFERROR(MAX(Stock!Y26-Datos!$C$6,0),0),IFERROR(MAX(Datos!$C$6-Stock!Y26,0),0)))</f>
        <v>0</v>
      </c>
      <c r="Z26">
        <f>IF($B26&gt;Z$2,0,IF(Datos!$C$4=1,IFERROR(MAX(Stock!Z26-Datos!$C$6,0),0),IFERROR(MAX(Datos!$C$6-Stock!Z26,0),0)))</f>
        <v>0</v>
      </c>
      <c r="AA26">
        <f>IF($B26&gt;AA$2,0,IF(Datos!$C$4=1,IFERROR(MAX(Stock!AA26-Datos!$C$6,0),0),IFERROR(MAX(Datos!$C$6-Stock!AA26,0),0)))</f>
        <v>0</v>
      </c>
      <c r="AB26">
        <f>IF($B26&gt;AB$2,0,IF(Datos!$C$4=1,IFERROR(MAX(Stock!AB26-Datos!$C$6,0),0),IFERROR(MAX(Datos!$C$6-Stock!AB26,0),0)))</f>
        <v>0</v>
      </c>
      <c r="AC26">
        <f>IF($B26&gt;AC$2,0,IF(Datos!$C$4=1,IFERROR(MAX(Stock!AC26-Datos!$C$6,0),0),IFERROR(MAX(Datos!$C$6-Stock!AC26,0),0)))</f>
        <v>0</v>
      </c>
      <c r="AD26">
        <f>IF($B26&gt;AD$2,0,IF(Datos!$C$4=1,IFERROR(MAX(Stock!AD26-Datos!$C$6,0),0),IFERROR(MAX(Datos!$C$6-Stock!AD26,0),0)))</f>
        <v>0</v>
      </c>
      <c r="AE26">
        <f>IF($B26&gt;AE$2,0,IF(Datos!$C$4=1,IFERROR(MAX(Stock!AE26-Datos!$C$6,0),0),IFERROR(MAX(Datos!$C$6-Stock!AE26,0),0)))</f>
        <v>0</v>
      </c>
      <c r="AF26">
        <f>IF($B26&gt;AF$2,0,IF(Datos!$C$4=1,IFERROR(MAX(Stock!AF26-Datos!$C$6,0),0),IFERROR(MAX(Datos!$C$6-Stock!AF26,0),0)))</f>
        <v>0</v>
      </c>
      <c r="AG26">
        <f>IF($B26&gt;AG$2,0,IF(Datos!$C$4=1,IFERROR(MAX(Stock!AG26-Datos!$C$6,0),0),IFERROR(MAX(Datos!$C$6-Stock!AG26,0),0)))</f>
        <v>0</v>
      </c>
      <c r="AH26">
        <f>IF($B26&gt;AH$2,0,IF(Datos!$C$4=1,IFERROR(MAX(Stock!AH26-Datos!$C$6,0),0),IFERROR(MAX(Datos!$C$6-Stock!AH26,0),0)))</f>
        <v>0</v>
      </c>
      <c r="AI26">
        <f>IF($B26&gt;AI$2,0,IF(Datos!$C$4=1,IFERROR(MAX(Stock!AI26-Datos!$C$6,0),0),IFERROR(MAX(Datos!$C$6-Stock!AI26,0),0)))</f>
        <v>0</v>
      </c>
      <c r="AJ26">
        <f>IF($B26&gt;AJ$2,0,IF(Datos!$C$4=1,IFERROR(MAX(Stock!AJ26-Datos!$C$6,0),0),IFERROR(MAX(Datos!$C$6-Stock!AJ26,0),0)))</f>
        <v>0</v>
      </c>
      <c r="AK26">
        <f>IF($B26&gt;AK$2,0,IF(Datos!$C$4=1,IFERROR(MAX(Stock!AK26-Datos!$C$6,0),0),IFERROR(MAX(Datos!$C$6-Stock!AK26,0),0)))</f>
        <v>18.113804939233873</v>
      </c>
      <c r="AL26">
        <f>IF($B26&gt;AL$2,0,IF(Datos!$C$4=1,IFERROR(MAX(Stock!AL26-Datos!$C$6,0),0),IFERROR(MAX(Datos!$C$6-Stock!AL26,0),0)))</f>
        <v>64.237016491307244</v>
      </c>
      <c r="AM26">
        <f>IF($B26&gt;AM$2,0,IF(Datos!$C$4=1,IFERROR(MAX(Stock!AM26-Datos!$C$6,0),0),IFERROR(MAX(Datos!$C$6-Stock!AM26,0),0)))</f>
        <v>146.96685956753834</v>
      </c>
      <c r="AN26">
        <f>IF($B26&gt;AN$2,0,IF(Datos!$C$4=1,IFERROR(MAX(Stock!AN26-Datos!$C$6,0),0),IFERROR(MAX(Datos!$C$6-Stock!AN26,0),0)))</f>
        <v>295.35693703841548</v>
      </c>
      <c r="AO26">
        <f>IF($B26&gt;AO$2,0,IF(Datos!$C$4=1,IFERROR(MAX(Stock!AO26-Datos!$C$6,0),0),IFERROR(MAX(Datos!$C$6-Stock!AO26,0),0)))</f>
        <v>561.51983875603457</v>
      </c>
      <c r="AP26">
        <f>IF($B26&gt;AP$2,0,IF(Datos!$C$4=1,IFERROR(MAX(Stock!AP26-Datos!$C$6,0),0),IFERROR(MAX(Datos!$C$6-Stock!AP26,0),0)))</f>
        <v>1038.9283788563412</v>
      </c>
      <c r="AQ26">
        <f>IF($B26&gt;AQ$2,0,IF(Datos!$C$4=1,IFERROR(MAX(Stock!AQ26-Datos!$C$6,0),0),IFERROR(MAX(Datos!$C$6-Stock!AQ26,0),0)))</f>
        <v>1895.2419848843999</v>
      </c>
      <c r="AR26">
        <f>IF($B26&gt;AR$2,0,IF(Datos!$C$4=1,IFERROR(MAX(Stock!AR26-Datos!$C$6,0),0),IFERROR(MAX(Datos!$C$6-Stock!AR26,0),0)))</f>
        <v>3431.1864229849671</v>
      </c>
      <c r="AS26">
        <f>IF($B26&gt;AS$2,0,IF(Datos!$C$4=1,IFERROR(MAX(Stock!AS26-Datos!$C$6,0),0),IFERROR(MAX(Datos!$C$6-Stock!AS26,0),0)))</f>
        <v>6186.1646229398621</v>
      </c>
      <c r="AT26">
        <f>IF($B26&gt;AT$2,0,IF(Datos!$C$4=1,IFERROR(MAX(Stock!AT26-Datos!$C$6,0),0),IFERROR(MAX(Datos!$C$6-Stock!AT26,0),0)))</f>
        <v>11127.687697571911</v>
      </c>
      <c r="AU26">
        <f>IF($B26&gt;AU$2,0,IF(Datos!$C$4=1,IFERROR(MAX(Stock!AU26-Datos!$C$6,0),0),IFERROR(MAX(Datos!$C$6-Stock!AU26,0),0)))</f>
        <v>19991.151770543813</v>
      </c>
      <c r="AV26">
        <f>IF($B26&gt;AV$2,0,IF(Datos!$C$4=1,IFERROR(MAX(Stock!AV26-Datos!$C$6,0),0),IFERROR(MAX(Datos!$C$6-Stock!AV26,0),0)))</f>
        <v>35889.285642702911</v>
      </c>
      <c r="AW26">
        <f>IF($B26&gt;AW$2,0,IF(Datos!$C$4=1,IFERROR(MAX(Stock!AW26-Datos!$C$6,0),0),IFERROR(MAX(Datos!$C$6-Stock!AW26,0),0)))</f>
        <v>64405.299081266552</v>
      </c>
      <c r="AX26">
        <f>IF($B26&gt;AX$2,0,IF(Datos!$C$4=1,IFERROR(MAX(Stock!AX26-Datos!$C$6,0),0),IFERROR(MAX(Datos!$C$6-Stock!AX26,0),0)))</f>
        <v>115553.63063811403</v>
      </c>
      <c r="AY26">
        <f>IF($B26&gt;AY$2,0,IF(Datos!$C$4=1,IFERROR(MAX(Stock!AY26-Datos!$C$6,0),0),IFERROR(MAX(Datos!$C$6-Stock!AY26,0),0)))</f>
        <v>207296.88313326286</v>
      </c>
      <c r="AZ26">
        <f>IF($B26&gt;AZ$2,0,IF(Datos!$C$4=1,IFERROR(MAX(Stock!AZ26-Datos!$C$6,0),0),IFERROR(MAX(Datos!$C$6-Stock!AZ26,0),0)))</f>
        <v>371854.04701717128</v>
      </c>
      <c r="BA26">
        <f>IF($B26&gt;BA$2,0,IF(Datos!$C$4=1,IFERROR(MAX(Stock!BA26-Datos!$C$6,0),0),IFERROR(MAX(Datos!$C$6-Stock!BA26,0),0)))</f>
        <v>667015.37440685974</v>
      </c>
    </row>
    <row r="27" spans="2:53" x14ac:dyDescent="0.25">
      <c r="B27">
        <v>24</v>
      </c>
      <c r="D27">
        <f>IF($B27&gt;D$2,0,IF(Datos!$C$4=1,IFERROR(MAX(Stock!D27-Datos!$C$6,0),0),IFERROR(MAX(Datos!$C$6-Stock!D27,0),0)))</f>
        <v>0</v>
      </c>
      <c r="E27">
        <f>IF($B27&gt;E$2,0,IF(Datos!$C$4=1,IFERROR(MAX(Stock!E27-Datos!$C$6,0),0),IFERROR(MAX(Datos!$C$6-Stock!E27,0),0)))</f>
        <v>0</v>
      </c>
      <c r="F27">
        <f>IF($B27&gt;F$2,0,IF(Datos!$C$4=1,IFERROR(MAX(Stock!F27-Datos!$C$6,0),0),IFERROR(MAX(Datos!$C$6-Stock!F27,0),0)))</f>
        <v>0</v>
      </c>
      <c r="G27">
        <f>IF($B27&gt;G$2,0,IF(Datos!$C$4=1,IFERROR(MAX(Stock!G27-Datos!$C$6,0),0),IFERROR(MAX(Datos!$C$6-Stock!G27,0),0)))</f>
        <v>0</v>
      </c>
      <c r="H27">
        <f>IF($B27&gt;H$2,0,IF(Datos!$C$4=1,IFERROR(MAX(Stock!H27-Datos!$C$6,0),0),IFERROR(MAX(Datos!$C$6-Stock!H27,0),0)))</f>
        <v>0</v>
      </c>
      <c r="I27">
        <f>IF($B27&gt;I$2,0,IF(Datos!$C$4=1,IFERROR(MAX(Stock!I27-Datos!$C$6,0),0),IFERROR(MAX(Datos!$C$6-Stock!I27,0),0)))</f>
        <v>0</v>
      </c>
      <c r="J27">
        <f>IF($B27&gt;J$2,0,IF(Datos!$C$4=1,IFERROR(MAX(Stock!J27-Datos!$C$6,0),0),IFERROR(MAX(Datos!$C$6-Stock!J27,0),0)))</f>
        <v>0</v>
      </c>
      <c r="K27">
        <f>IF($B27&gt;K$2,0,IF(Datos!$C$4=1,IFERROR(MAX(Stock!K27-Datos!$C$6,0),0),IFERROR(MAX(Datos!$C$6-Stock!K27,0),0)))</f>
        <v>0</v>
      </c>
      <c r="L27">
        <f>IF($B27&gt;L$2,0,IF(Datos!$C$4=1,IFERROR(MAX(Stock!L27-Datos!$C$6,0),0),IFERROR(MAX(Datos!$C$6-Stock!L27,0),0)))</f>
        <v>0</v>
      </c>
      <c r="M27">
        <f>IF($B27&gt;M$2,0,IF(Datos!$C$4=1,IFERROR(MAX(Stock!M27-Datos!$C$6,0),0),IFERROR(MAX(Datos!$C$6-Stock!M27,0),0)))</f>
        <v>0</v>
      </c>
      <c r="N27">
        <f>IF($B27&gt;N$2,0,IF(Datos!$C$4=1,IFERROR(MAX(Stock!N27-Datos!$C$6,0),0),IFERROR(MAX(Datos!$C$6-Stock!N27,0),0)))</f>
        <v>0</v>
      </c>
      <c r="O27">
        <f>IF($B27&gt;O$2,0,IF(Datos!$C$4=1,IFERROR(MAX(Stock!O27-Datos!$C$6,0),0),IFERROR(MAX(Datos!$C$6-Stock!O27,0),0)))</f>
        <v>0</v>
      </c>
      <c r="P27">
        <f>IF($B27&gt;P$2,0,IF(Datos!$C$4=1,IFERROR(MAX(Stock!P27-Datos!$C$6,0),0),IFERROR(MAX(Datos!$C$6-Stock!P27,0),0)))</f>
        <v>0</v>
      </c>
      <c r="Q27">
        <f>IF($B27&gt;Q$2,0,IF(Datos!$C$4=1,IFERROR(MAX(Stock!Q27-Datos!$C$6,0),0),IFERROR(MAX(Datos!$C$6-Stock!Q27,0),0)))</f>
        <v>0</v>
      </c>
      <c r="R27">
        <f>IF($B27&gt;R$2,0,IF(Datos!$C$4=1,IFERROR(MAX(Stock!R27-Datos!$C$6,0),0),IFERROR(MAX(Datos!$C$6-Stock!R27,0),0)))</f>
        <v>0</v>
      </c>
      <c r="S27">
        <f>IF($B27&gt;S$2,0,IF(Datos!$C$4=1,IFERROR(MAX(Stock!S27-Datos!$C$6,0),0),IFERROR(MAX(Datos!$C$6-Stock!S27,0),0)))</f>
        <v>0</v>
      </c>
      <c r="T27">
        <f>IF($B27&gt;T$2,0,IF(Datos!$C$4=1,IFERROR(MAX(Stock!T27-Datos!$C$6,0),0),IFERROR(MAX(Datos!$C$6-Stock!T27,0),0)))</f>
        <v>0</v>
      </c>
      <c r="U27">
        <f>IF($B27&gt;U$2,0,IF(Datos!$C$4=1,IFERROR(MAX(Stock!U27-Datos!$C$6,0),0),IFERROR(MAX(Datos!$C$6-Stock!U27,0),0)))</f>
        <v>0</v>
      </c>
      <c r="V27">
        <f>IF($B27&gt;V$2,0,IF(Datos!$C$4=1,IFERROR(MAX(Stock!V27-Datos!$C$6,0),0),IFERROR(MAX(Datos!$C$6-Stock!V27,0),0)))</f>
        <v>0</v>
      </c>
      <c r="W27">
        <f>IF($B27&gt;W$2,0,IF(Datos!$C$4=1,IFERROR(MAX(Stock!W27-Datos!$C$6,0),0),IFERROR(MAX(Datos!$C$6-Stock!W27,0),0)))</f>
        <v>0</v>
      </c>
      <c r="X27">
        <f>IF($B27&gt;X$2,0,IF(Datos!$C$4=1,IFERROR(MAX(Stock!X27-Datos!$C$6,0),0),IFERROR(MAX(Datos!$C$6-Stock!X27,0),0)))</f>
        <v>0</v>
      </c>
      <c r="Y27">
        <f>IF($B27&gt;Y$2,0,IF(Datos!$C$4=1,IFERROR(MAX(Stock!Y27-Datos!$C$6,0),0),IFERROR(MAX(Datos!$C$6-Stock!Y27,0),0)))</f>
        <v>0</v>
      </c>
      <c r="Z27">
        <f>IF($B27&gt;Z$2,0,IF(Datos!$C$4=1,IFERROR(MAX(Stock!Z27-Datos!$C$6,0),0),IFERROR(MAX(Datos!$C$6-Stock!Z27,0),0)))</f>
        <v>0</v>
      </c>
      <c r="AA27">
        <f>IF($B27&gt;AA$2,0,IF(Datos!$C$4=1,IFERROR(MAX(Stock!AA27-Datos!$C$6,0),0),IFERROR(MAX(Datos!$C$6-Stock!AA27,0),0)))</f>
        <v>0</v>
      </c>
      <c r="AB27">
        <f>IF($B27&gt;AB$2,0,IF(Datos!$C$4=1,IFERROR(MAX(Stock!AB27-Datos!$C$6,0),0),IFERROR(MAX(Datos!$C$6-Stock!AB27,0),0)))</f>
        <v>0</v>
      </c>
      <c r="AC27">
        <f>IF($B27&gt;AC$2,0,IF(Datos!$C$4=1,IFERROR(MAX(Stock!AC27-Datos!$C$6,0),0),IFERROR(MAX(Datos!$C$6-Stock!AC27,0),0)))</f>
        <v>0</v>
      </c>
      <c r="AD27">
        <f>IF($B27&gt;AD$2,0,IF(Datos!$C$4=1,IFERROR(MAX(Stock!AD27-Datos!$C$6,0),0),IFERROR(MAX(Datos!$C$6-Stock!AD27,0),0)))</f>
        <v>0</v>
      </c>
      <c r="AE27">
        <f>IF($B27&gt;AE$2,0,IF(Datos!$C$4=1,IFERROR(MAX(Stock!AE27-Datos!$C$6,0),0),IFERROR(MAX(Datos!$C$6-Stock!AE27,0),0)))</f>
        <v>0</v>
      </c>
      <c r="AF27">
        <f>IF($B27&gt;AF$2,0,IF(Datos!$C$4=1,IFERROR(MAX(Stock!AF27-Datos!$C$6,0),0),IFERROR(MAX(Datos!$C$6-Stock!AF27,0),0)))</f>
        <v>0</v>
      </c>
      <c r="AG27">
        <f>IF($B27&gt;AG$2,0,IF(Datos!$C$4=1,IFERROR(MAX(Stock!AG27-Datos!$C$6,0),0),IFERROR(MAX(Datos!$C$6-Stock!AG27,0),0)))</f>
        <v>0</v>
      </c>
      <c r="AH27">
        <f>IF($B27&gt;AH$2,0,IF(Datos!$C$4=1,IFERROR(MAX(Stock!AH27-Datos!$C$6,0),0),IFERROR(MAX(Datos!$C$6-Stock!AH27,0),0)))</f>
        <v>0</v>
      </c>
      <c r="AI27">
        <f>IF($B27&gt;AI$2,0,IF(Datos!$C$4=1,IFERROR(MAX(Stock!AI27-Datos!$C$6,0),0),IFERROR(MAX(Datos!$C$6-Stock!AI27,0),0)))</f>
        <v>0</v>
      </c>
      <c r="AJ27">
        <f>IF($B27&gt;AJ$2,0,IF(Datos!$C$4=1,IFERROR(MAX(Stock!AJ27-Datos!$C$6,0),0),IFERROR(MAX(Datos!$C$6-Stock!AJ27,0),0)))</f>
        <v>0</v>
      </c>
      <c r="AK27">
        <f>IF($B27&gt;AK$2,0,IF(Datos!$C$4=1,IFERROR(MAX(Stock!AK27-Datos!$C$6,0),0),IFERROR(MAX(Datos!$C$6-Stock!AK27,0),0)))</f>
        <v>0</v>
      </c>
      <c r="AL27">
        <f>IF($B27&gt;AL$2,0,IF(Datos!$C$4=1,IFERROR(MAX(Stock!AL27-Datos!$C$6,0),0),IFERROR(MAX(Datos!$C$6-Stock!AL27,0),0)))</f>
        <v>4.6180806872097264</v>
      </c>
      <c r="AM27">
        <f>IF($B27&gt;AM$2,0,IF(Datos!$C$4=1,IFERROR(MAX(Stock!AM27-Datos!$C$6,0),0),IFERROR(MAX(Datos!$C$6-Stock!AM27,0),0)))</f>
        <v>40.030134273023052</v>
      </c>
      <c r="AN27">
        <f>IF($B27&gt;AN$2,0,IF(Datos!$C$4=1,IFERROR(MAX(Stock!AN27-Datos!$C$6,0),0),IFERROR(MAX(Datos!$C$6-Stock!AN27,0),0)))</f>
        <v>103.54768948172421</v>
      </c>
      <c r="AO27">
        <f>IF($B27&gt;AO$2,0,IF(Datos!$C$4=1,IFERROR(MAX(Stock!AO27-Datos!$C$6,0),0),IFERROR(MAX(Datos!$C$6-Stock!AO27,0),0)))</f>
        <v>217.47725332115886</v>
      </c>
      <c r="AP27">
        <f>IF($B27&gt;AP$2,0,IF(Datos!$C$4=1,IFERROR(MAX(Stock!AP27-Datos!$C$6,0),0),IFERROR(MAX(Datos!$C$6-Stock!AP27,0),0)))</f>
        <v>421.82934895826753</v>
      </c>
      <c r="AQ27">
        <f>IF($B27&gt;AQ$2,0,IF(Datos!$C$4=1,IFERROR(MAX(Stock!AQ27-Datos!$C$6,0),0),IFERROR(MAX(Datos!$C$6-Stock!AQ27,0),0)))</f>
        <v>788.36967074982317</v>
      </c>
      <c r="AR27">
        <f>IF($B27&gt;AR$2,0,IF(Datos!$C$4=1,IFERROR(MAX(Stock!AR27-Datos!$C$6,0),0),IFERROR(MAX(Datos!$C$6-Stock!AR27,0),0)))</f>
        <v>1445.8222262530514</v>
      </c>
      <c r="AS27">
        <f>IF($B27&gt;AS$2,0,IF(Datos!$C$4=1,IFERROR(MAX(Stock!AS27-Datos!$C$6,0),0),IFERROR(MAX(Datos!$C$6-Stock!AS27,0),0)))</f>
        <v>2625.0754680929335</v>
      </c>
      <c r="AT27">
        <f>IF($B27&gt;AT$2,0,IF(Datos!$C$4=1,IFERROR(MAX(Stock!AT27-Datos!$C$6,0),0),IFERROR(MAX(Datos!$C$6-Stock!AT27,0),0)))</f>
        <v>4740.2671982786151</v>
      </c>
      <c r="AU27">
        <f>IF($B27&gt;AU$2,0,IF(Datos!$C$4=1,IFERROR(MAX(Stock!AU27-Datos!$C$6,0),0),IFERROR(MAX(Datos!$C$6-Stock!AU27,0),0)))</f>
        <v>8534.2241675767982</v>
      </c>
      <c r="AV27">
        <f>IF($B27&gt;AV$2,0,IF(Datos!$C$4=1,IFERROR(MAX(Stock!AV27-Datos!$C$6,0),0),IFERROR(MAX(Datos!$C$6-Stock!AV27,0),0)))</f>
        <v>15339.332791759382</v>
      </c>
      <c r="AW27">
        <f>IF($B27&gt;AW$2,0,IF(Datos!$C$4=1,IFERROR(MAX(Stock!AW27-Datos!$C$6,0),0),IFERROR(MAX(Datos!$C$6-Stock!AW27,0),0)))</f>
        <v>27545.45525484324</v>
      </c>
      <c r="AX27">
        <f>IF($B27&gt;AX$2,0,IF(Datos!$C$4=1,IFERROR(MAX(Stock!AX27-Datos!$C$6,0),0),IFERROR(MAX(Datos!$C$6-Stock!AX27,0),0)))</f>
        <v>49439.216811323466</v>
      </c>
      <c r="AY27">
        <f>IF($B27&gt;AY$2,0,IF(Datos!$C$4=1,IFERROR(MAX(Stock!AY27-Datos!$C$6,0),0),IFERROR(MAX(Datos!$C$6-Stock!AY27,0),0)))</f>
        <v>88709.410645746699</v>
      </c>
      <c r="AZ27">
        <f>IF($B27&gt;AZ$2,0,IF(Datos!$C$4=1,IFERROR(MAX(Stock!AZ27-Datos!$C$6,0),0),IFERROR(MAX(Datos!$C$6-Stock!AZ27,0),0)))</f>
        <v>159147.19813214234</v>
      </c>
      <c r="BA27">
        <f>IF($B27&gt;BA$2,0,IF(Datos!$C$4=1,IFERROR(MAX(Stock!BA27-Datos!$C$6,0),0),IFERROR(MAX(Datos!$C$6-Stock!BA27,0),0)))</f>
        <v>285489.37833369587</v>
      </c>
    </row>
    <row r="28" spans="2:53" x14ac:dyDescent="0.25">
      <c r="B28">
        <v>25</v>
      </c>
      <c r="D28">
        <f>IF($B28&gt;D$2,0,IF(Datos!$C$4=1,IFERROR(MAX(Stock!D28-Datos!$C$6,0),0),IFERROR(MAX(Datos!$C$6-Stock!D28,0),0)))</f>
        <v>0</v>
      </c>
      <c r="E28">
        <f>IF($B28&gt;E$2,0,IF(Datos!$C$4=1,IFERROR(MAX(Stock!E28-Datos!$C$6,0),0),IFERROR(MAX(Datos!$C$6-Stock!E28,0),0)))</f>
        <v>0</v>
      </c>
      <c r="F28">
        <f>IF($B28&gt;F$2,0,IF(Datos!$C$4=1,IFERROR(MAX(Stock!F28-Datos!$C$6,0),0),IFERROR(MAX(Datos!$C$6-Stock!F28,0),0)))</f>
        <v>0</v>
      </c>
      <c r="G28">
        <f>IF($B28&gt;G$2,0,IF(Datos!$C$4=1,IFERROR(MAX(Stock!G28-Datos!$C$6,0),0),IFERROR(MAX(Datos!$C$6-Stock!G28,0),0)))</f>
        <v>0</v>
      </c>
      <c r="H28">
        <f>IF($B28&gt;H$2,0,IF(Datos!$C$4=1,IFERROR(MAX(Stock!H28-Datos!$C$6,0),0),IFERROR(MAX(Datos!$C$6-Stock!H28,0),0)))</f>
        <v>0</v>
      </c>
      <c r="I28">
        <f>IF($B28&gt;I$2,0,IF(Datos!$C$4=1,IFERROR(MAX(Stock!I28-Datos!$C$6,0),0),IFERROR(MAX(Datos!$C$6-Stock!I28,0),0)))</f>
        <v>0</v>
      </c>
      <c r="J28">
        <f>IF($B28&gt;J$2,0,IF(Datos!$C$4=1,IFERROR(MAX(Stock!J28-Datos!$C$6,0),0),IFERROR(MAX(Datos!$C$6-Stock!J28,0),0)))</f>
        <v>0</v>
      </c>
      <c r="K28">
        <f>IF($B28&gt;K$2,0,IF(Datos!$C$4=1,IFERROR(MAX(Stock!K28-Datos!$C$6,0),0),IFERROR(MAX(Datos!$C$6-Stock!K28,0),0)))</f>
        <v>0</v>
      </c>
      <c r="L28">
        <f>IF($B28&gt;L$2,0,IF(Datos!$C$4=1,IFERROR(MAX(Stock!L28-Datos!$C$6,0),0),IFERROR(MAX(Datos!$C$6-Stock!L28,0),0)))</f>
        <v>0</v>
      </c>
      <c r="M28">
        <f>IF($B28&gt;M$2,0,IF(Datos!$C$4=1,IFERROR(MAX(Stock!M28-Datos!$C$6,0),0),IFERROR(MAX(Datos!$C$6-Stock!M28,0),0)))</f>
        <v>0</v>
      </c>
      <c r="N28">
        <f>IF($B28&gt;N$2,0,IF(Datos!$C$4=1,IFERROR(MAX(Stock!N28-Datos!$C$6,0),0),IFERROR(MAX(Datos!$C$6-Stock!N28,0),0)))</f>
        <v>0</v>
      </c>
      <c r="O28">
        <f>IF($B28&gt;O$2,0,IF(Datos!$C$4=1,IFERROR(MAX(Stock!O28-Datos!$C$6,0),0),IFERROR(MAX(Datos!$C$6-Stock!O28,0),0)))</f>
        <v>0</v>
      </c>
      <c r="P28">
        <f>IF($B28&gt;P$2,0,IF(Datos!$C$4=1,IFERROR(MAX(Stock!P28-Datos!$C$6,0),0),IFERROR(MAX(Datos!$C$6-Stock!P28,0),0)))</f>
        <v>0</v>
      </c>
      <c r="Q28">
        <f>IF($B28&gt;Q$2,0,IF(Datos!$C$4=1,IFERROR(MAX(Stock!Q28-Datos!$C$6,0),0),IFERROR(MAX(Datos!$C$6-Stock!Q28,0),0)))</f>
        <v>0</v>
      </c>
      <c r="R28">
        <f>IF($B28&gt;R$2,0,IF(Datos!$C$4=1,IFERROR(MAX(Stock!R28-Datos!$C$6,0),0),IFERROR(MAX(Datos!$C$6-Stock!R28,0),0)))</f>
        <v>0</v>
      </c>
      <c r="S28">
        <f>IF($B28&gt;S$2,0,IF(Datos!$C$4=1,IFERROR(MAX(Stock!S28-Datos!$C$6,0),0),IFERROR(MAX(Datos!$C$6-Stock!S28,0),0)))</f>
        <v>0</v>
      </c>
      <c r="T28">
        <f>IF($B28&gt;T$2,0,IF(Datos!$C$4=1,IFERROR(MAX(Stock!T28-Datos!$C$6,0),0),IFERROR(MAX(Datos!$C$6-Stock!T28,0),0)))</f>
        <v>0</v>
      </c>
      <c r="U28">
        <f>IF($B28&gt;U$2,0,IF(Datos!$C$4=1,IFERROR(MAX(Stock!U28-Datos!$C$6,0),0),IFERROR(MAX(Datos!$C$6-Stock!U28,0),0)))</f>
        <v>0</v>
      </c>
      <c r="V28">
        <f>IF($B28&gt;V$2,0,IF(Datos!$C$4=1,IFERROR(MAX(Stock!V28-Datos!$C$6,0),0),IFERROR(MAX(Datos!$C$6-Stock!V28,0),0)))</f>
        <v>0</v>
      </c>
      <c r="W28">
        <f>IF($B28&gt;W$2,0,IF(Datos!$C$4=1,IFERROR(MAX(Stock!W28-Datos!$C$6,0),0),IFERROR(MAX(Datos!$C$6-Stock!W28,0),0)))</f>
        <v>0</v>
      </c>
      <c r="X28">
        <f>IF($B28&gt;X$2,0,IF(Datos!$C$4=1,IFERROR(MAX(Stock!X28-Datos!$C$6,0),0),IFERROR(MAX(Datos!$C$6-Stock!X28,0),0)))</f>
        <v>0</v>
      </c>
      <c r="Y28">
        <f>IF($B28&gt;Y$2,0,IF(Datos!$C$4=1,IFERROR(MAX(Stock!Y28-Datos!$C$6,0),0),IFERROR(MAX(Datos!$C$6-Stock!Y28,0),0)))</f>
        <v>0</v>
      </c>
      <c r="Z28">
        <f>IF($B28&gt;Z$2,0,IF(Datos!$C$4=1,IFERROR(MAX(Stock!Z28-Datos!$C$6,0),0),IFERROR(MAX(Datos!$C$6-Stock!Z28,0),0)))</f>
        <v>0</v>
      </c>
      <c r="AA28">
        <f>IF($B28&gt;AA$2,0,IF(Datos!$C$4=1,IFERROR(MAX(Stock!AA28-Datos!$C$6,0),0),IFERROR(MAX(Datos!$C$6-Stock!AA28,0),0)))</f>
        <v>0</v>
      </c>
      <c r="AB28">
        <f>IF($B28&gt;AB$2,0,IF(Datos!$C$4=1,IFERROR(MAX(Stock!AB28-Datos!$C$6,0),0),IFERROR(MAX(Datos!$C$6-Stock!AB28,0),0)))</f>
        <v>0</v>
      </c>
      <c r="AC28">
        <f>IF($B28&gt;AC$2,0,IF(Datos!$C$4=1,IFERROR(MAX(Stock!AC28-Datos!$C$6,0),0),IFERROR(MAX(Datos!$C$6-Stock!AC28,0),0)))</f>
        <v>0</v>
      </c>
      <c r="AD28">
        <f>IF($B28&gt;AD$2,0,IF(Datos!$C$4=1,IFERROR(MAX(Stock!AD28-Datos!$C$6,0),0),IFERROR(MAX(Datos!$C$6-Stock!AD28,0),0)))</f>
        <v>0</v>
      </c>
      <c r="AE28">
        <f>IF($B28&gt;AE$2,0,IF(Datos!$C$4=1,IFERROR(MAX(Stock!AE28-Datos!$C$6,0),0),IFERROR(MAX(Datos!$C$6-Stock!AE28,0),0)))</f>
        <v>0</v>
      </c>
      <c r="AF28">
        <f>IF($B28&gt;AF$2,0,IF(Datos!$C$4=1,IFERROR(MAX(Stock!AF28-Datos!$C$6,0),0),IFERROR(MAX(Datos!$C$6-Stock!AF28,0),0)))</f>
        <v>0</v>
      </c>
      <c r="AG28">
        <f>IF($B28&gt;AG$2,0,IF(Datos!$C$4=1,IFERROR(MAX(Stock!AG28-Datos!$C$6,0),0),IFERROR(MAX(Datos!$C$6-Stock!AG28,0),0)))</f>
        <v>0</v>
      </c>
      <c r="AH28">
        <f>IF($B28&gt;AH$2,0,IF(Datos!$C$4=1,IFERROR(MAX(Stock!AH28-Datos!$C$6,0),0),IFERROR(MAX(Datos!$C$6-Stock!AH28,0),0)))</f>
        <v>0</v>
      </c>
      <c r="AI28">
        <f>IF($B28&gt;AI$2,0,IF(Datos!$C$4=1,IFERROR(MAX(Stock!AI28-Datos!$C$6,0),0),IFERROR(MAX(Datos!$C$6-Stock!AI28,0),0)))</f>
        <v>0</v>
      </c>
      <c r="AJ28">
        <f>IF($B28&gt;AJ$2,0,IF(Datos!$C$4=1,IFERROR(MAX(Stock!AJ28-Datos!$C$6,0),0),IFERROR(MAX(Datos!$C$6-Stock!AJ28,0),0)))</f>
        <v>0</v>
      </c>
      <c r="AK28">
        <f>IF($B28&gt;AK$2,0,IF(Datos!$C$4=1,IFERROR(MAX(Stock!AK28-Datos!$C$6,0),0),IFERROR(MAX(Datos!$C$6-Stock!AK28,0),0)))</f>
        <v>0</v>
      </c>
      <c r="AL28">
        <f>IF($B28&gt;AL$2,0,IF(Datos!$C$4=1,IFERROR(MAX(Stock!AL28-Datos!$C$6,0),0),IFERROR(MAX(Datos!$C$6-Stock!AL28,0),0)))</f>
        <v>0</v>
      </c>
      <c r="AM28">
        <f>IF($B28&gt;AM$2,0,IF(Datos!$C$4=1,IFERROR(MAX(Stock!AM28-Datos!$C$6,0),0),IFERROR(MAX(Datos!$C$6-Stock!AM28,0),0)))</f>
        <v>0</v>
      </c>
      <c r="AN28">
        <f>IF($B28&gt;AN$2,0,IF(Datos!$C$4=1,IFERROR(MAX(Stock!AN28-Datos!$C$6,0),0),IFERROR(MAX(Datos!$C$6-Stock!AN28,0),0)))</f>
        <v>21.44479770573848</v>
      </c>
      <c r="AO28">
        <f>IF($B28&gt;AO$2,0,IF(Datos!$C$4=1,IFERROR(MAX(Stock!AO28-Datos!$C$6,0),0),IFERROR(MAX(Datos!$C$6-Stock!AO28,0),0)))</f>
        <v>70.211719890914679</v>
      </c>
      <c r="AP28">
        <f>IF($B28&gt;AP$2,0,IF(Datos!$C$4=1,IFERROR(MAX(Stock!AP28-Datos!$C$6,0),0),IFERROR(MAX(Datos!$C$6-Stock!AP28,0),0)))</f>
        <v>157.68350869155904</v>
      </c>
      <c r="AQ28">
        <f>IF($B28&gt;AQ$2,0,IF(Datos!$C$4=1,IFERROR(MAX(Stock!AQ28-Datos!$C$6,0),0),IFERROR(MAX(Datos!$C$6-Stock!AQ28,0),0)))</f>
        <v>314.57907423353049</v>
      </c>
      <c r="AR28">
        <f>IF($B28&gt;AR$2,0,IF(Datos!$C$4=1,IFERROR(MAX(Stock!AR28-Datos!$C$6,0),0),IFERROR(MAX(Datos!$C$6-Stock!AR28,0),0)))</f>
        <v>595.99801883562952</v>
      </c>
      <c r="AS28">
        <f>IF($B28&gt;AS$2,0,IF(Datos!$C$4=1,IFERROR(MAX(Stock!AS28-Datos!$C$6,0),0),IFERROR(MAX(Datos!$C$6-Stock!AS28,0),0)))</f>
        <v>1100.7708727234169</v>
      </c>
      <c r="AT28">
        <f>IF($B28&gt;AT$2,0,IF(Datos!$C$4=1,IFERROR(MAX(Stock!AT28-Datos!$C$6,0),0),IFERROR(MAX(Datos!$C$6-Stock!AT28,0),0)))</f>
        <v>2006.1670406405397</v>
      </c>
      <c r="AU28">
        <f>IF($B28&gt;AU$2,0,IF(Datos!$C$4=1,IFERROR(MAX(Stock!AU28-Datos!$C$6,0),0),IFERROR(MAX(Datos!$C$6-Stock!AU28,0),0)))</f>
        <v>3630.1494211614263</v>
      </c>
      <c r="AV28">
        <f>IF($B28&gt;AV$2,0,IF(Datos!$C$4=1,IFERROR(MAX(Stock!AV28-Datos!$C$6,0),0),IFERROR(MAX(Datos!$C$6-Stock!AV28,0),0)))</f>
        <v>6543.0386796939383</v>
      </c>
      <c r="AW28">
        <f>IF($B28&gt;AW$2,0,IF(Datos!$C$4=1,IFERROR(MAX(Stock!AW28-Datos!$C$6,0),0),IFERROR(MAX(Datos!$C$6-Stock!AW28,0),0)))</f>
        <v>11767.802158810371</v>
      </c>
      <c r="AX28">
        <f>IF($B28&gt;AX$2,0,IF(Datos!$C$4=1,IFERROR(MAX(Stock!AX28-Datos!$C$6,0),0),IFERROR(MAX(Datos!$C$6-Stock!AX28,0),0)))</f>
        <v>21139.306184494264</v>
      </c>
      <c r="AY28">
        <f>IF($B28&gt;AY$2,0,IF(Datos!$C$4=1,IFERROR(MAX(Stock!AY28-Datos!$C$6,0),0),IFERROR(MAX(Datos!$C$6-Stock!AY28,0),0)))</f>
        <v>37948.696323291864</v>
      </c>
      <c r="AZ28">
        <f>IF($B28&gt;AZ$2,0,IF(Datos!$C$4=1,IFERROR(MAX(Stock!AZ28-Datos!$C$6,0),0),IFERROR(MAX(Datos!$C$6-Stock!AZ28,0),0)))</f>
        <v>68099.20322847199</v>
      </c>
      <c r="BA28">
        <f>IF($B28&gt;BA$2,0,IF(Datos!$C$4=1,IFERROR(MAX(Stock!BA28-Datos!$C$6,0),0),IFERROR(MAX(Datos!$C$6-Stock!BA28,0),0)))</f>
        <v>122179.27746871093</v>
      </c>
    </row>
    <row r="29" spans="2:53" x14ac:dyDescent="0.25">
      <c r="B29">
        <v>26</v>
      </c>
      <c r="D29">
        <f>IF($B29&gt;D$2,0,IF(Datos!$C$4=1,IFERROR(MAX(Stock!D29-Datos!$C$6,0),0),IFERROR(MAX(Datos!$C$6-Stock!D29,0),0)))</f>
        <v>0</v>
      </c>
      <c r="E29">
        <f>IF($B29&gt;E$2,0,IF(Datos!$C$4=1,IFERROR(MAX(Stock!E29-Datos!$C$6,0),0),IFERROR(MAX(Datos!$C$6-Stock!E29,0),0)))</f>
        <v>0</v>
      </c>
      <c r="F29">
        <f>IF($B29&gt;F$2,0,IF(Datos!$C$4=1,IFERROR(MAX(Stock!F29-Datos!$C$6,0),0),IFERROR(MAX(Datos!$C$6-Stock!F29,0),0)))</f>
        <v>0</v>
      </c>
      <c r="G29">
        <f>IF($B29&gt;G$2,0,IF(Datos!$C$4=1,IFERROR(MAX(Stock!G29-Datos!$C$6,0),0),IFERROR(MAX(Datos!$C$6-Stock!G29,0),0)))</f>
        <v>0</v>
      </c>
      <c r="H29">
        <f>IF($B29&gt;H$2,0,IF(Datos!$C$4=1,IFERROR(MAX(Stock!H29-Datos!$C$6,0),0),IFERROR(MAX(Datos!$C$6-Stock!H29,0),0)))</f>
        <v>0</v>
      </c>
      <c r="I29">
        <f>IF($B29&gt;I$2,0,IF(Datos!$C$4=1,IFERROR(MAX(Stock!I29-Datos!$C$6,0),0),IFERROR(MAX(Datos!$C$6-Stock!I29,0),0)))</f>
        <v>0</v>
      </c>
      <c r="J29">
        <f>IF($B29&gt;J$2,0,IF(Datos!$C$4=1,IFERROR(MAX(Stock!J29-Datos!$C$6,0),0),IFERROR(MAX(Datos!$C$6-Stock!J29,0),0)))</f>
        <v>0</v>
      </c>
      <c r="K29">
        <f>IF($B29&gt;K$2,0,IF(Datos!$C$4=1,IFERROR(MAX(Stock!K29-Datos!$C$6,0),0),IFERROR(MAX(Datos!$C$6-Stock!K29,0),0)))</f>
        <v>0</v>
      </c>
      <c r="L29">
        <f>IF($B29&gt;L$2,0,IF(Datos!$C$4=1,IFERROR(MAX(Stock!L29-Datos!$C$6,0),0),IFERROR(MAX(Datos!$C$6-Stock!L29,0),0)))</f>
        <v>0</v>
      </c>
      <c r="M29">
        <f>IF($B29&gt;M$2,0,IF(Datos!$C$4=1,IFERROR(MAX(Stock!M29-Datos!$C$6,0),0),IFERROR(MAX(Datos!$C$6-Stock!M29,0),0)))</f>
        <v>0</v>
      </c>
      <c r="N29">
        <f>IF($B29&gt;N$2,0,IF(Datos!$C$4=1,IFERROR(MAX(Stock!N29-Datos!$C$6,0),0),IFERROR(MAX(Datos!$C$6-Stock!N29,0),0)))</f>
        <v>0</v>
      </c>
      <c r="O29">
        <f>IF($B29&gt;O$2,0,IF(Datos!$C$4=1,IFERROR(MAX(Stock!O29-Datos!$C$6,0),0),IFERROR(MAX(Datos!$C$6-Stock!O29,0),0)))</f>
        <v>0</v>
      </c>
      <c r="P29">
        <f>IF($B29&gt;P$2,0,IF(Datos!$C$4=1,IFERROR(MAX(Stock!P29-Datos!$C$6,0),0),IFERROR(MAX(Datos!$C$6-Stock!P29,0),0)))</f>
        <v>0</v>
      </c>
      <c r="Q29">
        <f>IF($B29&gt;Q$2,0,IF(Datos!$C$4=1,IFERROR(MAX(Stock!Q29-Datos!$C$6,0),0),IFERROR(MAX(Datos!$C$6-Stock!Q29,0),0)))</f>
        <v>0</v>
      </c>
      <c r="R29">
        <f>IF($B29&gt;R$2,0,IF(Datos!$C$4=1,IFERROR(MAX(Stock!R29-Datos!$C$6,0),0),IFERROR(MAX(Datos!$C$6-Stock!R29,0),0)))</f>
        <v>0</v>
      </c>
      <c r="S29">
        <f>IF($B29&gt;S$2,0,IF(Datos!$C$4=1,IFERROR(MAX(Stock!S29-Datos!$C$6,0),0),IFERROR(MAX(Datos!$C$6-Stock!S29,0),0)))</f>
        <v>0</v>
      </c>
      <c r="T29">
        <f>IF($B29&gt;T$2,0,IF(Datos!$C$4=1,IFERROR(MAX(Stock!T29-Datos!$C$6,0),0),IFERROR(MAX(Datos!$C$6-Stock!T29,0),0)))</f>
        <v>0</v>
      </c>
      <c r="U29">
        <f>IF($B29&gt;U$2,0,IF(Datos!$C$4=1,IFERROR(MAX(Stock!U29-Datos!$C$6,0),0),IFERROR(MAX(Datos!$C$6-Stock!U29,0),0)))</f>
        <v>0</v>
      </c>
      <c r="V29">
        <f>IF($B29&gt;V$2,0,IF(Datos!$C$4=1,IFERROR(MAX(Stock!V29-Datos!$C$6,0),0),IFERROR(MAX(Datos!$C$6-Stock!V29,0),0)))</f>
        <v>0</v>
      </c>
      <c r="W29">
        <f>IF($B29&gt;W$2,0,IF(Datos!$C$4=1,IFERROR(MAX(Stock!W29-Datos!$C$6,0),0),IFERROR(MAX(Datos!$C$6-Stock!W29,0),0)))</f>
        <v>0</v>
      </c>
      <c r="X29">
        <f>IF($B29&gt;X$2,0,IF(Datos!$C$4=1,IFERROR(MAX(Stock!X29-Datos!$C$6,0),0),IFERROR(MAX(Datos!$C$6-Stock!X29,0),0)))</f>
        <v>0</v>
      </c>
      <c r="Y29">
        <f>IF($B29&gt;Y$2,0,IF(Datos!$C$4=1,IFERROR(MAX(Stock!Y29-Datos!$C$6,0),0),IFERROR(MAX(Datos!$C$6-Stock!Y29,0),0)))</f>
        <v>0</v>
      </c>
      <c r="Z29">
        <f>IF($B29&gt;Z$2,0,IF(Datos!$C$4=1,IFERROR(MAX(Stock!Z29-Datos!$C$6,0),0),IFERROR(MAX(Datos!$C$6-Stock!Z29,0),0)))</f>
        <v>0</v>
      </c>
      <c r="AA29">
        <f>IF($B29&gt;AA$2,0,IF(Datos!$C$4=1,IFERROR(MAX(Stock!AA29-Datos!$C$6,0),0),IFERROR(MAX(Datos!$C$6-Stock!AA29,0),0)))</f>
        <v>0</v>
      </c>
      <c r="AB29">
        <f>IF($B29&gt;AB$2,0,IF(Datos!$C$4=1,IFERROR(MAX(Stock!AB29-Datos!$C$6,0),0),IFERROR(MAX(Datos!$C$6-Stock!AB29,0),0)))</f>
        <v>0</v>
      </c>
      <c r="AC29">
        <f>IF($B29&gt;AC$2,0,IF(Datos!$C$4=1,IFERROR(MAX(Stock!AC29-Datos!$C$6,0),0),IFERROR(MAX(Datos!$C$6-Stock!AC29,0),0)))</f>
        <v>0</v>
      </c>
      <c r="AD29">
        <f>IF($B29&gt;AD$2,0,IF(Datos!$C$4=1,IFERROR(MAX(Stock!AD29-Datos!$C$6,0),0),IFERROR(MAX(Datos!$C$6-Stock!AD29,0),0)))</f>
        <v>0</v>
      </c>
      <c r="AE29">
        <f>IF($B29&gt;AE$2,0,IF(Datos!$C$4=1,IFERROR(MAX(Stock!AE29-Datos!$C$6,0),0),IFERROR(MAX(Datos!$C$6-Stock!AE29,0),0)))</f>
        <v>0</v>
      </c>
      <c r="AF29">
        <f>IF($B29&gt;AF$2,0,IF(Datos!$C$4=1,IFERROR(MAX(Stock!AF29-Datos!$C$6,0),0),IFERROR(MAX(Datos!$C$6-Stock!AF29,0),0)))</f>
        <v>0</v>
      </c>
      <c r="AG29">
        <f>IF($B29&gt;AG$2,0,IF(Datos!$C$4=1,IFERROR(MAX(Stock!AG29-Datos!$C$6,0),0),IFERROR(MAX(Datos!$C$6-Stock!AG29,0),0)))</f>
        <v>0</v>
      </c>
      <c r="AH29">
        <f>IF($B29&gt;AH$2,0,IF(Datos!$C$4=1,IFERROR(MAX(Stock!AH29-Datos!$C$6,0),0),IFERROR(MAX(Datos!$C$6-Stock!AH29,0),0)))</f>
        <v>0</v>
      </c>
      <c r="AI29">
        <f>IF($B29&gt;AI$2,0,IF(Datos!$C$4=1,IFERROR(MAX(Stock!AI29-Datos!$C$6,0),0),IFERROR(MAX(Datos!$C$6-Stock!AI29,0),0)))</f>
        <v>0</v>
      </c>
      <c r="AJ29">
        <f>IF($B29&gt;AJ$2,0,IF(Datos!$C$4=1,IFERROR(MAX(Stock!AJ29-Datos!$C$6,0),0),IFERROR(MAX(Datos!$C$6-Stock!AJ29,0),0)))</f>
        <v>0</v>
      </c>
      <c r="AK29">
        <f>IF($B29&gt;AK$2,0,IF(Datos!$C$4=1,IFERROR(MAX(Stock!AK29-Datos!$C$6,0),0),IFERROR(MAX(Datos!$C$6-Stock!AK29,0),0)))</f>
        <v>0</v>
      </c>
      <c r="AL29">
        <f>IF($B29&gt;AL$2,0,IF(Datos!$C$4=1,IFERROR(MAX(Stock!AL29-Datos!$C$6,0),0),IFERROR(MAX(Datos!$C$6-Stock!AL29,0),0)))</f>
        <v>0</v>
      </c>
      <c r="AM29">
        <f>IF($B29&gt;AM$2,0,IF(Datos!$C$4=1,IFERROR(MAX(Stock!AM29-Datos!$C$6,0),0),IFERROR(MAX(Datos!$C$6-Stock!AM29,0),0)))</f>
        <v>0</v>
      </c>
      <c r="AN29">
        <f>IF($B29&gt;AN$2,0,IF(Datos!$C$4=1,IFERROR(MAX(Stock!AN29-Datos!$C$6,0),0),IFERROR(MAX(Datos!$C$6-Stock!AN29,0),0)))</f>
        <v>0</v>
      </c>
      <c r="AO29">
        <f>IF($B29&gt;AO$2,0,IF(Datos!$C$4=1,IFERROR(MAX(Stock!AO29-Datos!$C$6,0),0),IFERROR(MAX(Datos!$C$6-Stock!AO29,0),0)))</f>
        <v>7.1755195639072724</v>
      </c>
      <c r="AP29">
        <f>IF($B29&gt;AP$2,0,IF(Datos!$C$4=1,IFERROR(MAX(Stock!AP29-Datos!$C$6,0),0),IFERROR(MAX(Datos!$C$6-Stock!AP29,0),0)))</f>
        <v>44.61733689457877</v>
      </c>
      <c r="AQ29">
        <f>IF($B29&gt;AQ$2,0,IF(Datos!$C$4=1,IFERROR(MAX(Stock!AQ29-Datos!$C$6,0),0),IFERROR(MAX(Datos!$C$6-Stock!AQ29,0),0)))</f>
        <v>111.77561941699605</v>
      </c>
      <c r="AR29">
        <f>IF($B29&gt;AR$2,0,IF(Datos!$C$4=1,IFERROR(MAX(Stock!AR29-Datos!$C$6,0),0),IFERROR(MAX(Datos!$C$6-Stock!AR29,0),0)))</f>
        <v>232.23544837049445</v>
      </c>
      <c r="AS29">
        <f>IF($B29&gt;AS$2,0,IF(Datos!$C$4=1,IFERROR(MAX(Stock!AS29-Datos!$C$6,0),0),IFERROR(MAX(Datos!$C$6-Stock!AS29,0),0)))</f>
        <v>448.30068777953522</v>
      </c>
      <c r="AT29">
        <f>IF($B29&gt;AT$2,0,IF(Datos!$C$4=1,IFERROR(MAX(Stock!AT29-Datos!$C$6,0),0),IFERROR(MAX(Datos!$C$6-Stock!AT29,0),0)))</f>
        <v>835.85052980120838</v>
      </c>
      <c r="AU29">
        <f>IF($B29&gt;AU$2,0,IF(Datos!$C$4=1,IFERROR(MAX(Stock!AU29-Datos!$C$6,0),0),IFERROR(MAX(Datos!$C$6-Stock!AU29,0),0)))</f>
        <v>1530.9872415731777</v>
      </c>
      <c r="AV29">
        <f>IF($B29&gt;AV$2,0,IF(Datos!$C$4=1,IFERROR(MAX(Stock!AV29-Datos!$C$6,0),0),IFERROR(MAX(Datos!$C$6-Stock!AV29,0),0)))</f>
        <v>2777.8334421352279</v>
      </c>
      <c r="AW29">
        <f>IF($B29&gt;AW$2,0,IF(Datos!$C$4=1,IFERROR(MAX(Stock!AW29-Datos!$C$6,0),0),IFERROR(MAX(Datos!$C$6-Stock!AW29,0),0)))</f>
        <v>5014.2646671429411</v>
      </c>
      <c r="AX29">
        <f>IF($B29&gt;AX$2,0,IF(Datos!$C$4=1,IFERROR(MAX(Stock!AX29-Datos!$C$6,0),0),IFERROR(MAX(Datos!$C$6-Stock!AX29,0),0)))</f>
        <v>9025.6853395040453</v>
      </c>
      <c r="AY29">
        <f>IF($B29&gt;AY$2,0,IF(Datos!$C$4=1,IFERROR(MAX(Stock!AY29-Datos!$C$6,0),0),IFERROR(MAX(Datos!$C$6-Stock!AY29,0),0)))</f>
        <v>16220.85218868381</v>
      </c>
      <c r="AZ29">
        <f>IF($B29&gt;AZ$2,0,IF(Datos!$C$4=1,IFERROR(MAX(Stock!AZ29-Datos!$C$6,0),0),IFERROR(MAX(Datos!$C$6-Stock!AZ29,0),0)))</f>
        <v>29126.610576039304</v>
      </c>
      <c r="BA29">
        <f>IF($B29&gt;BA$2,0,IF(Datos!$C$4=1,IFERROR(MAX(Stock!BA29-Datos!$C$6,0),0),IFERROR(MAX(Datos!$C$6-Stock!BA29,0),0)))</f>
        <v>52275.288437732517</v>
      </c>
    </row>
    <row r="30" spans="2:53" x14ac:dyDescent="0.25">
      <c r="B30">
        <v>27</v>
      </c>
      <c r="D30">
        <f>IF($B30&gt;D$2,0,IF(Datos!$C$4=1,IFERROR(MAX(Stock!D30-Datos!$C$6,0),0),IFERROR(MAX(Datos!$C$6-Stock!D30,0),0)))</f>
        <v>0</v>
      </c>
      <c r="E30">
        <f>IF($B30&gt;E$2,0,IF(Datos!$C$4=1,IFERROR(MAX(Stock!E30-Datos!$C$6,0),0),IFERROR(MAX(Datos!$C$6-Stock!E30,0),0)))</f>
        <v>0</v>
      </c>
      <c r="F30">
        <f>IF($B30&gt;F$2,0,IF(Datos!$C$4=1,IFERROR(MAX(Stock!F30-Datos!$C$6,0),0),IFERROR(MAX(Datos!$C$6-Stock!F30,0),0)))</f>
        <v>0</v>
      </c>
      <c r="G30">
        <f>IF($B30&gt;G$2,0,IF(Datos!$C$4=1,IFERROR(MAX(Stock!G30-Datos!$C$6,0),0),IFERROR(MAX(Datos!$C$6-Stock!G30,0),0)))</f>
        <v>0</v>
      </c>
      <c r="H30">
        <f>IF($B30&gt;H$2,0,IF(Datos!$C$4=1,IFERROR(MAX(Stock!H30-Datos!$C$6,0),0),IFERROR(MAX(Datos!$C$6-Stock!H30,0),0)))</f>
        <v>0</v>
      </c>
      <c r="I30">
        <f>IF($B30&gt;I$2,0,IF(Datos!$C$4=1,IFERROR(MAX(Stock!I30-Datos!$C$6,0),0),IFERROR(MAX(Datos!$C$6-Stock!I30,0),0)))</f>
        <v>0</v>
      </c>
      <c r="J30">
        <f>IF($B30&gt;J$2,0,IF(Datos!$C$4=1,IFERROR(MAX(Stock!J30-Datos!$C$6,0),0),IFERROR(MAX(Datos!$C$6-Stock!J30,0),0)))</f>
        <v>0</v>
      </c>
      <c r="K30">
        <f>IF($B30&gt;K$2,0,IF(Datos!$C$4=1,IFERROR(MAX(Stock!K30-Datos!$C$6,0),0),IFERROR(MAX(Datos!$C$6-Stock!K30,0),0)))</f>
        <v>0</v>
      </c>
      <c r="L30">
        <f>IF($B30&gt;L$2,0,IF(Datos!$C$4=1,IFERROR(MAX(Stock!L30-Datos!$C$6,0),0),IFERROR(MAX(Datos!$C$6-Stock!L30,0),0)))</f>
        <v>0</v>
      </c>
      <c r="M30">
        <f>IF($B30&gt;M$2,0,IF(Datos!$C$4=1,IFERROR(MAX(Stock!M30-Datos!$C$6,0),0),IFERROR(MAX(Datos!$C$6-Stock!M30,0),0)))</f>
        <v>0</v>
      </c>
      <c r="N30">
        <f>IF($B30&gt;N$2,0,IF(Datos!$C$4=1,IFERROR(MAX(Stock!N30-Datos!$C$6,0),0),IFERROR(MAX(Datos!$C$6-Stock!N30,0),0)))</f>
        <v>0</v>
      </c>
      <c r="O30">
        <f>IF($B30&gt;O$2,0,IF(Datos!$C$4=1,IFERROR(MAX(Stock!O30-Datos!$C$6,0),0),IFERROR(MAX(Datos!$C$6-Stock!O30,0),0)))</f>
        <v>0</v>
      </c>
      <c r="P30">
        <f>IF($B30&gt;P$2,0,IF(Datos!$C$4=1,IFERROR(MAX(Stock!P30-Datos!$C$6,0),0),IFERROR(MAX(Datos!$C$6-Stock!P30,0),0)))</f>
        <v>0</v>
      </c>
      <c r="Q30">
        <f>IF($B30&gt;Q$2,0,IF(Datos!$C$4=1,IFERROR(MAX(Stock!Q30-Datos!$C$6,0),0),IFERROR(MAX(Datos!$C$6-Stock!Q30,0),0)))</f>
        <v>0</v>
      </c>
      <c r="R30">
        <f>IF($B30&gt;R$2,0,IF(Datos!$C$4=1,IFERROR(MAX(Stock!R30-Datos!$C$6,0),0),IFERROR(MAX(Datos!$C$6-Stock!R30,0),0)))</f>
        <v>0</v>
      </c>
      <c r="S30">
        <f>IF($B30&gt;S$2,0,IF(Datos!$C$4=1,IFERROR(MAX(Stock!S30-Datos!$C$6,0),0),IFERROR(MAX(Datos!$C$6-Stock!S30,0),0)))</f>
        <v>0</v>
      </c>
      <c r="T30">
        <f>IF($B30&gt;T$2,0,IF(Datos!$C$4=1,IFERROR(MAX(Stock!T30-Datos!$C$6,0),0),IFERROR(MAX(Datos!$C$6-Stock!T30,0),0)))</f>
        <v>0</v>
      </c>
      <c r="U30">
        <f>IF($B30&gt;U$2,0,IF(Datos!$C$4=1,IFERROR(MAX(Stock!U30-Datos!$C$6,0),0),IFERROR(MAX(Datos!$C$6-Stock!U30,0),0)))</f>
        <v>0</v>
      </c>
      <c r="V30">
        <f>IF($B30&gt;V$2,0,IF(Datos!$C$4=1,IFERROR(MAX(Stock!V30-Datos!$C$6,0),0),IFERROR(MAX(Datos!$C$6-Stock!V30,0),0)))</f>
        <v>0</v>
      </c>
      <c r="W30">
        <f>IF($B30&gt;W$2,0,IF(Datos!$C$4=1,IFERROR(MAX(Stock!W30-Datos!$C$6,0),0),IFERROR(MAX(Datos!$C$6-Stock!W30,0),0)))</f>
        <v>0</v>
      </c>
      <c r="X30">
        <f>IF($B30&gt;X$2,0,IF(Datos!$C$4=1,IFERROR(MAX(Stock!X30-Datos!$C$6,0),0),IFERROR(MAX(Datos!$C$6-Stock!X30,0),0)))</f>
        <v>0</v>
      </c>
      <c r="Y30">
        <f>IF($B30&gt;Y$2,0,IF(Datos!$C$4=1,IFERROR(MAX(Stock!Y30-Datos!$C$6,0),0),IFERROR(MAX(Datos!$C$6-Stock!Y30,0),0)))</f>
        <v>0</v>
      </c>
      <c r="Z30">
        <f>IF($B30&gt;Z$2,0,IF(Datos!$C$4=1,IFERROR(MAX(Stock!Z30-Datos!$C$6,0),0),IFERROR(MAX(Datos!$C$6-Stock!Z30,0),0)))</f>
        <v>0</v>
      </c>
      <c r="AA30">
        <f>IF($B30&gt;AA$2,0,IF(Datos!$C$4=1,IFERROR(MAX(Stock!AA30-Datos!$C$6,0),0),IFERROR(MAX(Datos!$C$6-Stock!AA30,0),0)))</f>
        <v>0</v>
      </c>
      <c r="AB30">
        <f>IF($B30&gt;AB$2,0,IF(Datos!$C$4=1,IFERROR(MAX(Stock!AB30-Datos!$C$6,0),0),IFERROR(MAX(Datos!$C$6-Stock!AB30,0),0)))</f>
        <v>0</v>
      </c>
      <c r="AC30">
        <f>IF($B30&gt;AC$2,0,IF(Datos!$C$4=1,IFERROR(MAX(Stock!AC30-Datos!$C$6,0),0),IFERROR(MAX(Datos!$C$6-Stock!AC30,0),0)))</f>
        <v>0</v>
      </c>
      <c r="AD30">
        <f>IF($B30&gt;AD$2,0,IF(Datos!$C$4=1,IFERROR(MAX(Stock!AD30-Datos!$C$6,0),0),IFERROR(MAX(Datos!$C$6-Stock!AD30,0),0)))</f>
        <v>0</v>
      </c>
      <c r="AE30">
        <f>IF($B30&gt;AE$2,0,IF(Datos!$C$4=1,IFERROR(MAX(Stock!AE30-Datos!$C$6,0),0),IFERROR(MAX(Datos!$C$6-Stock!AE30,0),0)))</f>
        <v>0</v>
      </c>
      <c r="AF30">
        <f>IF($B30&gt;AF$2,0,IF(Datos!$C$4=1,IFERROR(MAX(Stock!AF30-Datos!$C$6,0),0),IFERROR(MAX(Datos!$C$6-Stock!AF30,0),0)))</f>
        <v>0</v>
      </c>
      <c r="AG30">
        <f>IF($B30&gt;AG$2,0,IF(Datos!$C$4=1,IFERROR(MAX(Stock!AG30-Datos!$C$6,0),0),IFERROR(MAX(Datos!$C$6-Stock!AG30,0),0)))</f>
        <v>0</v>
      </c>
      <c r="AH30">
        <f>IF($B30&gt;AH$2,0,IF(Datos!$C$4=1,IFERROR(MAX(Stock!AH30-Datos!$C$6,0),0),IFERROR(MAX(Datos!$C$6-Stock!AH30,0),0)))</f>
        <v>0</v>
      </c>
      <c r="AI30">
        <f>IF($B30&gt;AI$2,0,IF(Datos!$C$4=1,IFERROR(MAX(Stock!AI30-Datos!$C$6,0),0),IFERROR(MAX(Datos!$C$6-Stock!AI30,0),0)))</f>
        <v>0</v>
      </c>
      <c r="AJ30">
        <f>IF($B30&gt;AJ$2,0,IF(Datos!$C$4=1,IFERROR(MAX(Stock!AJ30-Datos!$C$6,0),0),IFERROR(MAX(Datos!$C$6-Stock!AJ30,0),0)))</f>
        <v>0</v>
      </c>
      <c r="AK30">
        <f>IF($B30&gt;AK$2,0,IF(Datos!$C$4=1,IFERROR(MAX(Stock!AK30-Datos!$C$6,0),0),IFERROR(MAX(Datos!$C$6-Stock!AK30,0),0)))</f>
        <v>0</v>
      </c>
      <c r="AL30">
        <f>IF($B30&gt;AL$2,0,IF(Datos!$C$4=1,IFERROR(MAX(Stock!AL30-Datos!$C$6,0),0),IFERROR(MAX(Datos!$C$6-Stock!AL30,0),0)))</f>
        <v>0</v>
      </c>
      <c r="AM30">
        <f>IF($B30&gt;AM$2,0,IF(Datos!$C$4=1,IFERROR(MAX(Stock!AM30-Datos!$C$6,0),0),IFERROR(MAX(Datos!$C$6-Stock!AM30,0),0)))</f>
        <v>0</v>
      </c>
      <c r="AN30">
        <f>IF($B30&gt;AN$2,0,IF(Datos!$C$4=1,IFERROR(MAX(Stock!AN30-Datos!$C$6,0),0),IFERROR(MAX(Datos!$C$6-Stock!AN30,0),0)))</f>
        <v>0</v>
      </c>
      <c r="AO30">
        <f>IF($B30&gt;AO$2,0,IF(Datos!$C$4=1,IFERROR(MAX(Stock!AO30-Datos!$C$6,0),0),IFERROR(MAX(Datos!$C$6-Stock!AO30,0),0)))</f>
        <v>0</v>
      </c>
      <c r="AP30">
        <f>IF($B30&gt;AP$2,0,IF(Datos!$C$4=1,IFERROR(MAX(Stock!AP30-Datos!$C$6,0),0),IFERROR(MAX(Datos!$C$6-Stock!AP30,0),0)))</f>
        <v>0</v>
      </c>
      <c r="AQ30">
        <f>IF($B30&gt;AQ$2,0,IF(Datos!$C$4=1,IFERROR(MAX(Stock!AQ30-Datos!$C$6,0),0),IFERROR(MAX(Datos!$C$6-Stock!AQ30,0),0)))</f>
        <v>24.966717788430813</v>
      </c>
      <c r="AR30">
        <f>IF($B30&gt;AR$2,0,IF(Datos!$C$4=1,IFERROR(MAX(Stock!AR30-Datos!$C$6,0),0),IFERROR(MAX(Datos!$C$6-Stock!AR30,0),0)))</f>
        <v>76.528883981693753</v>
      </c>
      <c r="AS30">
        <f>IF($B30&gt;AS$2,0,IF(Datos!$C$4=1,IFERROR(MAX(Stock!AS30-Datos!$C$6,0),0),IFERROR(MAX(Datos!$C$6-Stock!AS30,0),0)))</f>
        <v>169.01441944843288</v>
      </c>
      <c r="AT30">
        <f>IF($B30&gt;AT$2,0,IF(Datos!$C$4=1,IFERROR(MAX(Stock!AT30-Datos!$C$6,0),0),IFERROR(MAX(Datos!$C$6-Stock!AT30,0),0)))</f>
        <v>334.90299438745592</v>
      </c>
      <c r="AU30">
        <f>IF($B30&gt;AU$2,0,IF(Datos!$C$4=1,IFERROR(MAX(Stock!AU30-Datos!$C$6,0),0),IFERROR(MAX(Datos!$C$6-Stock!AU30,0),0)))</f>
        <v>632.45243448554152</v>
      </c>
      <c r="AV30">
        <f>IF($B30&gt;AV$2,0,IF(Datos!$C$4=1,IFERROR(MAX(Stock!AV30-Datos!$C$6,0),0),IFERROR(MAX(Datos!$C$6-Stock!AV30,0),0)))</f>
        <v>1166.1580819976018</v>
      </c>
      <c r="AW30">
        <f>IF($B30&gt;AW$2,0,IF(Datos!$C$4=1,IFERROR(MAX(Stock!AW30-Datos!$C$6,0),0),IFERROR(MAX(Datos!$C$6-Stock!AW30,0),0)))</f>
        <v>2123.4501477879826</v>
      </c>
      <c r="AX30">
        <f>IF($B30&gt;AX$2,0,IF(Datos!$C$4=1,IFERROR(MAX(Stock!AX30-Datos!$C$6,0),0),IFERROR(MAX(Datos!$C$6-Stock!AX30,0),0)))</f>
        <v>3840.51666843878</v>
      </c>
      <c r="AY30">
        <f>IF($B30&gt;AY$2,0,IF(Datos!$C$4=1,IFERROR(MAX(Stock!AY30-Datos!$C$6,0),0),IFERROR(MAX(Datos!$C$6-Stock!AY30,0),0)))</f>
        <v>6920.3682014247806</v>
      </c>
      <c r="AZ30">
        <f>IF($B30&gt;AZ$2,0,IF(Datos!$C$4=1,IFERROR(MAX(Stock!AZ30-Datos!$C$6,0),0),IFERROR(MAX(Datos!$C$6-Stock!AZ30,0),0)))</f>
        <v>12444.606983764465</v>
      </c>
      <c r="BA30">
        <f>IF($B30&gt;BA$2,0,IF(Datos!$C$4=1,IFERROR(MAX(Stock!BA30-Datos!$C$6,0),0),IFERROR(MAX(Datos!$C$6-Stock!BA30,0),0)))</f>
        <v>22353.271020799595</v>
      </c>
    </row>
    <row r="31" spans="2:53" x14ac:dyDescent="0.25">
      <c r="B31">
        <v>28</v>
      </c>
      <c r="D31">
        <f>IF($B31&gt;D$2,0,IF(Datos!$C$4=1,IFERROR(MAX(Stock!D31-Datos!$C$6,0),0),IFERROR(MAX(Datos!$C$6-Stock!D31,0),0)))</f>
        <v>0</v>
      </c>
      <c r="E31">
        <f>IF($B31&gt;E$2,0,IF(Datos!$C$4=1,IFERROR(MAX(Stock!E31-Datos!$C$6,0),0),IFERROR(MAX(Datos!$C$6-Stock!E31,0),0)))</f>
        <v>0</v>
      </c>
      <c r="F31">
        <f>IF($B31&gt;F$2,0,IF(Datos!$C$4=1,IFERROR(MAX(Stock!F31-Datos!$C$6,0),0),IFERROR(MAX(Datos!$C$6-Stock!F31,0),0)))</f>
        <v>0</v>
      </c>
      <c r="G31">
        <f>IF($B31&gt;G$2,0,IF(Datos!$C$4=1,IFERROR(MAX(Stock!G31-Datos!$C$6,0),0),IFERROR(MAX(Datos!$C$6-Stock!G31,0),0)))</f>
        <v>0</v>
      </c>
      <c r="H31">
        <f>IF($B31&gt;H$2,0,IF(Datos!$C$4=1,IFERROR(MAX(Stock!H31-Datos!$C$6,0),0),IFERROR(MAX(Datos!$C$6-Stock!H31,0),0)))</f>
        <v>0</v>
      </c>
      <c r="I31">
        <f>IF($B31&gt;I$2,0,IF(Datos!$C$4=1,IFERROR(MAX(Stock!I31-Datos!$C$6,0),0),IFERROR(MAX(Datos!$C$6-Stock!I31,0),0)))</f>
        <v>0</v>
      </c>
      <c r="J31">
        <f>IF($B31&gt;J$2,0,IF(Datos!$C$4=1,IFERROR(MAX(Stock!J31-Datos!$C$6,0),0),IFERROR(MAX(Datos!$C$6-Stock!J31,0),0)))</f>
        <v>0</v>
      </c>
      <c r="K31">
        <f>IF($B31&gt;K$2,0,IF(Datos!$C$4=1,IFERROR(MAX(Stock!K31-Datos!$C$6,0),0),IFERROR(MAX(Datos!$C$6-Stock!K31,0),0)))</f>
        <v>0</v>
      </c>
      <c r="L31">
        <f>IF($B31&gt;L$2,0,IF(Datos!$C$4=1,IFERROR(MAX(Stock!L31-Datos!$C$6,0),0),IFERROR(MAX(Datos!$C$6-Stock!L31,0),0)))</f>
        <v>0</v>
      </c>
      <c r="M31">
        <f>IF($B31&gt;M$2,0,IF(Datos!$C$4=1,IFERROR(MAX(Stock!M31-Datos!$C$6,0),0),IFERROR(MAX(Datos!$C$6-Stock!M31,0),0)))</f>
        <v>0</v>
      </c>
      <c r="N31">
        <f>IF($B31&gt;N$2,0,IF(Datos!$C$4=1,IFERROR(MAX(Stock!N31-Datos!$C$6,0),0),IFERROR(MAX(Datos!$C$6-Stock!N31,0),0)))</f>
        <v>0</v>
      </c>
      <c r="O31">
        <f>IF($B31&gt;O$2,0,IF(Datos!$C$4=1,IFERROR(MAX(Stock!O31-Datos!$C$6,0),0),IFERROR(MAX(Datos!$C$6-Stock!O31,0),0)))</f>
        <v>0</v>
      </c>
      <c r="P31">
        <f>IF($B31&gt;P$2,0,IF(Datos!$C$4=1,IFERROR(MAX(Stock!P31-Datos!$C$6,0),0),IFERROR(MAX(Datos!$C$6-Stock!P31,0),0)))</f>
        <v>0</v>
      </c>
      <c r="Q31">
        <f>IF($B31&gt;Q$2,0,IF(Datos!$C$4=1,IFERROR(MAX(Stock!Q31-Datos!$C$6,0),0),IFERROR(MAX(Datos!$C$6-Stock!Q31,0),0)))</f>
        <v>0</v>
      </c>
      <c r="R31">
        <f>IF($B31&gt;R$2,0,IF(Datos!$C$4=1,IFERROR(MAX(Stock!R31-Datos!$C$6,0),0),IFERROR(MAX(Datos!$C$6-Stock!R31,0),0)))</f>
        <v>0</v>
      </c>
      <c r="S31">
        <f>IF($B31&gt;S$2,0,IF(Datos!$C$4=1,IFERROR(MAX(Stock!S31-Datos!$C$6,0),0),IFERROR(MAX(Datos!$C$6-Stock!S31,0),0)))</f>
        <v>0</v>
      </c>
      <c r="T31">
        <f>IF($B31&gt;T$2,0,IF(Datos!$C$4=1,IFERROR(MAX(Stock!T31-Datos!$C$6,0),0),IFERROR(MAX(Datos!$C$6-Stock!T31,0),0)))</f>
        <v>0</v>
      </c>
      <c r="U31">
        <f>IF($B31&gt;U$2,0,IF(Datos!$C$4=1,IFERROR(MAX(Stock!U31-Datos!$C$6,0),0),IFERROR(MAX(Datos!$C$6-Stock!U31,0),0)))</f>
        <v>0</v>
      </c>
      <c r="V31">
        <f>IF($B31&gt;V$2,0,IF(Datos!$C$4=1,IFERROR(MAX(Stock!V31-Datos!$C$6,0),0),IFERROR(MAX(Datos!$C$6-Stock!V31,0),0)))</f>
        <v>0</v>
      </c>
      <c r="W31">
        <f>IF($B31&gt;W$2,0,IF(Datos!$C$4=1,IFERROR(MAX(Stock!W31-Datos!$C$6,0),0),IFERROR(MAX(Datos!$C$6-Stock!W31,0),0)))</f>
        <v>0</v>
      </c>
      <c r="X31">
        <f>IF($B31&gt;X$2,0,IF(Datos!$C$4=1,IFERROR(MAX(Stock!X31-Datos!$C$6,0),0),IFERROR(MAX(Datos!$C$6-Stock!X31,0),0)))</f>
        <v>0</v>
      </c>
      <c r="Y31">
        <f>IF($B31&gt;Y$2,0,IF(Datos!$C$4=1,IFERROR(MAX(Stock!Y31-Datos!$C$6,0),0),IFERROR(MAX(Datos!$C$6-Stock!Y31,0),0)))</f>
        <v>0</v>
      </c>
      <c r="Z31">
        <f>IF($B31&gt;Z$2,0,IF(Datos!$C$4=1,IFERROR(MAX(Stock!Z31-Datos!$C$6,0),0),IFERROR(MAX(Datos!$C$6-Stock!Z31,0),0)))</f>
        <v>0</v>
      </c>
      <c r="AA31">
        <f>IF($B31&gt;AA$2,0,IF(Datos!$C$4=1,IFERROR(MAX(Stock!AA31-Datos!$C$6,0),0),IFERROR(MAX(Datos!$C$6-Stock!AA31,0),0)))</f>
        <v>0</v>
      </c>
      <c r="AB31">
        <f>IF($B31&gt;AB$2,0,IF(Datos!$C$4=1,IFERROR(MAX(Stock!AB31-Datos!$C$6,0),0),IFERROR(MAX(Datos!$C$6-Stock!AB31,0),0)))</f>
        <v>0</v>
      </c>
      <c r="AC31">
        <f>IF($B31&gt;AC$2,0,IF(Datos!$C$4=1,IFERROR(MAX(Stock!AC31-Datos!$C$6,0),0),IFERROR(MAX(Datos!$C$6-Stock!AC31,0),0)))</f>
        <v>0</v>
      </c>
      <c r="AD31">
        <f>IF($B31&gt;AD$2,0,IF(Datos!$C$4=1,IFERROR(MAX(Stock!AD31-Datos!$C$6,0),0),IFERROR(MAX(Datos!$C$6-Stock!AD31,0),0)))</f>
        <v>0</v>
      </c>
      <c r="AE31">
        <f>IF($B31&gt;AE$2,0,IF(Datos!$C$4=1,IFERROR(MAX(Stock!AE31-Datos!$C$6,0),0),IFERROR(MAX(Datos!$C$6-Stock!AE31,0),0)))</f>
        <v>0</v>
      </c>
      <c r="AF31">
        <f>IF($B31&gt;AF$2,0,IF(Datos!$C$4=1,IFERROR(MAX(Stock!AF31-Datos!$C$6,0),0),IFERROR(MAX(Datos!$C$6-Stock!AF31,0),0)))</f>
        <v>0</v>
      </c>
      <c r="AG31">
        <f>IF($B31&gt;AG$2,0,IF(Datos!$C$4=1,IFERROR(MAX(Stock!AG31-Datos!$C$6,0),0),IFERROR(MAX(Datos!$C$6-Stock!AG31,0),0)))</f>
        <v>0</v>
      </c>
      <c r="AH31">
        <f>IF($B31&gt;AH$2,0,IF(Datos!$C$4=1,IFERROR(MAX(Stock!AH31-Datos!$C$6,0),0),IFERROR(MAX(Datos!$C$6-Stock!AH31,0),0)))</f>
        <v>0</v>
      </c>
      <c r="AI31">
        <f>IF($B31&gt;AI$2,0,IF(Datos!$C$4=1,IFERROR(MAX(Stock!AI31-Datos!$C$6,0),0),IFERROR(MAX(Datos!$C$6-Stock!AI31,0),0)))</f>
        <v>0</v>
      </c>
      <c r="AJ31">
        <f>IF($B31&gt;AJ$2,0,IF(Datos!$C$4=1,IFERROR(MAX(Stock!AJ31-Datos!$C$6,0),0),IFERROR(MAX(Datos!$C$6-Stock!AJ31,0),0)))</f>
        <v>0</v>
      </c>
      <c r="AK31">
        <f>IF($B31&gt;AK$2,0,IF(Datos!$C$4=1,IFERROR(MAX(Stock!AK31-Datos!$C$6,0),0),IFERROR(MAX(Datos!$C$6-Stock!AK31,0),0)))</f>
        <v>0</v>
      </c>
      <c r="AL31">
        <f>IF($B31&gt;AL$2,0,IF(Datos!$C$4=1,IFERROR(MAX(Stock!AL31-Datos!$C$6,0),0),IFERROR(MAX(Datos!$C$6-Stock!AL31,0),0)))</f>
        <v>0</v>
      </c>
      <c r="AM31">
        <f>IF($B31&gt;AM$2,0,IF(Datos!$C$4=1,IFERROR(MAX(Stock!AM31-Datos!$C$6,0),0),IFERROR(MAX(Datos!$C$6-Stock!AM31,0),0)))</f>
        <v>0</v>
      </c>
      <c r="AN31">
        <f>IF($B31&gt;AN$2,0,IF(Datos!$C$4=1,IFERROR(MAX(Stock!AN31-Datos!$C$6,0),0),IFERROR(MAX(Datos!$C$6-Stock!AN31,0),0)))</f>
        <v>0</v>
      </c>
      <c r="AO31">
        <f>IF($B31&gt;AO$2,0,IF(Datos!$C$4=1,IFERROR(MAX(Stock!AO31-Datos!$C$6,0),0),IFERROR(MAX(Datos!$C$6-Stock!AO31,0),0)))</f>
        <v>0</v>
      </c>
      <c r="AP31">
        <f>IF($B31&gt;AP$2,0,IF(Datos!$C$4=1,IFERROR(MAX(Stock!AP31-Datos!$C$6,0),0),IFERROR(MAX(Datos!$C$6-Stock!AP31,0),0)))</f>
        <v>0</v>
      </c>
      <c r="AQ31">
        <f>IF($B31&gt;AQ$2,0,IF(Datos!$C$4=1,IFERROR(MAX(Stock!AQ31-Datos!$C$6,0),0),IFERROR(MAX(Datos!$C$6-Stock!AQ31,0),0)))</f>
        <v>0</v>
      </c>
      <c r="AR31">
        <f>IF($B31&gt;AR$2,0,IF(Datos!$C$4=1,IFERROR(MAX(Stock!AR31-Datos!$C$6,0),0),IFERROR(MAX(Datos!$C$6-Stock!AR31,0),0)))</f>
        <v>9.8795468529100248</v>
      </c>
      <c r="AS31">
        <f>IF($B31&gt;AS$2,0,IF(Datos!$C$4=1,IFERROR(MAX(Stock!AS31-Datos!$C$6,0),0),IFERROR(MAX(Datos!$C$6-Stock!AS31,0),0)))</f>
        <v>49.467470824226794</v>
      </c>
      <c r="AT31">
        <f>IF($B31&gt;AT$2,0,IF(Datos!$C$4=1,IFERROR(MAX(Stock!AT31-Datos!$C$6,0),0),IFERROR(MAX(Datos!$C$6-Stock!AT31,0),0)))</f>
        <v>120.47516147827409</v>
      </c>
      <c r="AU31">
        <f>IF($B31&gt;AU$2,0,IF(Datos!$C$4=1,IFERROR(MAX(Stock!AU31-Datos!$C$6,0),0),IFERROR(MAX(Datos!$C$6-Stock!AU31,0),0)))</f>
        <v>247.83956016899845</v>
      </c>
      <c r="AV31">
        <f>IF($B31&gt;AV$2,0,IF(Datos!$C$4=1,IFERROR(MAX(Stock!AV31-Datos!$C$6,0),0),IFERROR(MAX(Datos!$C$6-Stock!AV31,0),0)))</f>
        <v>476.28932250365312</v>
      </c>
      <c r="AW31">
        <f>IF($B31&gt;AW$2,0,IF(Datos!$C$4=1,IFERROR(MAX(Stock!AW31-Datos!$C$6,0),0),IFERROR(MAX(Datos!$C$6-Stock!AW31,0),0)))</f>
        <v>886.05291772534554</v>
      </c>
      <c r="AX31">
        <f>IF($B31&gt;AX$2,0,IF(Datos!$C$4=1,IFERROR(MAX(Stock!AX31-Datos!$C$6,0),0),IFERROR(MAX(Datos!$C$6-Stock!AX31,0),0)))</f>
        <v>1621.0337828971035</v>
      </c>
      <c r="AY31">
        <f>IF($B31&gt;AY$2,0,IF(Datos!$C$4=1,IFERROR(MAX(Stock!AY31-Datos!$C$6,0),0),IFERROR(MAX(Datos!$C$6-Stock!AY31,0),0)))</f>
        <v>2939.3472652755604</v>
      </c>
      <c r="AZ31">
        <f>IF($B31&gt;AZ$2,0,IF(Datos!$C$4=1,IFERROR(MAX(Stock!AZ31-Datos!$C$6,0),0),IFERROR(MAX(Datos!$C$6-Stock!AZ31,0),0)))</f>
        <v>5303.9672440755157</v>
      </c>
      <c r="BA31">
        <f>IF($B31&gt;BA$2,0,IF(Datos!$C$4=1,IFERROR(MAX(Stock!BA31-Datos!$C$6,0),0),IFERROR(MAX(Datos!$C$6-Stock!BA31,0),0)))</f>
        <v>9545.3163001831927</v>
      </c>
    </row>
    <row r="32" spans="2:53" x14ac:dyDescent="0.25">
      <c r="B32">
        <v>29</v>
      </c>
      <c r="D32">
        <f>IF($B32&gt;D$2,0,IF(Datos!$C$4=1,IFERROR(MAX(Stock!D32-Datos!$C$6,0),0),IFERROR(MAX(Datos!$C$6-Stock!D32,0),0)))</f>
        <v>0</v>
      </c>
      <c r="E32">
        <f>IF($B32&gt;E$2,0,IF(Datos!$C$4=1,IFERROR(MAX(Stock!E32-Datos!$C$6,0),0),IFERROR(MAX(Datos!$C$6-Stock!E32,0),0)))</f>
        <v>0</v>
      </c>
      <c r="F32">
        <f>IF($B32&gt;F$2,0,IF(Datos!$C$4=1,IFERROR(MAX(Stock!F32-Datos!$C$6,0),0),IFERROR(MAX(Datos!$C$6-Stock!F32,0),0)))</f>
        <v>0</v>
      </c>
      <c r="G32">
        <f>IF($B32&gt;G$2,0,IF(Datos!$C$4=1,IFERROR(MAX(Stock!G32-Datos!$C$6,0),0),IFERROR(MAX(Datos!$C$6-Stock!G32,0),0)))</f>
        <v>0</v>
      </c>
      <c r="H32">
        <f>IF($B32&gt;H$2,0,IF(Datos!$C$4=1,IFERROR(MAX(Stock!H32-Datos!$C$6,0),0),IFERROR(MAX(Datos!$C$6-Stock!H32,0),0)))</f>
        <v>0</v>
      </c>
      <c r="I32">
        <f>IF($B32&gt;I$2,0,IF(Datos!$C$4=1,IFERROR(MAX(Stock!I32-Datos!$C$6,0),0),IFERROR(MAX(Datos!$C$6-Stock!I32,0),0)))</f>
        <v>0</v>
      </c>
      <c r="J32">
        <f>IF($B32&gt;J$2,0,IF(Datos!$C$4=1,IFERROR(MAX(Stock!J32-Datos!$C$6,0),0),IFERROR(MAX(Datos!$C$6-Stock!J32,0),0)))</f>
        <v>0</v>
      </c>
      <c r="K32">
        <f>IF($B32&gt;K$2,0,IF(Datos!$C$4=1,IFERROR(MAX(Stock!K32-Datos!$C$6,0),0),IFERROR(MAX(Datos!$C$6-Stock!K32,0),0)))</f>
        <v>0</v>
      </c>
      <c r="L32">
        <f>IF($B32&gt;L$2,0,IF(Datos!$C$4=1,IFERROR(MAX(Stock!L32-Datos!$C$6,0),0),IFERROR(MAX(Datos!$C$6-Stock!L32,0),0)))</f>
        <v>0</v>
      </c>
      <c r="M32">
        <f>IF($B32&gt;M$2,0,IF(Datos!$C$4=1,IFERROR(MAX(Stock!M32-Datos!$C$6,0),0),IFERROR(MAX(Datos!$C$6-Stock!M32,0),0)))</f>
        <v>0</v>
      </c>
      <c r="N32">
        <f>IF($B32&gt;N$2,0,IF(Datos!$C$4=1,IFERROR(MAX(Stock!N32-Datos!$C$6,0),0),IFERROR(MAX(Datos!$C$6-Stock!N32,0),0)))</f>
        <v>0</v>
      </c>
      <c r="O32">
        <f>IF($B32&gt;O$2,0,IF(Datos!$C$4=1,IFERROR(MAX(Stock!O32-Datos!$C$6,0),0),IFERROR(MAX(Datos!$C$6-Stock!O32,0),0)))</f>
        <v>0</v>
      </c>
      <c r="P32">
        <f>IF($B32&gt;P$2,0,IF(Datos!$C$4=1,IFERROR(MAX(Stock!P32-Datos!$C$6,0),0),IFERROR(MAX(Datos!$C$6-Stock!P32,0),0)))</f>
        <v>0</v>
      </c>
      <c r="Q32">
        <f>IF($B32&gt;Q$2,0,IF(Datos!$C$4=1,IFERROR(MAX(Stock!Q32-Datos!$C$6,0),0),IFERROR(MAX(Datos!$C$6-Stock!Q32,0),0)))</f>
        <v>0</v>
      </c>
      <c r="R32">
        <f>IF($B32&gt;R$2,0,IF(Datos!$C$4=1,IFERROR(MAX(Stock!R32-Datos!$C$6,0),0),IFERROR(MAX(Datos!$C$6-Stock!R32,0),0)))</f>
        <v>0</v>
      </c>
      <c r="S32">
        <f>IF($B32&gt;S$2,0,IF(Datos!$C$4=1,IFERROR(MAX(Stock!S32-Datos!$C$6,0),0),IFERROR(MAX(Datos!$C$6-Stock!S32,0),0)))</f>
        <v>0</v>
      </c>
      <c r="T32">
        <f>IF($B32&gt;T$2,0,IF(Datos!$C$4=1,IFERROR(MAX(Stock!T32-Datos!$C$6,0),0),IFERROR(MAX(Datos!$C$6-Stock!T32,0),0)))</f>
        <v>0</v>
      </c>
      <c r="U32">
        <f>IF($B32&gt;U$2,0,IF(Datos!$C$4=1,IFERROR(MAX(Stock!U32-Datos!$C$6,0),0),IFERROR(MAX(Datos!$C$6-Stock!U32,0),0)))</f>
        <v>0</v>
      </c>
      <c r="V32">
        <f>IF($B32&gt;V$2,0,IF(Datos!$C$4=1,IFERROR(MAX(Stock!V32-Datos!$C$6,0),0),IFERROR(MAX(Datos!$C$6-Stock!V32,0),0)))</f>
        <v>0</v>
      </c>
      <c r="W32">
        <f>IF($B32&gt;W$2,0,IF(Datos!$C$4=1,IFERROR(MAX(Stock!W32-Datos!$C$6,0),0),IFERROR(MAX(Datos!$C$6-Stock!W32,0),0)))</f>
        <v>0</v>
      </c>
      <c r="X32">
        <f>IF($B32&gt;X$2,0,IF(Datos!$C$4=1,IFERROR(MAX(Stock!X32-Datos!$C$6,0),0),IFERROR(MAX(Datos!$C$6-Stock!X32,0),0)))</f>
        <v>0</v>
      </c>
      <c r="Y32">
        <f>IF($B32&gt;Y$2,0,IF(Datos!$C$4=1,IFERROR(MAX(Stock!Y32-Datos!$C$6,0),0),IFERROR(MAX(Datos!$C$6-Stock!Y32,0),0)))</f>
        <v>0</v>
      </c>
      <c r="Z32">
        <f>IF($B32&gt;Z$2,0,IF(Datos!$C$4=1,IFERROR(MAX(Stock!Z32-Datos!$C$6,0),0),IFERROR(MAX(Datos!$C$6-Stock!Z32,0),0)))</f>
        <v>0</v>
      </c>
      <c r="AA32">
        <f>IF($B32&gt;AA$2,0,IF(Datos!$C$4=1,IFERROR(MAX(Stock!AA32-Datos!$C$6,0),0),IFERROR(MAX(Datos!$C$6-Stock!AA32,0),0)))</f>
        <v>0</v>
      </c>
      <c r="AB32">
        <f>IF($B32&gt;AB$2,0,IF(Datos!$C$4=1,IFERROR(MAX(Stock!AB32-Datos!$C$6,0),0),IFERROR(MAX(Datos!$C$6-Stock!AB32,0),0)))</f>
        <v>0</v>
      </c>
      <c r="AC32">
        <f>IF($B32&gt;AC$2,0,IF(Datos!$C$4=1,IFERROR(MAX(Stock!AC32-Datos!$C$6,0),0),IFERROR(MAX(Datos!$C$6-Stock!AC32,0),0)))</f>
        <v>0</v>
      </c>
      <c r="AD32">
        <f>IF($B32&gt;AD$2,0,IF(Datos!$C$4=1,IFERROR(MAX(Stock!AD32-Datos!$C$6,0),0),IFERROR(MAX(Datos!$C$6-Stock!AD32,0),0)))</f>
        <v>0</v>
      </c>
      <c r="AE32">
        <f>IF($B32&gt;AE$2,0,IF(Datos!$C$4=1,IFERROR(MAX(Stock!AE32-Datos!$C$6,0),0),IFERROR(MAX(Datos!$C$6-Stock!AE32,0),0)))</f>
        <v>0</v>
      </c>
      <c r="AF32">
        <f>IF($B32&gt;AF$2,0,IF(Datos!$C$4=1,IFERROR(MAX(Stock!AF32-Datos!$C$6,0),0),IFERROR(MAX(Datos!$C$6-Stock!AF32,0),0)))</f>
        <v>0</v>
      </c>
      <c r="AG32">
        <f>IF($B32&gt;AG$2,0,IF(Datos!$C$4=1,IFERROR(MAX(Stock!AG32-Datos!$C$6,0),0),IFERROR(MAX(Datos!$C$6-Stock!AG32,0),0)))</f>
        <v>0</v>
      </c>
      <c r="AH32">
        <f>IF($B32&gt;AH$2,0,IF(Datos!$C$4=1,IFERROR(MAX(Stock!AH32-Datos!$C$6,0),0),IFERROR(MAX(Datos!$C$6-Stock!AH32,0),0)))</f>
        <v>0</v>
      </c>
      <c r="AI32">
        <f>IF($B32&gt;AI$2,0,IF(Datos!$C$4=1,IFERROR(MAX(Stock!AI32-Datos!$C$6,0),0),IFERROR(MAX(Datos!$C$6-Stock!AI32,0),0)))</f>
        <v>0</v>
      </c>
      <c r="AJ32">
        <f>IF($B32&gt;AJ$2,0,IF(Datos!$C$4=1,IFERROR(MAX(Stock!AJ32-Datos!$C$6,0),0),IFERROR(MAX(Datos!$C$6-Stock!AJ32,0),0)))</f>
        <v>0</v>
      </c>
      <c r="AK32">
        <f>IF($B32&gt;AK$2,0,IF(Datos!$C$4=1,IFERROR(MAX(Stock!AK32-Datos!$C$6,0),0),IFERROR(MAX(Datos!$C$6-Stock!AK32,0),0)))</f>
        <v>0</v>
      </c>
      <c r="AL32">
        <f>IF($B32&gt;AL$2,0,IF(Datos!$C$4=1,IFERROR(MAX(Stock!AL32-Datos!$C$6,0),0),IFERROR(MAX(Datos!$C$6-Stock!AL32,0),0)))</f>
        <v>0</v>
      </c>
      <c r="AM32">
        <f>IF($B32&gt;AM$2,0,IF(Datos!$C$4=1,IFERROR(MAX(Stock!AM32-Datos!$C$6,0),0),IFERROR(MAX(Datos!$C$6-Stock!AM32,0),0)))</f>
        <v>0</v>
      </c>
      <c r="AN32">
        <f>IF($B32&gt;AN$2,0,IF(Datos!$C$4=1,IFERROR(MAX(Stock!AN32-Datos!$C$6,0),0),IFERROR(MAX(Datos!$C$6-Stock!AN32,0),0)))</f>
        <v>0</v>
      </c>
      <c r="AO32">
        <f>IF($B32&gt;AO$2,0,IF(Datos!$C$4=1,IFERROR(MAX(Stock!AO32-Datos!$C$6,0),0),IFERROR(MAX(Datos!$C$6-Stock!AO32,0),0)))</f>
        <v>0</v>
      </c>
      <c r="AP32">
        <f>IF($B32&gt;AP$2,0,IF(Datos!$C$4=1,IFERROR(MAX(Stock!AP32-Datos!$C$6,0),0),IFERROR(MAX(Datos!$C$6-Stock!AP32,0),0)))</f>
        <v>0</v>
      </c>
      <c r="AQ32">
        <f>IF($B32&gt;AQ$2,0,IF(Datos!$C$4=1,IFERROR(MAX(Stock!AQ32-Datos!$C$6,0),0),IFERROR(MAX(Datos!$C$6-Stock!AQ32,0),0)))</f>
        <v>0</v>
      </c>
      <c r="AR32">
        <f>IF($B32&gt;AR$2,0,IF(Datos!$C$4=1,IFERROR(MAX(Stock!AR32-Datos!$C$6,0),0),IFERROR(MAX(Datos!$C$6-Stock!AR32,0),0)))</f>
        <v>0</v>
      </c>
      <c r="AS32">
        <f>IF($B32&gt;AS$2,0,IF(Datos!$C$4=1,IFERROR(MAX(Stock!AS32-Datos!$C$6,0),0),IFERROR(MAX(Datos!$C$6-Stock!AS32,0),0)))</f>
        <v>0</v>
      </c>
      <c r="AT32">
        <f>IF($B32&gt;AT$2,0,IF(Datos!$C$4=1,IFERROR(MAX(Stock!AT32-Datos!$C$6,0),0),IFERROR(MAX(Datos!$C$6-Stock!AT32,0),0)))</f>
        <v>28.690508843638597</v>
      </c>
      <c r="AU32">
        <f>IF($B32&gt;AU$2,0,IF(Datos!$C$4=1,IFERROR(MAX(Stock!AU32-Datos!$C$6,0),0),IFERROR(MAX(Datos!$C$6-Stock!AU32,0),0)))</f>
        <v>83.208138076959926</v>
      </c>
      <c r="AV32">
        <f>IF($B32&gt;AV$2,0,IF(Datos!$C$4=1,IFERROR(MAX(Stock!AV32-Datos!$C$6,0),0),IFERROR(MAX(Datos!$C$6-Stock!AV32,0),0)))</f>
        <v>180.99480035802728</v>
      </c>
      <c r="AW32">
        <f>IF($B32&gt;AW$2,0,IF(Datos!$C$4=1,IFERROR(MAX(Stock!AW32-Datos!$C$6,0),0),IFERROR(MAX(Datos!$C$6-Stock!AW32,0),0)))</f>
        <v>356.39184998297793</v>
      </c>
      <c r="AX32">
        <f>IF($B32&gt;AX$2,0,IF(Datos!$C$4=1,IFERROR(MAX(Stock!AX32-Datos!$C$6,0),0),IFERROR(MAX(Datos!$C$6-Stock!AX32,0),0)))</f>
        <v>670.99636044998169</v>
      </c>
      <c r="AY32">
        <f>IF($B32&gt;AY$2,0,IF(Datos!$C$4=1,IFERROR(MAX(Stock!AY32-Datos!$C$6,0),0),IFERROR(MAX(Datos!$C$6-Stock!AY32,0),0)))</f>
        <v>1235.293184243895</v>
      </c>
      <c r="AZ32">
        <f>IF($B32&gt;AZ$2,0,IF(Datos!$C$4=1,IFERROR(MAX(Stock!AZ32-Datos!$C$6,0),0),IFERROR(MAX(Datos!$C$6-Stock!AZ32,0),0)))</f>
        <v>2247.4557399275855</v>
      </c>
      <c r="BA32">
        <f>IF($B32&gt;BA$2,0,IF(Datos!$C$4=1,IFERROR(MAX(Stock!BA32-Datos!$C$6,0),0),IFERROR(MAX(Datos!$C$6-Stock!BA32,0),0)))</f>
        <v>4062.9418386093803</v>
      </c>
    </row>
    <row r="33" spans="2:53" x14ac:dyDescent="0.25">
      <c r="B33">
        <v>30</v>
      </c>
      <c r="D33">
        <f>IF($B33&gt;D$2,0,IF(Datos!$C$4=1,IFERROR(MAX(Stock!D33-Datos!$C$6,0),0),IFERROR(MAX(Datos!$C$6-Stock!D33,0),0)))</f>
        <v>0</v>
      </c>
      <c r="E33">
        <f>IF($B33&gt;E$2,0,IF(Datos!$C$4=1,IFERROR(MAX(Stock!E33-Datos!$C$6,0),0),IFERROR(MAX(Datos!$C$6-Stock!E33,0),0)))</f>
        <v>0</v>
      </c>
      <c r="F33">
        <f>IF($B33&gt;F$2,0,IF(Datos!$C$4=1,IFERROR(MAX(Stock!F33-Datos!$C$6,0),0),IFERROR(MAX(Datos!$C$6-Stock!F33,0),0)))</f>
        <v>0</v>
      </c>
      <c r="G33">
        <f>IF($B33&gt;G$2,0,IF(Datos!$C$4=1,IFERROR(MAX(Stock!G33-Datos!$C$6,0),0),IFERROR(MAX(Datos!$C$6-Stock!G33,0),0)))</f>
        <v>0</v>
      </c>
      <c r="H33">
        <f>IF($B33&gt;H$2,0,IF(Datos!$C$4=1,IFERROR(MAX(Stock!H33-Datos!$C$6,0),0),IFERROR(MAX(Datos!$C$6-Stock!H33,0),0)))</f>
        <v>0</v>
      </c>
      <c r="I33">
        <f>IF($B33&gt;I$2,0,IF(Datos!$C$4=1,IFERROR(MAX(Stock!I33-Datos!$C$6,0),0),IFERROR(MAX(Datos!$C$6-Stock!I33,0),0)))</f>
        <v>0</v>
      </c>
      <c r="J33">
        <f>IF($B33&gt;J$2,0,IF(Datos!$C$4=1,IFERROR(MAX(Stock!J33-Datos!$C$6,0),0),IFERROR(MAX(Datos!$C$6-Stock!J33,0),0)))</f>
        <v>0</v>
      </c>
      <c r="K33">
        <f>IF($B33&gt;K$2,0,IF(Datos!$C$4=1,IFERROR(MAX(Stock!K33-Datos!$C$6,0),0),IFERROR(MAX(Datos!$C$6-Stock!K33,0),0)))</f>
        <v>0</v>
      </c>
      <c r="L33">
        <f>IF($B33&gt;L$2,0,IF(Datos!$C$4=1,IFERROR(MAX(Stock!L33-Datos!$C$6,0),0),IFERROR(MAX(Datos!$C$6-Stock!L33,0),0)))</f>
        <v>0</v>
      </c>
      <c r="M33">
        <f>IF($B33&gt;M$2,0,IF(Datos!$C$4=1,IFERROR(MAX(Stock!M33-Datos!$C$6,0),0),IFERROR(MAX(Datos!$C$6-Stock!M33,0),0)))</f>
        <v>0</v>
      </c>
      <c r="N33">
        <f>IF($B33&gt;N$2,0,IF(Datos!$C$4=1,IFERROR(MAX(Stock!N33-Datos!$C$6,0),0),IFERROR(MAX(Datos!$C$6-Stock!N33,0),0)))</f>
        <v>0</v>
      </c>
      <c r="O33">
        <f>IF($B33&gt;O$2,0,IF(Datos!$C$4=1,IFERROR(MAX(Stock!O33-Datos!$C$6,0),0),IFERROR(MAX(Datos!$C$6-Stock!O33,0),0)))</f>
        <v>0</v>
      </c>
      <c r="P33">
        <f>IF($B33&gt;P$2,0,IF(Datos!$C$4=1,IFERROR(MAX(Stock!P33-Datos!$C$6,0),0),IFERROR(MAX(Datos!$C$6-Stock!P33,0),0)))</f>
        <v>0</v>
      </c>
      <c r="Q33">
        <f>IF($B33&gt;Q$2,0,IF(Datos!$C$4=1,IFERROR(MAX(Stock!Q33-Datos!$C$6,0),0),IFERROR(MAX(Datos!$C$6-Stock!Q33,0),0)))</f>
        <v>0</v>
      </c>
      <c r="R33">
        <f>IF($B33&gt;R$2,0,IF(Datos!$C$4=1,IFERROR(MAX(Stock!R33-Datos!$C$6,0),0),IFERROR(MAX(Datos!$C$6-Stock!R33,0),0)))</f>
        <v>0</v>
      </c>
      <c r="S33">
        <f>IF($B33&gt;S$2,0,IF(Datos!$C$4=1,IFERROR(MAX(Stock!S33-Datos!$C$6,0),0),IFERROR(MAX(Datos!$C$6-Stock!S33,0),0)))</f>
        <v>0</v>
      </c>
      <c r="T33">
        <f>IF($B33&gt;T$2,0,IF(Datos!$C$4=1,IFERROR(MAX(Stock!T33-Datos!$C$6,0),0),IFERROR(MAX(Datos!$C$6-Stock!T33,0),0)))</f>
        <v>0</v>
      </c>
      <c r="U33">
        <f>IF($B33&gt;U$2,0,IF(Datos!$C$4=1,IFERROR(MAX(Stock!U33-Datos!$C$6,0),0),IFERROR(MAX(Datos!$C$6-Stock!U33,0),0)))</f>
        <v>0</v>
      </c>
      <c r="V33">
        <f>IF($B33&gt;V$2,0,IF(Datos!$C$4=1,IFERROR(MAX(Stock!V33-Datos!$C$6,0),0),IFERROR(MAX(Datos!$C$6-Stock!V33,0),0)))</f>
        <v>0</v>
      </c>
      <c r="W33">
        <f>IF($B33&gt;W$2,0,IF(Datos!$C$4=1,IFERROR(MAX(Stock!W33-Datos!$C$6,0),0),IFERROR(MAX(Datos!$C$6-Stock!W33,0),0)))</f>
        <v>0</v>
      </c>
      <c r="X33">
        <f>IF($B33&gt;X$2,0,IF(Datos!$C$4=1,IFERROR(MAX(Stock!X33-Datos!$C$6,0),0),IFERROR(MAX(Datos!$C$6-Stock!X33,0),0)))</f>
        <v>0</v>
      </c>
      <c r="Y33">
        <f>IF($B33&gt;Y$2,0,IF(Datos!$C$4=1,IFERROR(MAX(Stock!Y33-Datos!$C$6,0),0),IFERROR(MAX(Datos!$C$6-Stock!Y33,0),0)))</f>
        <v>0</v>
      </c>
      <c r="Z33">
        <f>IF($B33&gt;Z$2,0,IF(Datos!$C$4=1,IFERROR(MAX(Stock!Z33-Datos!$C$6,0),0),IFERROR(MAX(Datos!$C$6-Stock!Z33,0),0)))</f>
        <v>0</v>
      </c>
      <c r="AA33">
        <f>IF($B33&gt;AA$2,0,IF(Datos!$C$4=1,IFERROR(MAX(Stock!AA33-Datos!$C$6,0),0),IFERROR(MAX(Datos!$C$6-Stock!AA33,0),0)))</f>
        <v>0</v>
      </c>
      <c r="AB33">
        <f>IF($B33&gt;AB$2,0,IF(Datos!$C$4=1,IFERROR(MAX(Stock!AB33-Datos!$C$6,0),0),IFERROR(MAX(Datos!$C$6-Stock!AB33,0),0)))</f>
        <v>0</v>
      </c>
      <c r="AC33">
        <f>IF($B33&gt;AC$2,0,IF(Datos!$C$4=1,IFERROR(MAX(Stock!AC33-Datos!$C$6,0),0),IFERROR(MAX(Datos!$C$6-Stock!AC33,0),0)))</f>
        <v>0</v>
      </c>
      <c r="AD33">
        <f>IF($B33&gt;AD$2,0,IF(Datos!$C$4=1,IFERROR(MAX(Stock!AD33-Datos!$C$6,0),0),IFERROR(MAX(Datos!$C$6-Stock!AD33,0),0)))</f>
        <v>0</v>
      </c>
      <c r="AE33">
        <f>IF($B33&gt;AE$2,0,IF(Datos!$C$4=1,IFERROR(MAX(Stock!AE33-Datos!$C$6,0),0),IFERROR(MAX(Datos!$C$6-Stock!AE33,0),0)))</f>
        <v>0</v>
      </c>
      <c r="AF33">
        <f>IF($B33&gt;AF$2,0,IF(Datos!$C$4=1,IFERROR(MAX(Stock!AF33-Datos!$C$6,0),0),IFERROR(MAX(Datos!$C$6-Stock!AF33,0),0)))</f>
        <v>0</v>
      </c>
      <c r="AG33">
        <f>IF($B33&gt;AG$2,0,IF(Datos!$C$4=1,IFERROR(MAX(Stock!AG33-Datos!$C$6,0),0),IFERROR(MAX(Datos!$C$6-Stock!AG33,0),0)))</f>
        <v>0</v>
      </c>
      <c r="AH33">
        <f>IF($B33&gt;AH$2,0,IF(Datos!$C$4=1,IFERROR(MAX(Stock!AH33-Datos!$C$6,0),0),IFERROR(MAX(Datos!$C$6-Stock!AH33,0),0)))</f>
        <v>0</v>
      </c>
      <c r="AI33">
        <f>IF($B33&gt;AI$2,0,IF(Datos!$C$4=1,IFERROR(MAX(Stock!AI33-Datos!$C$6,0),0),IFERROR(MAX(Datos!$C$6-Stock!AI33,0),0)))</f>
        <v>0</v>
      </c>
      <c r="AJ33">
        <f>IF($B33&gt;AJ$2,0,IF(Datos!$C$4=1,IFERROR(MAX(Stock!AJ33-Datos!$C$6,0),0),IFERROR(MAX(Datos!$C$6-Stock!AJ33,0),0)))</f>
        <v>0</v>
      </c>
      <c r="AK33">
        <f>IF($B33&gt;AK$2,0,IF(Datos!$C$4=1,IFERROR(MAX(Stock!AK33-Datos!$C$6,0),0),IFERROR(MAX(Datos!$C$6-Stock!AK33,0),0)))</f>
        <v>0</v>
      </c>
      <c r="AL33">
        <f>IF($B33&gt;AL$2,0,IF(Datos!$C$4=1,IFERROR(MAX(Stock!AL33-Datos!$C$6,0),0),IFERROR(MAX(Datos!$C$6-Stock!AL33,0),0)))</f>
        <v>0</v>
      </c>
      <c r="AM33">
        <f>IF($B33&gt;AM$2,0,IF(Datos!$C$4=1,IFERROR(MAX(Stock!AM33-Datos!$C$6,0),0),IFERROR(MAX(Datos!$C$6-Stock!AM33,0),0)))</f>
        <v>0</v>
      </c>
      <c r="AN33">
        <f>IF($B33&gt;AN$2,0,IF(Datos!$C$4=1,IFERROR(MAX(Stock!AN33-Datos!$C$6,0),0),IFERROR(MAX(Datos!$C$6-Stock!AN33,0),0)))</f>
        <v>0</v>
      </c>
      <c r="AO33">
        <f>IF($B33&gt;AO$2,0,IF(Datos!$C$4=1,IFERROR(MAX(Stock!AO33-Datos!$C$6,0),0),IFERROR(MAX(Datos!$C$6-Stock!AO33,0),0)))</f>
        <v>0</v>
      </c>
      <c r="AP33">
        <f>IF($B33&gt;AP$2,0,IF(Datos!$C$4=1,IFERROR(MAX(Stock!AP33-Datos!$C$6,0),0),IFERROR(MAX(Datos!$C$6-Stock!AP33,0),0)))</f>
        <v>0</v>
      </c>
      <c r="AQ33">
        <f>IF($B33&gt;AQ$2,0,IF(Datos!$C$4=1,IFERROR(MAX(Stock!AQ33-Datos!$C$6,0),0),IFERROR(MAX(Datos!$C$6-Stock!AQ33,0),0)))</f>
        <v>0</v>
      </c>
      <c r="AR33">
        <f>IF($B33&gt;AR$2,0,IF(Datos!$C$4=1,IFERROR(MAX(Stock!AR33-Datos!$C$6,0),0),IFERROR(MAX(Datos!$C$6-Stock!AR33,0),0)))</f>
        <v>0</v>
      </c>
      <c r="AS33">
        <f>IF($B33&gt;AS$2,0,IF(Datos!$C$4=1,IFERROR(MAX(Stock!AS33-Datos!$C$6,0),0),IFERROR(MAX(Datos!$C$6-Stock!AS33,0),0)))</f>
        <v>0</v>
      </c>
      <c r="AT33">
        <f>IF($B33&gt;AT$2,0,IF(Datos!$C$4=1,IFERROR(MAX(Stock!AT33-Datos!$C$6,0),0),IFERROR(MAX(Datos!$C$6-Stock!AT33,0),0)))</f>
        <v>0</v>
      </c>
      <c r="AU33">
        <f>IF($B33&gt;AU$2,0,IF(Datos!$C$4=1,IFERROR(MAX(Stock!AU33-Datos!$C$6,0),0),IFERROR(MAX(Datos!$C$6-Stock!AU33,0),0)))</f>
        <v>12.738564773648505</v>
      </c>
      <c r="AV33">
        <f>IF($B33&gt;AV$2,0,IF(Datos!$C$4=1,IFERROR(MAX(Stock!AV33-Datos!$C$6,0),0),IFERROR(MAX(Datos!$C$6-Stock!AV33,0),0)))</f>
        <v>54.595606874939321</v>
      </c>
      <c r="AW33">
        <f>IF($B33&gt;AW$2,0,IF(Datos!$C$4=1,IFERROR(MAX(Stock!AW33-Datos!$C$6,0),0),IFERROR(MAX(Datos!$C$6-Stock!AW33,0),0)))</f>
        <v>129.67334773791973</v>
      </c>
      <c r="AX33">
        <f>IF($B33&gt;AX$2,0,IF(Datos!$C$4=1,IFERROR(MAX(Stock!AX33-Datos!$C$6,0),0),IFERROR(MAX(Datos!$C$6-Stock!AX33,0),0)))</f>
        <v>264.33807534692124</v>
      </c>
      <c r="AY33">
        <f>IF($B33&gt;AY$2,0,IF(Datos!$C$4=1,IFERROR(MAX(Stock!AY33-Datos!$C$6,0),0),IFERROR(MAX(Datos!$C$6-Stock!AY33,0),0)))</f>
        <v>505.88222216805252</v>
      </c>
      <c r="AZ33">
        <f>IF($B33&gt;AZ$2,0,IF(Datos!$C$4=1,IFERROR(MAX(Stock!AZ33-Datos!$C$6,0),0),IFERROR(MAX(Datos!$C$6-Stock!AZ33,0),0)))</f>
        <v>939.13282831748563</v>
      </c>
      <c r="BA33">
        <f>IF($B33&gt;BA$2,0,IF(Datos!$C$4=1,IFERROR(MAX(Stock!BA33-Datos!$C$6,0),0),IFERROR(MAX(Datos!$C$6-Stock!BA33,0),0)))</f>
        <v>1716.2416516906787</v>
      </c>
    </row>
    <row r="34" spans="2:53" x14ac:dyDescent="0.25">
      <c r="B34">
        <v>31</v>
      </c>
      <c r="D34">
        <f>IF($B34&gt;D$2,0,IF(Datos!$C$4=1,IFERROR(MAX(Stock!D34-Datos!$C$6,0),0),IFERROR(MAX(Datos!$C$6-Stock!D34,0),0)))</f>
        <v>0</v>
      </c>
      <c r="E34">
        <f>IF($B34&gt;E$2,0,IF(Datos!$C$4=1,IFERROR(MAX(Stock!E34-Datos!$C$6,0),0),IFERROR(MAX(Datos!$C$6-Stock!E34,0),0)))</f>
        <v>0</v>
      </c>
      <c r="F34">
        <f>IF($B34&gt;F$2,0,IF(Datos!$C$4=1,IFERROR(MAX(Stock!F34-Datos!$C$6,0),0),IFERROR(MAX(Datos!$C$6-Stock!F34,0),0)))</f>
        <v>0</v>
      </c>
      <c r="G34">
        <f>IF($B34&gt;G$2,0,IF(Datos!$C$4=1,IFERROR(MAX(Stock!G34-Datos!$C$6,0),0),IFERROR(MAX(Datos!$C$6-Stock!G34,0),0)))</f>
        <v>0</v>
      </c>
      <c r="H34">
        <f>IF($B34&gt;H$2,0,IF(Datos!$C$4=1,IFERROR(MAX(Stock!H34-Datos!$C$6,0),0),IFERROR(MAX(Datos!$C$6-Stock!H34,0),0)))</f>
        <v>0</v>
      </c>
      <c r="I34">
        <f>IF($B34&gt;I$2,0,IF(Datos!$C$4=1,IFERROR(MAX(Stock!I34-Datos!$C$6,0),0),IFERROR(MAX(Datos!$C$6-Stock!I34,0),0)))</f>
        <v>0</v>
      </c>
      <c r="J34">
        <f>IF($B34&gt;J$2,0,IF(Datos!$C$4=1,IFERROR(MAX(Stock!J34-Datos!$C$6,0),0),IFERROR(MAX(Datos!$C$6-Stock!J34,0),0)))</f>
        <v>0</v>
      </c>
      <c r="K34">
        <f>IF($B34&gt;K$2,0,IF(Datos!$C$4=1,IFERROR(MAX(Stock!K34-Datos!$C$6,0),0),IFERROR(MAX(Datos!$C$6-Stock!K34,0),0)))</f>
        <v>0</v>
      </c>
      <c r="L34">
        <f>IF($B34&gt;L$2,0,IF(Datos!$C$4=1,IFERROR(MAX(Stock!L34-Datos!$C$6,0),0),IFERROR(MAX(Datos!$C$6-Stock!L34,0),0)))</f>
        <v>0</v>
      </c>
      <c r="M34">
        <f>IF($B34&gt;M$2,0,IF(Datos!$C$4=1,IFERROR(MAX(Stock!M34-Datos!$C$6,0),0),IFERROR(MAX(Datos!$C$6-Stock!M34,0),0)))</f>
        <v>0</v>
      </c>
      <c r="N34">
        <f>IF($B34&gt;N$2,0,IF(Datos!$C$4=1,IFERROR(MAX(Stock!N34-Datos!$C$6,0),0),IFERROR(MAX(Datos!$C$6-Stock!N34,0),0)))</f>
        <v>0</v>
      </c>
      <c r="O34">
        <f>IF($B34&gt;O$2,0,IF(Datos!$C$4=1,IFERROR(MAX(Stock!O34-Datos!$C$6,0),0),IFERROR(MAX(Datos!$C$6-Stock!O34,0),0)))</f>
        <v>0</v>
      </c>
      <c r="P34">
        <f>IF($B34&gt;P$2,0,IF(Datos!$C$4=1,IFERROR(MAX(Stock!P34-Datos!$C$6,0),0),IFERROR(MAX(Datos!$C$6-Stock!P34,0),0)))</f>
        <v>0</v>
      </c>
      <c r="Q34">
        <f>IF($B34&gt;Q$2,0,IF(Datos!$C$4=1,IFERROR(MAX(Stock!Q34-Datos!$C$6,0),0),IFERROR(MAX(Datos!$C$6-Stock!Q34,0),0)))</f>
        <v>0</v>
      </c>
      <c r="R34">
        <f>IF($B34&gt;R$2,0,IF(Datos!$C$4=1,IFERROR(MAX(Stock!R34-Datos!$C$6,0),0),IFERROR(MAX(Datos!$C$6-Stock!R34,0),0)))</f>
        <v>0</v>
      </c>
      <c r="S34">
        <f>IF($B34&gt;S$2,0,IF(Datos!$C$4=1,IFERROR(MAX(Stock!S34-Datos!$C$6,0),0),IFERROR(MAX(Datos!$C$6-Stock!S34,0),0)))</f>
        <v>0</v>
      </c>
      <c r="T34">
        <f>IF($B34&gt;T$2,0,IF(Datos!$C$4=1,IFERROR(MAX(Stock!T34-Datos!$C$6,0),0),IFERROR(MAX(Datos!$C$6-Stock!T34,0),0)))</f>
        <v>0</v>
      </c>
      <c r="U34">
        <f>IF($B34&gt;U$2,0,IF(Datos!$C$4=1,IFERROR(MAX(Stock!U34-Datos!$C$6,0),0),IFERROR(MAX(Datos!$C$6-Stock!U34,0),0)))</f>
        <v>0</v>
      </c>
      <c r="V34">
        <f>IF($B34&gt;V$2,0,IF(Datos!$C$4=1,IFERROR(MAX(Stock!V34-Datos!$C$6,0),0),IFERROR(MAX(Datos!$C$6-Stock!V34,0),0)))</f>
        <v>0</v>
      </c>
      <c r="W34">
        <f>IF($B34&gt;W$2,0,IF(Datos!$C$4=1,IFERROR(MAX(Stock!W34-Datos!$C$6,0),0),IFERROR(MAX(Datos!$C$6-Stock!W34,0),0)))</f>
        <v>0</v>
      </c>
      <c r="X34">
        <f>IF($B34&gt;X$2,0,IF(Datos!$C$4=1,IFERROR(MAX(Stock!X34-Datos!$C$6,0),0),IFERROR(MAX(Datos!$C$6-Stock!X34,0),0)))</f>
        <v>0</v>
      </c>
      <c r="Y34">
        <f>IF($B34&gt;Y$2,0,IF(Datos!$C$4=1,IFERROR(MAX(Stock!Y34-Datos!$C$6,0),0),IFERROR(MAX(Datos!$C$6-Stock!Y34,0),0)))</f>
        <v>0</v>
      </c>
      <c r="Z34">
        <f>IF($B34&gt;Z$2,0,IF(Datos!$C$4=1,IFERROR(MAX(Stock!Z34-Datos!$C$6,0),0),IFERROR(MAX(Datos!$C$6-Stock!Z34,0),0)))</f>
        <v>0</v>
      </c>
      <c r="AA34">
        <f>IF($B34&gt;AA$2,0,IF(Datos!$C$4=1,IFERROR(MAX(Stock!AA34-Datos!$C$6,0),0),IFERROR(MAX(Datos!$C$6-Stock!AA34,0),0)))</f>
        <v>0</v>
      </c>
      <c r="AB34">
        <f>IF($B34&gt;AB$2,0,IF(Datos!$C$4=1,IFERROR(MAX(Stock!AB34-Datos!$C$6,0),0),IFERROR(MAX(Datos!$C$6-Stock!AB34,0),0)))</f>
        <v>0</v>
      </c>
      <c r="AC34">
        <f>IF($B34&gt;AC$2,0,IF(Datos!$C$4=1,IFERROR(MAX(Stock!AC34-Datos!$C$6,0),0),IFERROR(MAX(Datos!$C$6-Stock!AC34,0),0)))</f>
        <v>0</v>
      </c>
      <c r="AD34">
        <f>IF($B34&gt;AD$2,0,IF(Datos!$C$4=1,IFERROR(MAX(Stock!AD34-Datos!$C$6,0),0),IFERROR(MAX(Datos!$C$6-Stock!AD34,0),0)))</f>
        <v>0</v>
      </c>
      <c r="AE34">
        <f>IF($B34&gt;AE$2,0,IF(Datos!$C$4=1,IFERROR(MAX(Stock!AE34-Datos!$C$6,0),0),IFERROR(MAX(Datos!$C$6-Stock!AE34,0),0)))</f>
        <v>0</v>
      </c>
      <c r="AF34">
        <f>IF($B34&gt;AF$2,0,IF(Datos!$C$4=1,IFERROR(MAX(Stock!AF34-Datos!$C$6,0),0),IFERROR(MAX(Datos!$C$6-Stock!AF34,0),0)))</f>
        <v>0</v>
      </c>
      <c r="AG34">
        <f>IF($B34&gt;AG$2,0,IF(Datos!$C$4=1,IFERROR(MAX(Stock!AG34-Datos!$C$6,0),0),IFERROR(MAX(Datos!$C$6-Stock!AG34,0),0)))</f>
        <v>0</v>
      </c>
      <c r="AH34">
        <f>IF($B34&gt;AH$2,0,IF(Datos!$C$4=1,IFERROR(MAX(Stock!AH34-Datos!$C$6,0),0),IFERROR(MAX(Datos!$C$6-Stock!AH34,0),0)))</f>
        <v>0</v>
      </c>
      <c r="AI34">
        <f>IF($B34&gt;AI$2,0,IF(Datos!$C$4=1,IFERROR(MAX(Stock!AI34-Datos!$C$6,0),0),IFERROR(MAX(Datos!$C$6-Stock!AI34,0),0)))</f>
        <v>0</v>
      </c>
      <c r="AJ34">
        <f>IF($B34&gt;AJ$2,0,IF(Datos!$C$4=1,IFERROR(MAX(Stock!AJ34-Datos!$C$6,0),0),IFERROR(MAX(Datos!$C$6-Stock!AJ34,0),0)))</f>
        <v>0</v>
      </c>
      <c r="AK34">
        <f>IF($B34&gt;AK$2,0,IF(Datos!$C$4=1,IFERROR(MAX(Stock!AK34-Datos!$C$6,0),0),IFERROR(MAX(Datos!$C$6-Stock!AK34,0),0)))</f>
        <v>0</v>
      </c>
      <c r="AL34">
        <f>IF($B34&gt;AL$2,0,IF(Datos!$C$4=1,IFERROR(MAX(Stock!AL34-Datos!$C$6,0),0),IFERROR(MAX(Datos!$C$6-Stock!AL34,0),0)))</f>
        <v>0</v>
      </c>
      <c r="AM34">
        <f>IF($B34&gt;AM$2,0,IF(Datos!$C$4=1,IFERROR(MAX(Stock!AM34-Datos!$C$6,0),0),IFERROR(MAX(Datos!$C$6-Stock!AM34,0),0)))</f>
        <v>0</v>
      </c>
      <c r="AN34">
        <f>IF($B34&gt;AN$2,0,IF(Datos!$C$4=1,IFERROR(MAX(Stock!AN34-Datos!$C$6,0),0),IFERROR(MAX(Datos!$C$6-Stock!AN34,0),0)))</f>
        <v>0</v>
      </c>
      <c r="AO34">
        <f>IF($B34&gt;AO$2,0,IF(Datos!$C$4=1,IFERROR(MAX(Stock!AO34-Datos!$C$6,0),0),IFERROR(MAX(Datos!$C$6-Stock!AO34,0),0)))</f>
        <v>0</v>
      </c>
      <c r="AP34">
        <f>IF($B34&gt;AP$2,0,IF(Datos!$C$4=1,IFERROR(MAX(Stock!AP34-Datos!$C$6,0),0),IFERROR(MAX(Datos!$C$6-Stock!AP34,0),0)))</f>
        <v>0</v>
      </c>
      <c r="AQ34">
        <f>IF($B34&gt;AQ$2,0,IF(Datos!$C$4=1,IFERROR(MAX(Stock!AQ34-Datos!$C$6,0),0),IFERROR(MAX(Datos!$C$6-Stock!AQ34,0),0)))</f>
        <v>0</v>
      </c>
      <c r="AR34">
        <f>IF($B34&gt;AR$2,0,IF(Datos!$C$4=1,IFERROR(MAX(Stock!AR34-Datos!$C$6,0),0),IFERROR(MAX(Datos!$C$6-Stock!AR34,0),0)))</f>
        <v>0</v>
      </c>
      <c r="AS34">
        <f>IF($B34&gt;AS$2,0,IF(Datos!$C$4=1,IFERROR(MAX(Stock!AS34-Datos!$C$6,0),0),IFERROR(MAX(Datos!$C$6-Stock!AS34,0),0)))</f>
        <v>0</v>
      </c>
      <c r="AT34">
        <f>IF($B34&gt;AT$2,0,IF(Datos!$C$4=1,IFERROR(MAX(Stock!AT34-Datos!$C$6,0),0),IFERROR(MAX(Datos!$C$6-Stock!AT34,0),0)))</f>
        <v>0</v>
      </c>
      <c r="AU34">
        <f>IF($B34&gt;AU$2,0,IF(Datos!$C$4=1,IFERROR(MAX(Stock!AU34-Datos!$C$6,0),0),IFERROR(MAX(Datos!$C$6-Stock!AU34,0),0)))</f>
        <v>0</v>
      </c>
      <c r="AV34">
        <f>IF($B34&gt;AV$2,0,IF(Datos!$C$4=1,IFERROR(MAX(Stock!AV34-Datos!$C$6,0),0),IFERROR(MAX(Datos!$C$6-Stock!AV34,0),0)))</f>
        <v>0.4911284136148879</v>
      </c>
      <c r="AW34">
        <f>IF($B34&gt;AW$2,0,IF(Datos!$C$4=1,IFERROR(MAX(Stock!AW34-Datos!$C$6,0),0),IFERROR(MAX(Datos!$C$6-Stock!AW34,0),0)))</f>
        <v>32.627741801021656</v>
      </c>
      <c r="AX34">
        <f>IF($B34&gt;AX$2,0,IF(Datos!$C$4=1,IFERROR(MAX(Stock!AX34-Datos!$C$6,0),0),IFERROR(MAX(Datos!$C$6-Stock!AX34,0),0)))</f>
        <v>90.270236611688318</v>
      </c>
      <c r="AY34">
        <f>IF($B34&gt;AY$2,0,IF(Datos!$C$4=1,IFERROR(MAX(Stock!AY34-Datos!$C$6,0),0),IFERROR(MAX(Datos!$C$6-Stock!AY34,0),0)))</f>
        <v>193.66187803771885</v>
      </c>
      <c r="AZ34">
        <f>IF($B34&gt;AZ$2,0,IF(Datos!$C$4=1,IFERROR(MAX(Stock!AZ34-Datos!$C$6,0),0),IFERROR(MAX(Datos!$C$6-Stock!AZ34,0),0)))</f>
        <v>379.1124133048138</v>
      </c>
      <c r="BA34">
        <f>IF($B34&gt;BA$2,0,IF(Datos!$C$4=1,IFERROR(MAX(Stock!BA34-Datos!$C$6,0),0),IFERROR(MAX(Datos!$C$6-Stock!BA34,0),0)))</f>
        <v>711.74956420503452</v>
      </c>
    </row>
    <row r="35" spans="2:53" x14ac:dyDescent="0.25">
      <c r="B35">
        <v>32</v>
      </c>
      <c r="D35">
        <f>IF($B35&gt;D$2,0,IF(Datos!$C$4=1,IFERROR(MAX(Stock!D35-Datos!$C$6,0),0),IFERROR(MAX(Datos!$C$6-Stock!D35,0),0)))</f>
        <v>0</v>
      </c>
      <c r="E35">
        <f>IF($B35&gt;E$2,0,IF(Datos!$C$4=1,IFERROR(MAX(Stock!E35-Datos!$C$6,0),0),IFERROR(MAX(Datos!$C$6-Stock!E35,0),0)))</f>
        <v>0</v>
      </c>
      <c r="F35">
        <f>IF($B35&gt;F$2,0,IF(Datos!$C$4=1,IFERROR(MAX(Stock!F35-Datos!$C$6,0),0),IFERROR(MAX(Datos!$C$6-Stock!F35,0),0)))</f>
        <v>0</v>
      </c>
      <c r="G35">
        <f>IF($B35&gt;G$2,0,IF(Datos!$C$4=1,IFERROR(MAX(Stock!G35-Datos!$C$6,0),0),IFERROR(MAX(Datos!$C$6-Stock!G35,0),0)))</f>
        <v>0</v>
      </c>
      <c r="H35">
        <f>IF($B35&gt;H$2,0,IF(Datos!$C$4=1,IFERROR(MAX(Stock!H35-Datos!$C$6,0),0),IFERROR(MAX(Datos!$C$6-Stock!H35,0),0)))</f>
        <v>0</v>
      </c>
      <c r="I35">
        <f>IF($B35&gt;I$2,0,IF(Datos!$C$4=1,IFERROR(MAX(Stock!I35-Datos!$C$6,0),0),IFERROR(MAX(Datos!$C$6-Stock!I35,0),0)))</f>
        <v>0</v>
      </c>
      <c r="J35">
        <f>IF($B35&gt;J$2,0,IF(Datos!$C$4=1,IFERROR(MAX(Stock!J35-Datos!$C$6,0),0),IFERROR(MAX(Datos!$C$6-Stock!J35,0),0)))</f>
        <v>0</v>
      </c>
      <c r="K35">
        <f>IF($B35&gt;K$2,0,IF(Datos!$C$4=1,IFERROR(MAX(Stock!K35-Datos!$C$6,0),0),IFERROR(MAX(Datos!$C$6-Stock!K35,0),0)))</f>
        <v>0</v>
      </c>
      <c r="L35">
        <f>IF($B35&gt;L$2,0,IF(Datos!$C$4=1,IFERROR(MAX(Stock!L35-Datos!$C$6,0),0),IFERROR(MAX(Datos!$C$6-Stock!L35,0),0)))</f>
        <v>0</v>
      </c>
      <c r="M35">
        <f>IF($B35&gt;M$2,0,IF(Datos!$C$4=1,IFERROR(MAX(Stock!M35-Datos!$C$6,0),0),IFERROR(MAX(Datos!$C$6-Stock!M35,0),0)))</f>
        <v>0</v>
      </c>
      <c r="N35">
        <f>IF($B35&gt;N$2,0,IF(Datos!$C$4=1,IFERROR(MAX(Stock!N35-Datos!$C$6,0),0),IFERROR(MAX(Datos!$C$6-Stock!N35,0),0)))</f>
        <v>0</v>
      </c>
      <c r="O35">
        <f>IF($B35&gt;O$2,0,IF(Datos!$C$4=1,IFERROR(MAX(Stock!O35-Datos!$C$6,0),0),IFERROR(MAX(Datos!$C$6-Stock!O35,0),0)))</f>
        <v>0</v>
      </c>
      <c r="P35">
        <f>IF($B35&gt;P$2,0,IF(Datos!$C$4=1,IFERROR(MAX(Stock!P35-Datos!$C$6,0),0),IFERROR(MAX(Datos!$C$6-Stock!P35,0),0)))</f>
        <v>0</v>
      </c>
      <c r="Q35">
        <f>IF($B35&gt;Q$2,0,IF(Datos!$C$4=1,IFERROR(MAX(Stock!Q35-Datos!$C$6,0),0),IFERROR(MAX(Datos!$C$6-Stock!Q35,0),0)))</f>
        <v>0</v>
      </c>
      <c r="R35">
        <f>IF($B35&gt;R$2,0,IF(Datos!$C$4=1,IFERROR(MAX(Stock!R35-Datos!$C$6,0),0),IFERROR(MAX(Datos!$C$6-Stock!R35,0),0)))</f>
        <v>0</v>
      </c>
      <c r="S35">
        <f>IF($B35&gt;S$2,0,IF(Datos!$C$4=1,IFERROR(MAX(Stock!S35-Datos!$C$6,0),0),IFERROR(MAX(Datos!$C$6-Stock!S35,0),0)))</f>
        <v>0</v>
      </c>
      <c r="T35">
        <f>IF($B35&gt;T$2,0,IF(Datos!$C$4=1,IFERROR(MAX(Stock!T35-Datos!$C$6,0),0),IFERROR(MAX(Datos!$C$6-Stock!T35,0),0)))</f>
        <v>0</v>
      </c>
      <c r="U35">
        <f>IF($B35&gt;U$2,0,IF(Datos!$C$4=1,IFERROR(MAX(Stock!U35-Datos!$C$6,0),0),IFERROR(MAX(Datos!$C$6-Stock!U35,0),0)))</f>
        <v>0</v>
      </c>
      <c r="V35">
        <f>IF($B35&gt;V$2,0,IF(Datos!$C$4=1,IFERROR(MAX(Stock!V35-Datos!$C$6,0),0),IFERROR(MAX(Datos!$C$6-Stock!V35,0),0)))</f>
        <v>0</v>
      </c>
      <c r="W35">
        <f>IF($B35&gt;W$2,0,IF(Datos!$C$4=1,IFERROR(MAX(Stock!W35-Datos!$C$6,0),0),IFERROR(MAX(Datos!$C$6-Stock!W35,0),0)))</f>
        <v>0</v>
      </c>
      <c r="X35">
        <f>IF($B35&gt;X$2,0,IF(Datos!$C$4=1,IFERROR(MAX(Stock!X35-Datos!$C$6,0),0),IFERROR(MAX(Datos!$C$6-Stock!X35,0),0)))</f>
        <v>0</v>
      </c>
      <c r="Y35">
        <f>IF($B35&gt;Y$2,0,IF(Datos!$C$4=1,IFERROR(MAX(Stock!Y35-Datos!$C$6,0),0),IFERROR(MAX(Datos!$C$6-Stock!Y35,0),0)))</f>
        <v>0</v>
      </c>
      <c r="Z35">
        <f>IF($B35&gt;Z$2,0,IF(Datos!$C$4=1,IFERROR(MAX(Stock!Z35-Datos!$C$6,0),0),IFERROR(MAX(Datos!$C$6-Stock!Z35,0),0)))</f>
        <v>0</v>
      </c>
      <c r="AA35">
        <f>IF($B35&gt;AA$2,0,IF(Datos!$C$4=1,IFERROR(MAX(Stock!AA35-Datos!$C$6,0),0),IFERROR(MAX(Datos!$C$6-Stock!AA35,0),0)))</f>
        <v>0</v>
      </c>
      <c r="AB35">
        <f>IF($B35&gt;AB$2,0,IF(Datos!$C$4=1,IFERROR(MAX(Stock!AB35-Datos!$C$6,0),0),IFERROR(MAX(Datos!$C$6-Stock!AB35,0),0)))</f>
        <v>0</v>
      </c>
      <c r="AC35">
        <f>IF($B35&gt;AC$2,0,IF(Datos!$C$4=1,IFERROR(MAX(Stock!AC35-Datos!$C$6,0),0),IFERROR(MAX(Datos!$C$6-Stock!AC35,0),0)))</f>
        <v>0</v>
      </c>
      <c r="AD35">
        <f>IF($B35&gt;AD$2,0,IF(Datos!$C$4=1,IFERROR(MAX(Stock!AD35-Datos!$C$6,0),0),IFERROR(MAX(Datos!$C$6-Stock!AD35,0),0)))</f>
        <v>0</v>
      </c>
      <c r="AE35">
        <f>IF($B35&gt;AE$2,0,IF(Datos!$C$4=1,IFERROR(MAX(Stock!AE35-Datos!$C$6,0),0),IFERROR(MAX(Datos!$C$6-Stock!AE35,0),0)))</f>
        <v>0</v>
      </c>
      <c r="AF35">
        <f>IF($B35&gt;AF$2,0,IF(Datos!$C$4=1,IFERROR(MAX(Stock!AF35-Datos!$C$6,0),0),IFERROR(MAX(Datos!$C$6-Stock!AF35,0),0)))</f>
        <v>0</v>
      </c>
      <c r="AG35">
        <f>IF($B35&gt;AG$2,0,IF(Datos!$C$4=1,IFERROR(MAX(Stock!AG35-Datos!$C$6,0),0),IFERROR(MAX(Datos!$C$6-Stock!AG35,0),0)))</f>
        <v>0</v>
      </c>
      <c r="AH35">
        <f>IF($B35&gt;AH$2,0,IF(Datos!$C$4=1,IFERROR(MAX(Stock!AH35-Datos!$C$6,0),0),IFERROR(MAX(Datos!$C$6-Stock!AH35,0),0)))</f>
        <v>0</v>
      </c>
      <c r="AI35">
        <f>IF($B35&gt;AI$2,0,IF(Datos!$C$4=1,IFERROR(MAX(Stock!AI35-Datos!$C$6,0),0),IFERROR(MAX(Datos!$C$6-Stock!AI35,0),0)))</f>
        <v>0</v>
      </c>
      <c r="AJ35">
        <f>IF($B35&gt;AJ$2,0,IF(Datos!$C$4=1,IFERROR(MAX(Stock!AJ35-Datos!$C$6,0),0),IFERROR(MAX(Datos!$C$6-Stock!AJ35,0),0)))</f>
        <v>0</v>
      </c>
      <c r="AK35">
        <f>IF($B35&gt;AK$2,0,IF(Datos!$C$4=1,IFERROR(MAX(Stock!AK35-Datos!$C$6,0),0),IFERROR(MAX(Datos!$C$6-Stock!AK35,0),0)))</f>
        <v>0</v>
      </c>
      <c r="AL35">
        <f>IF($B35&gt;AL$2,0,IF(Datos!$C$4=1,IFERROR(MAX(Stock!AL35-Datos!$C$6,0),0),IFERROR(MAX(Datos!$C$6-Stock!AL35,0),0)))</f>
        <v>0</v>
      </c>
      <c r="AM35">
        <f>IF($B35&gt;AM$2,0,IF(Datos!$C$4=1,IFERROR(MAX(Stock!AM35-Datos!$C$6,0),0),IFERROR(MAX(Datos!$C$6-Stock!AM35,0),0)))</f>
        <v>0</v>
      </c>
      <c r="AN35">
        <f>IF($B35&gt;AN$2,0,IF(Datos!$C$4=1,IFERROR(MAX(Stock!AN35-Datos!$C$6,0),0),IFERROR(MAX(Datos!$C$6-Stock!AN35,0),0)))</f>
        <v>0</v>
      </c>
      <c r="AO35">
        <f>IF($B35&gt;AO$2,0,IF(Datos!$C$4=1,IFERROR(MAX(Stock!AO35-Datos!$C$6,0),0),IFERROR(MAX(Datos!$C$6-Stock!AO35,0),0)))</f>
        <v>0</v>
      </c>
      <c r="AP35">
        <f>IF($B35&gt;AP$2,0,IF(Datos!$C$4=1,IFERROR(MAX(Stock!AP35-Datos!$C$6,0),0),IFERROR(MAX(Datos!$C$6-Stock!AP35,0),0)))</f>
        <v>0</v>
      </c>
      <c r="AQ35">
        <f>IF($B35&gt;AQ$2,0,IF(Datos!$C$4=1,IFERROR(MAX(Stock!AQ35-Datos!$C$6,0),0),IFERROR(MAX(Datos!$C$6-Stock!AQ35,0),0)))</f>
        <v>0</v>
      </c>
      <c r="AR35">
        <f>IF($B35&gt;AR$2,0,IF(Datos!$C$4=1,IFERROR(MAX(Stock!AR35-Datos!$C$6,0),0),IFERROR(MAX(Datos!$C$6-Stock!AR35,0),0)))</f>
        <v>0</v>
      </c>
      <c r="AS35">
        <f>IF($B35&gt;AS$2,0,IF(Datos!$C$4=1,IFERROR(MAX(Stock!AS35-Datos!$C$6,0),0),IFERROR(MAX(Datos!$C$6-Stock!AS35,0),0)))</f>
        <v>0</v>
      </c>
      <c r="AT35">
        <f>IF($B35&gt;AT$2,0,IF(Datos!$C$4=1,IFERROR(MAX(Stock!AT35-Datos!$C$6,0),0),IFERROR(MAX(Datos!$C$6-Stock!AT35,0),0)))</f>
        <v>0</v>
      </c>
      <c r="AU35">
        <f>IF($B35&gt;AU$2,0,IF(Datos!$C$4=1,IFERROR(MAX(Stock!AU35-Datos!$C$6,0),0),IFERROR(MAX(Datos!$C$6-Stock!AU35,0),0)))</f>
        <v>0</v>
      </c>
      <c r="AV35">
        <f>IF($B35&gt;AV$2,0,IF(Datos!$C$4=1,IFERROR(MAX(Stock!AV35-Datos!$C$6,0),0),IFERROR(MAX(Datos!$C$6-Stock!AV35,0),0)))</f>
        <v>0</v>
      </c>
      <c r="AW35">
        <f>IF($B35&gt;AW$2,0,IF(Datos!$C$4=1,IFERROR(MAX(Stock!AW35-Datos!$C$6,0),0),IFERROR(MAX(Datos!$C$6-Stock!AW35,0),0)))</f>
        <v>0</v>
      </c>
      <c r="AX35">
        <f>IF($B35&gt;AX$2,0,IF(Datos!$C$4=1,IFERROR(MAX(Stock!AX35-Datos!$C$6,0),0),IFERROR(MAX(Datos!$C$6-Stock!AX35,0),0)))</f>
        <v>15.761457147681632</v>
      </c>
      <c r="AY35">
        <f>IF($B35&gt;AY$2,0,IF(Datos!$C$4=1,IFERROR(MAX(Stock!AY35-Datos!$C$6,0),0),IFERROR(MAX(Datos!$C$6-Stock!AY35,0),0)))</f>
        <v>60.017679695210091</v>
      </c>
      <c r="AZ35">
        <f>IF($B35&gt;AZ$2,0,IF(Datos!$C$4=1,IFERROR(MAX(Stock!AZ35-Datos!$C$6,0),0),IFERROR(MAX(Datos!$C$6-Stock!AZ35,0),0)))</f>
        <v>139.39875970457047</v>
      </c>
      <c r="BA35">
        <f>IF($B35&gt;BA$2,0,IF(Datos!$C$4=1,IFERROR(MAX(Stock!BA35-Datos!$C$6,0),0),IFERROR(MAX(Datos!$C$6-Stock!BA35,0),0)))</f>
        <v>281.78225971262481</v>
      </c>
    </row>
    <row r="36" spans="2:53" x14ac:dyDescent="0.25">
      <c r="B36">
        <v>33</v>
      </c>
      <c r="D36">
        <f>IF($B36&gt;D$2,0,IF(Datos!$C$4=1,IFERROR(MAX(Stock!D36-Datos!$C$6,0),0),IFERROR(MAX(Datos!$C$6-Stock!D36,0),0)))</f>
        <v>0</v>
      </c>
      <c r="E36">
        <f>IF($B36&gt;E$2,0,IF(Datos!$C$4=1,IFERROR(MAX(Stock!E36-Datos!$C$6,0),0),IFERROR(MAX(Datos!$C$6-Stock!E36,0),0)))</f>
        <v>0</v>
      </c>
      <c r="F36">
        <f>IF($B36&gt;F$2,0,IF(Datos!$C$4=1,IFERROR(MAX(Stock!F36-Datos!$C$6,0),0),IFERROR(MAX(Datos!$C$6-Stock!F36,0),0)))</f>
        <v>0</v>
      </c>
      <c r="G36">
        <f>IF($B36&gt;G$2,0,IF(Datos!$C$4=1,IFERROR(MAX(Stock!G36-Datos!$C$6,0),0),IFERROR(MAX(Datos!$C$6-Stock!G36,0),0)))</f>
        <v>0</v>
      </c>
      <c r="H36">
        <f>IF($B36&gt;H$2,0,IF(Datos!$C$4=1,IFERROR(MAX(Stock!H36-Datos!$C$6,0),0),IFERROR(MAX(Datos!$C$6-Stock!H36,0),0)))</f>
        <v>0</v>
      </c>
      <c r="I36">
        <f>IF($B36&gt;I$2,0,IF(Datos!$C$4=1,IFERROR(MAX(Stock!I36-Datos!$C$6,0),0),IFERROR(MAX(Datos!$C$6-Stock!I36,0),0)))</f>
        <v>0</v>
      </c>
      <c r="J36">
        <f>IF($B36&gt;J$2,0,IF(Datos!$C$4=1,IFERROR(MAX(Stock!J36-Datos!$C$6,0),0),IFERROR(MAX(Datos!$C$6-Stock!J36,0),0)))</f>
        <v>0</v>
      </c>
      <c r="K36">
        <f>IF($B36&gt;K$2,0,IF(Datos!$C$4=1,IFERROR(MAX(Stock!K36-Datos!$C$6,0),0),IFERROR(MAX(Datos!$C$6-Stock!K36,0),0)))</f>
        <v>0</v>
      </c>
      <c r="L36">
        <f>IF($B36&gt;L$2,0,IF(Datos!$C$4=1,IFERROR(MAX(Stock!L36-Datos!$C$6,0),0),IFERROR(MAX(Datos!$C$6-Stock!L36,0),0)))</f>
        <v>0</v>
      </c>
      <c r="M36">
        <f>IF($B36&gt;M$2,0,IF(Datos!$C$4=1,IFERROR(MAX(Stock!M36-Datos!$C$6,0),0),IFERROR(MAX(Datos!$C$6-Stock!M36,0),0)))</f>
        <v>0</v>
      </c>
      <c r="N36">
        <f>IF($B36&gt;N$2,0,IF(Datos!$C$4=1,IFERROR(MAX(Stock!N36-Datos!$C$6,0),0),IFERROR(MAX(Datos!$C$6-Stock!N36,0),0)))</f>
        <v>0</v>
      </c>
      <c r="O36">
        <f>IF($B36&gt;O$2,0,IF(Datos!$C$4=1,IFERROR(MAX(Stock!O36-Datos!$C$6,0),0),IFERROR(MAX(Datos!$C$6-Stock!O36,0),0)))</f>
        <v>0</v>
      </c>
      <c r="P36">
        <f>IF($B36&gt;P$2,0,IF(Datos!$C$4=1,IFERROR(MAX(Stock!P36-Datos!$C$6,0),0),IFERROR(MAX(Datos!$C$6-Stock!P36,0),0)))</f>
        <v>0</v>
      </c>
      <c r="Q36">
        <f>IF($B36&gt;Q$2,0,IF(Datos!$C$4=1,IFERROR(MAX(Stock!Q36-Datos!$C$6,0),0),IFERROR(MAX(Datos!$C$6-Stock!Q36,0),0)))</f>
        <v>0</v>
      </c>
      <c r="R36">
        <f>IF($B36&gt;R$2,0,IF(Datos!$C$4=1,IFERROR(MAX(Stock!R36-Datos!$C$6,0),0),IFERROR(MAX(Datos!$C$6-Stock!R36,0),0)))</f>
        <v>0</v>
      </c>
      <c r="S36">
        <f>IF($B36&gt;S$2,0,IF(Datos!$C$4=1,IFERROR(MAX(Stock!S36-Datos!$C$6,0),0),IFERROR(MAX(Datos!$C$6-Stock!S36,0),0)))</f>
        <v>0</v>
      </c>
      <c r="T36">
        <f>IF($B36&gt;T$2,0,IF(Datos!$C$4=1,IFERROR(MAX(Stock!T36-Datos!$C$6,0),0),IFERROR(MAX(Datos!$C$6-Stock!T36,0),0)))</f>
        <v>0</v>
      </c>
      <c r="U36">
        <f>IF($B36&gt;U$2,0,IF(Datos!$C$4=1,IFERROR(MAX(Stock!U36-Datos!$C$6,0),0),IFERROR(MAX(Datos!$C$6-Stock!U36,0),0)))</f>
        <v>0</v>
      </c>
      <c r="V36">
        <f>IF($B36&gt;V$2,0,IF(Datos!$C$4=1,IFERROR(MAX(Stock!V36-Datos!$C$6,0),0),IFERROR(MAX(Datos!$C$6-Stock!V36,0),0)))</f>
        <v>0</v>
      </c>
      <c r="W36">
        <f>IF($B36&gt;W$2,0,IF(Datos!$C$4=1,IFERROR(MAX(Stock!W36-Datos!$C$6,0),0),IFERROR(MAX(Datos!$C$6-Stock!W36,0),0)))</f>
        <v>0</v>
      </c>
      <c r="X36">
        <f>IF($B36&gt;X$2,0,IF(Datos!$C$4=1,IFERROR(MAX(Stock!X36-Datos!$C$6,0),0),IFERROR(MAX(Datos!$C$6-Stock!X36,0),0)))</f>
        <v>0</v>
      </c>
      <c r="Y36">
        <f>IF($B36&gt;Y$2,0,IF(Datos!$C$4=1,IFERROR(MAX(Stock!Y36-Datos!$C$6,0),0),IFERROR(MAX(Datos!$C$6-Stock!Y36,0),0)))</f>
        <v>0</v>
      </c>
      <c r="Z36">
        <f>IF($B36&gt;Z$2,0,IF(Datos!$C$4=1,IFERROR(MAX(Stock!Z36-Datos!$C$6,0),0),IFERROR(MAX(Datos!$C$6-Stock!Z36,0),0)))</f>
        <v>0</v>
      </c>
      <c r="AA36">
        <f>IF($B36&gt;AA$2,0,IF(Datos!$C$4=1,IFERROR(MAX(Stock!AA36-Datos!$C$6,0),0),IFERROR(MAX(Datos!$C$6-Stock!AA36,0),0)))</f>
        <v>0</v>
      </c>
      <c r="AB36">
        <f>IF($B36&gt;AB$2,0,IF(Datos!$C$4=1,IFERROR(MAX(Stock!AB36-Datos!$C$6,0),0),IFERROR(MAX(Datos!$C$6-Stock!AB36,0),0)))</f>
        <v>0</v>
      </c>
      <c r="AC36">
        <f>IF($B36&gt;AC$2,0,IF(Datos!$C$4=1,IFERROR(MAX(Stock!AC36-Datos!$C$6,0),0),IFERROR(MAX(Datos!$C$6-Stock!AC36,0),0)))</f>
        <v>0</v>
      </c>
      <c r="AD36">
        <f>IF($B36&gt;AD$2,0,IF(Datos!$C$4=1,IFERROR(MAX(Stock!AD36-Datos!$C$6,0),0),IFERROR(MAX(Datos!$C$6-Stock!AD36,0),0)))</f>
        <v>0</v>
      </c>
      <c r="AE36">
        <f>IF($B36&gt;AE$2,0,IF(Datos!$C$4=1,IFERROR(MAX(Stock!AE36-Datos!$C$6,0),0),IFERROR(MAX(Datos!$C$6-Stock!AE36,0),0)))</f>
        <v>0</v>
      </c>
      <c r="AF36">
        <f>IF($B36&gt;AF$2,0,IF(Datos!$C$4=1,IFERROR(MAX(Stock!AF36-Datos!$C$6,0),0),IFERROR(MAX(Datos!$C$6-Stock!AF36,0),0)))</f>
        <v>0</v>
      </c>
      <c r="AG36">
        <f>IF($B36&gt;AG$2,0,IF(Datos!$C$4=1,IFERROR(MAX(Stock!AG36-Datos!$C$6,0),0),IFERROR(MAX(Datos!$C$6-Stock!AG36,0),0)))</f>
        <v>0</v>
      </c>
      <c r="AH36">
        <f>IF($B36&gt;AH$2,0,IF(Datos!$C$4=1,IFERROR(MAX(Stock!AH36-Datos!$C$6,0),0),IFERROR(MAX(Datos!$C$6-Stock!AH36,0),0)))</f>
        <v>0</v>
      </c>
      <c r="AI36">
        <f>IF($B36&gt;AI$2,0,IF(Datos!$C$4=1,IFERROR(MAX(Stock!AI36-Datos!$C$6,0),0),IFERROR(MAX(Datos!$C$6-Stock!AI36,0),0)))</f>
        <v>0</v>
      </c>
      <c r="AJ36">
        <f>IF($B36&gt;AJ$2,0,IF(Datos!$C$4=1,IFERROR(MAX(Stock!AJ36-Datos!$C$6,0),0),IFERROR(MAX(Datos!$C$6-Stock!AJ36,0),0)))</f>
        <v>0</v>
      </c>
      <c r="AK36">
        <f>IF($B36&gt;AK$2,0,IF(Datos!$C$4=1,IFERROR(MAX(Stock!AK36-Datos!$C$6,0),0),IFERROR(MAX(Datos!$C$6-Stock!AK36,0),0)))</f>
        <v>0</v>
      </c>
      <c r="AL36">
        <f>IF($B36&gt;AL$2,0,IF(Datos!$C$4=1,IFERROR(MAX(Stock!AL36-Datos!$C$6,0),0),IFERROR(MAX(Datos!$C$6-Stock!AL36,0),0)))</f>
        <v>0</v>
      </c>
      <c r="AM36">
        <f>IF($B36&gt;AM$2,0,IF(Datos!$C$4=1,IFERROR(MAX(Stock!AM36-Datos!$C$6,0),0),IFERROR(MAX(Datos!$C$6-Stock!AM36,0),0)))</f>
        <v>0</v>
      </c>
      <c r="AN36">
        <f>IF($B36&gt;AN$2,0,IF(Datos!$C$4=1,IFERROR(MAX(Stock!AN36-Datos!$C$6,0),0),IFERROR(MAX(Datos!$C$6-Stock!AN36,0),0)))</f>
        <v>0</v>
      </c>
      <c r="AO36">
        <f>IF($B36&gt;AO$2,0,IF(Datos!$C$4=1,IFERROR(MAX(Stock!AO36-Datos!$C$6,0),0),IFERROR(MAX(Datos!$C$6-Stock!AO36,0),0)))</f>
        <v>0</v>
      </c>
      <c r="AP36">
        <f>IF($B36&gt;AP$2,0,IF(Datos!$C$4=1,IFERROR(MAX(Stock!AP36-Datos!$C$6,0),0),IFERROR(MAX(Datos!$C$6-Stock!AP36,0),0)))</f>
        <v>0</v>
      </c>
      <c r="AQ36">
        <f>IF($B36&gt;AQ$2,0,IF(Datos!$C$4=1,IFERROR(MAX(Stock!AQ36-Datos!$C$6,0),0),IFERROR(MAX(Datos!$C$6-Stock!AQ36,0),0)))</f>
        <v>0</v>
      </c>
      <c r="AR36">
        <f>IF($B36&gt;AR$2,0,IF(Datos!$C$4=1,IFERROR(MAX(Stock!AR36-Datos!$C$6,0),0),IFERROR(MAX(Datos!$C$6-Stock!AR36,0),0)))</f>
        <v>0</v>
      </c>
      <c r="AS36">
        <f>IF($B36&gt;AS$2,0,IF(Datos!$C$4=1,IFERROR(MAX(Stock!AS36-Datos!$C$6,0),0),IFERROR(MAX(Datos!$C$6-Stock!AS36,0),0)))</f>
        <v>0</v>
      </c>
      <c r="AT36">
        <f>IF($B36&gt;AT$2,0,IF(Datos!$C$4=1,IFERROR(MAX(Stock!AT36-Datos!$C$6,0),0),IFERROR(MAX(Datos!$C$6-Stock!AT36,0),0)))</f>
        <v>0</v>
      </c>
      <c r="AU36">
        <f>IF($B36&gt;AU$2,0,IF(Datos!$C$4=1,IFERROR(MAX(Stock!AU36-Datos!$C$6,0),0),IFERROR(MAX(Datos!$C$6-Stock!AU36,0),0)))</f>
        <v>0</v>
      </c>
      <c r="AV36">
        <f>IF($B36&gt;AV$2,0,IF(Datos!$C$4=1,IFERROR(MAX(Stock!AV36-Datos!$C$6,0),0),IFERROR(MAX(Datos!$C$6-Stock!AV36,0),0)))</f>
        <v>0</v>
      </c>
      <c r="AW36">
        <f>IF($B36&gt;AW$2,0,IF(Datos!$C$4=1,IFERROR(MAX(Stock!AW36-Datos!$C$6,0),0),IFERROR(MAX(Datos!$C$6-Stock!AW36,0),0)))</f>
        <v>0</v>
      </c>
      <c r="AX36">
        <f>IF($B36&gt;AX$2,0,IF(Datos!$C$4=1,IFERROR(MAX(Stock!AX36-Datos!$C$6,0),0),IFERROR(MAX(Datos!$C$6-Stock!AX36,0),0)))</f>
        <v>0</v>
      </c>
      <c r="AY36">
        <f>IF($B36&gt;AY$2,0,IF(Datos!$C$4=1,IFERROR(MAX(Stock!AY36-Datos!$C$6,0),0),IFERROR(MAX(Datos!$C$6-Stock!AY36,0),0)))</f>
        <v>2.8120168151640854</v>
      </c>
      <c r="AZ36">
        <f>IF($B36&gt;AZ$2,0,IF(Datos!$C$4=1,IFERROR(MAX(Stock!AZ36-Datos!$C$6,0),0),IFERROR(MAX(Datos!$C$6-Stock!AZ36,0),0)))</f>
        <v>36.790650817902076</v>
      </c>
      <c r="BA36">
        <f>IF($B36&gt;BA$2,0,IF(Datos!$C$4=1,IFERROR(MAX(Stock!BA36-Datos!$C$6,0),0),IFERROR(MAX(Datos!$C$6-Stock!BA36,0),0)))</f>
        <v>97.737123632734495</v>
      </c>
    </row>
    <row r="37" spans="2:53" x14ac:dyDescent="0.25">
      <c r="B37">
        <v>34</v>
      </c>
      <c r="D37">
        <f>IF($B37&gt;D$2,0,IF(Datos!$C$4=1,IFERROR(MAX(Stock!D37-Datos!$C$6,0),0),IFERROR(MAX(Datos!$C$6-Stock!D37,0),0)))</f>
        <v>0</v>
      </c>
      <c r="E37">
        <f>IF($B37&gt;E$2,0,IF(Datos!$C$4=1,IFERROR(MAX(Stock!E37-Datos!$C$6,0),0),IFERROR(MAX(Datos!$C$6-Stock!E37,0),0)))</f>
        <v>0</v>
      </c>
      <c r="F37">
        <f>IF($B37&gt;F$2,0,IF(Datos!$C$4=1,IFERROR(MAX(Stock!F37-Datos!$C$6,0),0),IFERROR(MAX(Datos!$C$6-Stock!F37,0),0)))</f>
        <v>0</v>
      </c>
      <c r="G37">
        <f>IF($B37&gt;G$2,0,IF(Datos!$C$4=1,IFERROR(MAX(Stock!G37-Datos!$C$6,0),0),IFERROR(MAX(Datos!$C$6-Stock!G37,0),0)))</f>
        <v>0</v>
      </c>
      <c r="H37">
        <f>IF($B37&gt;H$2,0,IF(Datos!$C$4=1,IFERROR(MAX(Stock!H37-Datos!$C$6,0),0),IFERROR(MAX(Datos!$C$6-Stock!H37,0),0)))</f>
        <v>0</v>
      </c>
      <c r="I37">
        <f>IF($B37&gt;I$2,0,IF(Datos!$C$4=1,IFERROR(MAX(Stock!I37-Datos!$C$6,0),0),IFERROR(MAX(Datos!$C$6-Stock!I37,0),0)))</f>
        <v>0</v>
      </c>
      <c r="J37">
        <f>IF($B37&gt;J$2,0,IF(Datos!$C$4=1,IFERROR(MAX(Stock!J37-Datos!$C$6,0),0),IFERROR(MAX(Datos!$C$6-Stock!J37,0),0)))</f>
        <v>0</v>
      </c>
      <c r="K37">
        <f>IF($B37&gt;K$2,0,IF(Datos!$C$4=1,IFERROR(MAX(Stock!K37-Datos!$C$6,0),0),IFERROR(MAX(Datos!$C$6-Stock!K37,0),0)))</f>
        <v>0</v>
      </c>
      <c r="L37">
        <f>IF($B37&gt;L$2,0,IF(Datos!$C$4=1,IFERROR(MAX(Stock!L37-Datos!$C$6,0),0),IFERROR(MAX(Datos!$C$6-Stock!L37,0),0)))</f>
        <v>0</v>
      </c>
      <c r="M37">
        <f>IF($B37&gt;M$2,0,IF(Datos!$C$4=1,IFERROR(MAX(Stock!M37-Datos!$C$6,0),0),IFERROR(MAX(Datos!$C$6-Stock!M37,0),0)))</f>
        <v>0</v>
      </c>
      <c r="N37">
        <f>IF($B37&gt;N$2,0,IF(Datos!$C$4=1,IFERROR(MAX(Stock!N37-Datos!$C$6,0),0),IFERROR(MAX(Datos!$C$6-Stock!N37,0),0)))</f>
        <v>0</v>
      </c>
      <c r="O37">
        <f>IF($B37&gt;O$2,0,IF(Datos!$C$4=1,IFERROR(MAX(Stock!O37-Datos!$C$6,0),0),IFERROR(MAX(Datos!$C$6-Stock!O37,0),0)))</f>
        <v>0</v>
      </c>
      <c r="P37">
        <f>IF($B37&gt;P$2,0,IF(Datos!$C$4=1,IFERROR(MAX(Stock!P37-Datos!$C$6,0),0),IFERROR(MAX(Datos!$C$6-Stock!P37,0),0)))</f>
        <v>0</v>
      </c>
      <c r="Q37">
        <f>IF($B37&gt;Q$2,0,IF(Datos!$C$4=1,IFERROR(MAX(Stock!Q37-Datos!$C$6,0),0),IFERROR(MAX(Datos!$C$6-Stock!Q37,0),0)))</f>
        <v>0</v>
      </c>
      <c r="R37">
        <f>IF($B37&gt;R$2,0,IF(Datos!$C$4=1,IFERROR(MAX(Stock!R37-Datos!$C$6,0),0),IFERROR(MAX(Datos!$C$6-Stock!R37,0),0)))</f>
        <v>0</v>
      </c>
      <c r="S37">
        <f>IF($B37&gt;S$2,0,IF(Datos!$C$4=1,IFERROR(MAX(Stock!S37-Datos!$C$6,0),0),IFERROR(MAX(Datos!$C$6-Stock!S37,0),0)))</f>
        <v>0</v>
      </c>
      <c r="T37">
        <f>IF($B37&gt;T$2,0,IF(Datos!$C$4=1,IFERROR(MAX(Stock!T37-Datos!$C$6,0),0),IFERROR(MAX(Datos!$C$6-Stock!T37,0),0)))</f>
        <v>0</v>
      </c>
      <c r="U37">
        <f>IF($B37&gt;U$2,0,IF(Datos!$C$4=1,IFERROR(MAX(Stock!U37-Datos!$C$6,0),0),IFERROR(MAX(Datos!$C$6-Stock!U37,0),0)))</f>
        <v>0</v>
      </c>
      <c r="V37">
        <f>IF($B37&gt;V$2,0,IF(Datos!$C$4=1,IFERROR(MAX(Stock!V37-Datos!$C$6,0),0),IFERROR(MAX(Datos!$C$6-Stock!V37,0),0)))</f>
        <v>0</v>
      </c>
      <c r="W37">
        <f>IF($B37&gt;W$2,0,IF(Datos!$C$4=1,IFERROR(MAX(Stock!W37-Datos!$C$6,0),0),IFERROR(MAX(Datos!$C$6-Stock!W37,0),0)))</f>
        <v>0</v>
      </c>
      <c r="X37">
        <f>IF($B37&gt;X$2,0,IF(Datos!$C$4=1,IFERROR(MAX(Stock!X37-Datos!$C$6,0),0),IFERROR(MAX(Datos!$C$6-Stock!X37,0),0)))</f>
        <v>0</v>
      </c>
      <c r="Y37">
        <f>IF($B37&gt;Y$2,0,IF(Datos!$C$4=1,IFERROR(MAX(Stock!Y37-Datos!$C$6,0),0),IFERROR(MAX(Datos!$C$6-Stock!Y37,0),0)))</f>
        <v>0</v>
      </c>
      <c r="Z37">
        <f>IF($B37&gt;Z$2,0,IF(Datos!$C$4=1,IFERROR(MAX(Stock!Z37-Datos!$C$6,0),0),IFERROR(MAX(Datos!$C$6-Stock!Z37,0),0)))</f>
        <v>0</v>
      </c>
      <c r="AA37">
        <f>IF($B37&gt;AA$2,0,IF(Datos!$C$4=1,IFERROR(MAX(Stock!AA37-Datos!$C$6,0),0),IFERROR(MAX(Datos!$C$6-Stock!AA37,0),0)))</f>
        <v>0</v>
      </c>
      <c r="AB37">
        <f>IF($B37&gt;AB$2,0,IF(Datos!$C$4=1,IFERROR(MAX(Stock!AB37-Datos!$C$6,0),0),IFERROR(MAX(Datos!$C$6-Stock!AB37,0),0)))</f>
        <v>0</v>
      </c>
      <c r="AC37">
        <f>IF($B37&gt;AC$2,0,IF(Datos!$C$4=1,IFERROR(MAX(Stock!AC37-Datos!$C$6,0),0),IFERROR(MAX(Datos!$C$6-Stock!AC37,0),0)))</f>
        <v>0</v>
      </c>
      <c r="AD37">
        <f>IF($B37&gt;AD$2,0,IF(Datos!$C$4=1,IFERROR(MAX(Stock!AD37-Datos!$C$6,0),0),IFERROR(MAX(Datos!$C$6-Stock!AD37,0),0)))</f>
        <v>0</v>
      </c>
      <c r="AE37">
        <f>IF($B37&gt;AE$2,0,IF(Datos!$C$4=1,IFERROR(MAX(Stock!AE37-Datos!$C$6,0),0),IFERROR(MAX(Datos!$C$6-Stock!AE37,0),0)))</f>
        <v>0</v>
      </c>
      <c r="AF37">
        <f>IF($B37&gt;AF$2,0,IF(Datos!$C$4=1,IFERROR(MAX(Stock!AF37-Datos!$C$6,0),0),IFERROR(MAX(Datos!$C$6-Stock!AF37,0),0)))</f>
        <v>0</v>
      </c>
      <c r="AG37">
        <f>IF($B37&gt;AG$2,0,IF(Datos!$C$4=1,IFERROR(MAX(Stock!AG37-Datos!$C$6,0),0),IFERROR(MAX(Datos!$C$6-Stock!AG37,0),0)))</f>
        <v>0</v>
      </c>
      <c r="AH37">
        <f>IF($B37&gt;AH$2,0,IF(Datos!$C$4=1,IFERROR(MAX(Stock!AH37-Datos!$C$6,0),0),IFERROR(MAX(Datos!$C$6-Stock!AH37,0),0)))</f>
        <v>0</v>
      </c>
      <c r="AI37">
        <f>IF($B37&gt;AI$2,0,IF(Datos!$C$4=1,IFERROR(MAX(Stock!AI37-Datos!$C$6,0),0),IFERROR(MAX(Datos!$C$6-Stock!AI37,0),0)))</f>
        <v>0</v>
      </c>
      <c r="AJ37">
        <f>IF($B37&gt;AJ$2,0,IF(Datos!$C$4=1,IFERROR(MAX(Stock!AJ37-Datos!$C$6,0),0),IFERROR(MAX(Datos!$C$6-Stock!AJ37,0),0)))</f>
        <v>0</v>
      </c>
      <c r="AK37">
        <f>IF($B37&gt;AK$2,0,IF(Datos!$C$4=1,IFERROR(MAX(Stock!AK37-Datos!$C$6,0),0),IFERROR(MAX(Datos!$C$6-Stock!AK37,0),0)))</f>
        <v>0</v>
      </c>
      <c r="AL37">
        <f>IF($B37&gt;AL$2,0,IF(Datos!$C$4=1,IFERROR(MAX(Stock!AL37-Datos!$C$6,0),0),IFERROR(MAX(Datos!$C$6-Stock!AL37,0),0)))</f>
        <v>0</v>
      </c>
      <c r="AM37">
        <f>IF($B37&gt;AM$2,0,IF(Datos!$C$4=1,IFERROR(MAX(Stock!AM37-Datos!$C$6,0),0),IFERROR(MAX(Datos!$C$6-Stock!AM37,0),0)))</f>
        <v>0</v>
      </c>
      <c r="AN37">
        <f>IF($B37&gt;AN$2,0,IF(Datos!$C$4=1,IFERROR(MAX(Stock!AN37-Datos!$C$6,0),0),IFERROR(MAX(Datos!$C$6-Stock!AN37,0),0)))</f>
        <v>0</v>
      </c>
      <c r="AO37">
        <f>IF($B37&gt;AO$2,0,IF(Datos!$C$4=1,IFERROR(MAX(Stock!AO37-Datos!$C$6,0),0),IFERROR(MAX(Datos!$C$6-Stock!AO37,0),0)))</f>
        <v>0</v>
      </c>
      <c r="AP37">
        <f>IF($B37&gt;AP$2,0,IF(Datos!$C$4=1,IFERROR(MAX(Stock!AP37-Datos!$C$6,0),0),IFERROR(MAX(Datos!$C$6-Stock!AP37,0),0)))</f>
        <v>0</v>
      </c>
      <c r="AQ37">
        <f>IF($B37&gt;AQ$2,0,IF(Datos!$C$4=1,IFERROR(MAX(Stock!AQ37-Datos!$C$6,0),0),IFERROR(MAX(Datos!$C$6-Stock!AQ37,0),0)))</f>
        <v>0</v>
      </c>
      <c r="AR37">
        <f>IF($B37&gt;AR$2,0,IF(Datos!$C$4=1,IFERROR(MAX(Stock!AR37-Datos!$C$6,0),0),IFERROR(MAX(Datos!$C$6-Stock!AR37,0),0)))</f>
        <v>0</v>
      </c>
      <c r="AS37">
        <f>IF($B37&gt;AS$2,0,IF(Datos!$C$4=1,IFERROR(MAX(Stock!AS37-Datos!$C$6,0),0),IFERROR(MAX(Datos!$C$6-Stock!AS37,0),0)))</f>
        <v>0</v>
      </c>
      <c r="AT37">
        <f>IF($B37&gt;AT$2,0,IF(Datos!$C$4=1,IFERROR(MAX(Stock!AT37-Datos!$C$6,0),0),IFERROR(MAX(Datos!$C$6-Stock!AT37,0),0)))</f>
        <v>0</v>
      </c>
      <c r="AU37">
        <f>IF($B37&gt;AU$2,0,IF(Datos!$C$4=1,IFERROR(MAX(Stock!AU37-Datos!$C$6,0),0),IFERROR(MAX(Datos!$C$6-Stock!AU37,0),0)))</f>
        <v>0</v>
      </c>
      <c r="AV37">
        <f>IF($B37&gt;AV$2,0,IF(Datos!$C$4=1,IFERROR(MAX(Stock!AV37-Datos!$C$6,0),0),IFERROR(MAX(Datos!$C$6-Stock!AV37,0),0)))</f>
        <v>0</v>
      </c>
      <c r="AW37">
        <f>IF($B37&gt;AW$2,0,IF(Datos!$C$4=1,IFERROR(MAX(Stock!AW37-Datos!$C$6,0),0),IFERROR(MAX(Datos!$C$6-Stock!AW37,0),0)))</f>
        <v>0</v>
      </c>
      <c r="AX37">
        <f>IF($B37&gt;AX$2,0,IF(Datos!$C$4=1,IFERROR(MAX(Stock!AX37-Datos!$C$6,0),0),IFERROR(MAX(Datos!$C$6-Stock!AX37,0),0)))</f>
        <v>0</v>
      </c>
      <c r="AY37">
        <f>IF($B37&gt;AY$2,0,IF(Datos!$C$4=1,IFERROR(MAX(Stock!AY37-Datos!$C$6,0),0),IFERROR(MAX(Datos!$C$6-Stock!AY37,0),0)))</f>
        <v>0</v>
      </c>
      <c r="AZ37">
        <f>IF($B37&gt;AZ$2,0,IF(Datos!$C$4=1,IFERROR(MAX(Stock!AZ37-Datos!$C$6,0),0),IFERROR(MAX(Datos!$C$6-Stock!AZ37,0),0)))</f>
        <v>0</v>
      </c>
      <c r="BA37">
        <f>IF($B37&gt;BA$2,0,IF(Datos!$C$4=1,IFERROR(MAX(Stock!BA37-Datos!$C$6,0),0),IFERROR(MAX(Datos!$C$6-Stock!BA37,0),0)))</f>
        <v>18.957617003380328</v>
      </c>
    </row>
    <row r="38" spans="2:53" x14ac:dyDescent="0.25">
      <c r="B38">
        <v>35</v>
      </c>
      <c r="D38">
        <f>IF($B38&gt;D$2,0,IF(Datos!$C$4=1,IFERROR(MAX(Stock!D38-Datos!$C$6,0),0),IFERROR(MAX(Datos!$C$6-Stock!D38,0),0)))</f>
        <v>0</v>
      </c>
      <c r="E38">
        <f>IF($B38&gt;E$2,0,IF(Datos!$C$4=1,IFERROR(MAX(Stock!E38-Datos!$C$6,0),0),IFERROR(MAX(Datos!$C$6-Stock!E38,0),0)))</f>
        <v>0</v>
      </c>
      <c r="F38">
        <f>IF($B38&gt;F$2,0,IF(Datos!$C$4=1,IFERROR(MAX(Stock!F38-Datos!$C$6,0),0),IFERROR(MAX(Datos!$C$6-Stock!F38,0),0)))</f>
        <v>0</v>
      </c>
      <c r="G38">
        <f>IF($B38&gt;G$2,0,IF(Datos!$C$4=1,IFERROR(MAX(Stock!G38-Datos!$C$6,0),0),IFERROR(MAX(Datos!$C$6-Stock!G38,0),0)))</f>
        <v>0</v>
      </c>
      <c r="H38">
        <f>IF($B38&gt;H$2,0,IF(Datos!$C$4=1,IFERROR(MAX(Stock!H38-Datos!$C$6,0),0),IFERROR(MAX(Datos!$C$6-Stock!H38,0),0)))</f>
        <v>0</v>
      </c>
      <c r="I38">
        <f>IF($B38&gt;I$2,0,IF(Datos!$C$4=1,IFERROR(MAX(Stock!I38-Datos!$C$6,0),0),IFERROR(MAX(Datos!$C$6-Stock!I38,0),0)))</f>
        <v>0</v>
      </c>
      <c r="J38">
        <f>IF($B38&gt;J$2,0,IF(Datos!$C$4=1,IFERROR(MAX(Stock!J38-Datos!$C$6,0),0),IFERROR(MAX(Datos!$C$6-Stock!J38,0),0)))</f>
        <v>0</v>
      </c>
      <c r="K38">
        <f>IF($B38&gt;K$2,0,IF(Datos!$C$4=1,IFERROR(MAX(Stock!K38-Datos!$C$6,0),0),IFERROR(MAX(Datos!$C$6-Stock!K38,0),0)))</f>
        <v>0</v>
      </c>
      <c r="L38">
        <f>IF($B38&gt;L$2,0,IF(Datos!$C$4=1,IFERROR(MAX(Stock!L38-Datos!$C$6,0),0),IFERROR(MAX(Datos!$C$6-Stock!L38,0),0)))</f>
        <v>0</v>
      </c>
      <c r="M38">
        <f>IF($B38&gt;M$2,0,IF(Datos!$C$4=1,IFERROR(MAX(Stock!M38-Datos!$C$6,0),0),IFERROR(MAX(Datos!$C$6-Stock!M38,0),0)))</f>
        <v>0</v>
      </c>
      <c r="N38">
        <f>IF($B38&gt;N$2,0,IF(Datos!$C$4=1,IFERROR(MAX(Stock!N38-Datos!$C$6,0),0),IFERROR(MAX(Datos!$C$6-Stock!N38,0),0)))</f>
        <v>0</v>
      </c>
      <c r="O38">
        <f>IF($B38&gt;O$2,0,IF(Datos!$C$4=1,IFERROR(MAX(Stock!O38-Datos!$C$6,0),0),IFERROR(MAX(Datos!$C$6-Stock!O38,0),0)))</f>
        <v>0</v>
      </c>
      <c r="P38">
        <f>IF($B38&gt;P$2,0,IF(Datos!$C$4=1,IFERROR(MAX(Stock!P38-Datos!$C$6,0),0),IFERROR(MAX(Datos!$C$6-Stock!P38,0),0)))</f>
        <v>0</v>
      </c>
      <c r="Q38">
        <f>IF($B38&gt;Q$2,0,IF(Datos!$C$4=1,IFERROR(MAX(Stock!Q38-Datos!$C$6,0),0),IFERROR(MAX(Datos!$C$6-Stock!Q38,0),0)))</f>
        <v>0</v>
      </c>
      <c r="R38">
        <f>IF($B38&gt;R$2,0,IF(Datos!$C$4=1,IFERROR(MAX(Stock!R38-Datos!$C$6,0),0),IFERROR(MAX(Datos!$C$6-Stock!R38,0),0)))</f>
        <v>0</v>
      </c>
      <c r="S38">
        <f>IF($B38&gt;S$2,0,IF(Datos!$C$4=1,IFERROR(MAX(Stock!S38-Datos!$C$6,0),0),IFERROR(MAX(Datos!$C$6-Stock!S38,0),0)))</f>
        <v>0</v>
      </c>
      <c r="T38">
        <f>IF($B38&gt;T$2,0,IF(Datos!$C$4=1,IFERROR(MAX(Stock!T38-Datos!$C$6,0),0),IFERROR(MAX(Datos!$C$6-Stock!T38,0),0)))</f>
        <v>0</v>
      </c>
      <c r="U38">
        <f>IF($B38&gt;U$2,0,IF(Datos!$C$4=1,IFERROR(MAX(Stock!U38-Datos!$C$6,0),0),IFERROR(MAX(Datos!$C$6-Stock!U38,0),0)))</f>
        <v>0</v>
      </c>
      <c r="V38">
        <f>IF($B38&gt;V$2,0,IF(Datos!$C$4=1,IFERROR(MAX(Stock!V38-Datos!$C$6,0),0),IFERROR(MAX(Datos!$C$6-Stock!V38,0),0)))</f>
        <v>0</v>
      </c>
      <c r="W38">
        <f>IF($B38&gt;W$2,0,IF(Datos!$C$4=1,IFERROR(MAX(Stock!W38-Datos!$C$6,0),0),IFERROR(MAX(Datos!$C$6-Stock!W38,0),0)))</f>
        <v>0</v>
      </c>
      <c r="X38">
        <f>IF($B38&gt;X$2,0,IF(Datos!$C$4=1,IFERROR(MAX(Stock!X38-Datos!$C$6,0),0),IFERROR(MAX(Datos!$C$6-Stock!X38,0),0)))</f>
        <v>0</v>
      </c>
      <c r="Y38">
        <f>IF($B38&gt;Y$2,0,IF(Datos!$C$4=1,IFERROR(MAX(Stock!Y38-Datos!$C$6,0),0),IFERROR(MAX(Datos!$C$6-Stock!Y38,0),0)))</f>
        <v>0</v>
      </c>
      <c r="Z38">
        <f>IF($B38&gt;Z$2,0,IF(Datos!$C$4=1,IFERROR(MAX(Stock!Z38-Datos!$C$6,0),0),IFERROR(MAX(Datos!$C$6-Stock!Z38,0),0)))</f>
        <v>0</v>
      </c>
      <c r="AA38">
        <f>IF($B38&gt;AA$2,0,IF(Datos!$C$4=1,IFERROR(MAX(Stock!AA38-Datos!$C$6,0),0),IFERROR(MAX(Datos!$C$6-Stock!AA38,0),0)))</f>
        <v>0</v>
      </c>
      <c r="AB38">
        <f>IF($B38&gt;AB$2,0,IF(Datos!$C$4=1,IFERROR(MAX(Stock!AB38-Datos!$C$6,0),0),IFERROR(MAX(Datos!$C$6-Stock!AB38,0),0)))</f>
        <v>0</v>
      </c>
      <c r="AC38">
        <f>IF($B38&gt;AC$2,0,IF(Datos!$C$4=1,IFERROR(MAX(Stock!AC38-Datos!$C$6,0),0),IFERROR(MAX(Datos!$C$6-Stock!AC38,0),0)))</f>
        <v>0</v>
      </c>
      <c r="AD38">
        <f>IF($B38&gt;AD$2,0,IF(Datos!$C$4=1,IFERROR(MAX(Stock!AD38-Datos!$C$6,0),0),IFERROR(MAX(Datos!$C$6-Stock!AD38,0),0)))</f>
        <v>0</v>
      </c>
      <c r="AE38">
        <f>IF($B38&gt;AE$2,0,IF(Datos!$C$4=1,IFERROR(MAX(Stock!AE38-Datos!$C$6,0),0),IFERROR(MAX(Datos!$C$6-Stock!AE38,0),0)))</f>
        <v>0</v>
      </c>
      <c r="AF38">
        <f>IF($B38&gt;AF$2,0,IF(Datos!$C$4=1,IFERROR(MAX(Stock!AF38-Datos!$C$6,0),0),IFERROR(MAX(Datos!$C$6-Stock!AF38,0),0)))</f>
        <v>0</v>
      </c>
      <c r="AG38">
        <f>IF($B38&gt;AG$2,0,IF(Datos!$C$4=1,IFERROR(MAX(Stock!AG38-Datos!$C$6,0),0),IFERROR(MAX(Datos!$C$6-Stock!AG38,0),0)))</f>
        <v>0</v>
      </c>
      <c r="AH38">
        <f>IF($B38&gt;AH$2,0,IF(Datos!$C$4=1,IFERROR(MAX(Stock!AH38-Datos!$C$6,0),0),IFERROR(MAX(Datos!$C$6-Stock!AH38,0),0)))</f>
        <v>0</v>
      </c>
      <c r="AI38">
        <f>IF($B38&gt;AI$2,0,IF(Datos!$C$4=1,IFERROR(MAX(Stock!AI38-Datos!$C$6,0),0),IFERROR(MAX(Datos!$C$6-Stock!AI38,0),0)))</f>
        <v>0</v>
      </c>
      <c r="AJ38">
        <f>IF($B38&gt;AJ$2,0,IF(Datos!$C$4=1,IFERROR(MAX(Stock!AJ38-Datos!$C$6,0),0),IFERROR(MAX(Datos!$C$6-Stock!AJ38,0),0)))</f>
        <v>0</v>
      </c>
      <c r="AK38">
        <f>IF($B38&gt;AK$2,0,IF(Datos!$C$4=1,IFERROR(MAX(Stock!AK38-Datos!$C$6,0),0),IFERROR(MAX(Datos!$C$6-Stock!AK38,0),0)))</f>
        <v>0</v>
      </c>
      <c r="AL38">
        <f>IF($B38&gt;AL$2,0,IF(Datos!$C$4=1,IFERROR(MAX(Stock!AL38-Datos!$C$6,0),0),IFERROR(MAX(Datos!$C$6-Stock!AL38,0),0)))</f>
        <v>0</v>
      </c>
      <c r="AM38">
        <f>IF($B38&gt;AM$2,0,IF(Datos!$C$4=1,IFERROR(MAX(Stock!AM38-Datos!$C$6,0),0),IFERROR(MAX(Datos!$C$6-Stock!AM38,0),0)))</f>
        <v>0</v>
      </c>
      <c r="AN38">
        <f>IF($B38&gt;AN$2,0,IF(Datos!$C$4=1,IFERROR(MAX(Stock!AN38-Datos!$C$6,0),0),IFERROR(MAX(Datos!$C$6-Stock!AN38,0),0)))</f>
        <v>0</v>
      </c>
      <c r="AO38">
        <f>IF($B38&gt;AO$2,0,IF(Datos!$C$4=1,IFERROR(MAX(Stock!AO38-Datos!$C$6,0),0),IFERROR(MAX(Datos!$C$6-Stock!AO38,0),0)))</f>
        <v>0</v>
      </c>
      <c r="AP38">
        <f>IF($B38&gt;AP$2,0,IF(Datos!$C$4=1,IFERROR(MAX(Stock!AP38-Datos!$C$6,0),0),IFERROR(MAX(Datos!$C$6-Stock!AP38,0),0)))</f>
        <v>0</v>
      </c>
      <c r="AQ38">
        <f>IF($B38&gt;AQ$2,0,IF(Datos!$C$4=1,IFERROR(MAX(Stock!AQ38-Datos!$C$6,0),0),IFERROR(MAX(Datos!$C$6-Stock!AQ38,0),0)))</f>
        <v>0</v>
      </c>
      <c r="AR38">
        <f>IF($B38&gt;AR$2,0,IF(Datos!$C$4=1,IFERROR(MAX(Stock!AR38-Datos!$C$6,0),0),IFERROR(MAX(Datos!$C$6-Stock!AR38,0),0)))</f>
        <v>0</v>
      </c>
      <c r="AS38">
        <f>IF($B38&gt;AS$2,0,IF(Datos!$C$4=1,IFERROR(MAX(Stock!AS38-Datos!$C$6,0),0),IFERROR(MAX(Datos!$C$6-Stock!AS38,0),0)))</f>
        <v>0</v>
      </c>
      <c r="AT38">
        <f>IF($B38&gt;AT$2,0,IF(Datos!$C$4=1,IFERROR(MAX(Stock!AT38-Datos!$C$6,0),0),IFERROR(MAX(Datos!$C$6-Stock!AT38,0),0)))</f>
        <v>0</v>
      </c>
      <c r="AU38">
        <f>IF($B38&gt;AU$2,0,IF(Datos!$C$4=1,IFERROR(MAX(Stock!AU38-Datos!$C$6,0),0),IFERROR(MAX(Datos!$C$6-Stock!AU38,0),0)))</f>
        <v>0</v>
      </c>
      <c r="AV38">
        <f>IF($B38&gt;AV$2,0,IF(Datos!$C$4=1,IFERROR(MAX(Stock!AV38-Datos!$C$6,0),0),IFERROR(MAX(Datos!$C$6-Stock!AV38,0),0)))</f>
        <v>0</v>
      </c>
      <c r="AW38">
        <f>IF($B38&gt;AW$2,0,IF(Datos!$C$4=1,IFERROR(MAX(Stock!AW38-Datos!$C$6,0),0),IFERROR(MAX(Datos!$C$6-Stock!AW38,0),0)))</f>
        <v>0</v>
      </c>
      <c r="AX38">
        <f>IF($B38&gt;AX$2,0,IF(Datos!$C$4=1,IFERROR(MAX(Stock!AX38-Datos!$C$6,0),0),IFERROR(MAX(Datos!$C$6-Stock!AX38,0),0)))</f>
        <v>0</v>
      </c>
      <c r="AY38">
        <f>IF($B38&gt;AY$2,0,IF(Datos!$C$4=1,IFERROR(MAX(Stock!AY38-Datos!$C$6,0),0),IFERROR(MAX(Datos!$C$6-Stock!AY38,0),0)))</f>
        <v>0</v>
      </c>
      <c r="AZ38">
        <f>IF($B38&gt;AZ$2,0,IF(Datos!$C$4=1,IFERROR(MAX(Stock!AZ38-Datos!$C$6,0),0),IFERROR(MAX(Datos!$C$6-Stock!AZ38,0),0)))</f>
        <v>0</v>
      </c>
      <c r="BA38">
        <f>IF($B38&gt;BA$2,0,IF(Datos!$C$4=1,IFERROR(MAX(Stock!BA38-Datos!$C$6,0),0),IFERROR(MAX(Datos!$C$6-Stock!BA38,0),0)))</f>
        <v>0</v>
      </c>
    </row>
    <row r="39" spans="2:53" x14ac:dyDescent="0.25">
      <c r="B39">
        <v>36</v>
      </c>
      <c r="D39">
        <f>IF($B39&gt;D$2,0,IF(Datos!$C$4=1,IFERROR(MAX(Stock!D39-Datos!$C$6,0),0),IFERROR(MAX(Datos!$C$6-Stock!D39,0),0)))</f>
        <v>0</v>
      </c>
      <c r="E39">
        <f>IF($B39&gt;E$2,0,IF(Datos!$C$4=1,IFERROR(MAX(Stock!E39-Datos!$C$6,0),0),IFERROR(MAX(Datos!$C$6-Stock!E39,0),0)))</f>
        <v>0</v>
      </c>
      <c r="F39">
        <f>IF($B39&gt;F$2,0,IF(Datos!$C$4=1,IFERROR(MAX(Stock!F39-Datos!$C$6,0),0),IFERROR(MAX(Datos!$C$6-Stock!F39,0),0)))</f>
        <v>0</v>
      </c>
      <c r="G39">
        <f>IF($B39&gt;G$2,0,IF(Datos!$C$4=1,IFERROR(MAX(Stock!G39-Datos!$C$6,0),0),IFERROR(MAX(Datos!$C$6-Stock!G39,0),0)))</f>
        <v>0</v>
      </c>
      <c r="H39">
        <f>IF($B39&gt;H$2,0,IF(Datos!$C$4=1,IFERROR(MAX(Stock!H39-Datos!$C$6,0),0),IFERROR(MAX(Datos!$C$6-Stock!H39,0),0)))</f>
        <v>0</v>
      </c>
      <c r="I39">
        <f>IF($B39&gt;I$2,0,IF(Datos!$C$4=1,IFERROR(MAX(Stock!I39-Datos!$C$6,0),0),IFERROR(MAX(Datos!$C$6-Stock!I39,0),0)))</f>
        <v>0</v>
      </c>
      <c r="J39">
        <f>IF($B39&gt;J$2,0,IF(Datos!$C$4=1,IFERROR(MAX(Stock!J39-Datos!$C$6,0),0),IFERROR(MAX(Datos!$C$6-Stock!J39,0),0)))</f>
        <v>0</v>
      </c>
      <c r="K39">
        <f>IF($B39&gt;K$2,0,IF(Datos!$C$4=1,IFERROR(MAX(Stock!K39-Datos!$C$6,0),0),IFERROR(MAX(Datos!$C$6-Stock!K39,0),0)))</f>
        <v>0</v>
      </c>
      <c r="L39">
        <f>IF($B39&gt;L$2,0,IF(Datos!$C$4=1,IFERROR(MAX(Stock!L39-Datos!$C$6,0),0),IFERROR(MAX(Datos!$C$6-Stock!L39,0),0)))</f>
        <v>0</v>
      </c>
      <c r="M39">
        <f>IF($B39&gt;M$2,0,IF(Datos!$C$4=1,IFERROR(MAX(Stock!M39-Datos!$C$6,0),0),IFERROR(MAX(Datos!$C$6-Stock!M39,0),0)))</f>
        <v>0</v>
      </c>
      <c r="N39">
        <f>IF($B39&gt;N$2,0,IF(Datos!$C$4=1,IFERROR(MAX(Stock!N39-Datos!$C$6,0),0),IFERROR(MAX(Datos!$C$6-Stock!N39,0),0)))</f>
        <v>0</v>
      </c>
      <c r="O39">
        <f>IF($B39&gt;O$2,0,IF(Datos!$C$4=1,IFERROR(MAX(Stock!O39-Datos!$C$6,0),0),IFERROR(MAX(Datos!$C$6-Stock!O39,0),0)))</f>
        <v>0</v>
      </c>
      <c r="P39">
        <f>IF($B39&gt;P$2,0,IF(Datos!$C$4=1,IFERROR(MAX(Stock!P39-Datos!$C$6,0),0),IFERROR(MAX(Datos!$C$6-Stock!P39,0),0)))</f>
        <v>0</v>
      </c>
      <c r="Q39">
        <f>IF($B39&gt;Q$2,0,IF(Datos!$C$4=1,IFERROR(MAX(Stock!Q39-Datos!$C$6,0),0),IFERROR(MAX(Datos!$C$6-Stock!Q39,0),0)))</f>
        <v>0</v>
      </c>
      <c r="R39">
        <f>IF($B39&gt;R$2,0,IF(Datos!$C$4=1,IFERROR(MAX(Stock!R39-Datos!$C$6,0),0),IFERROR(MAX(Datos!$C$6-Stock!R39,0),0)))</f>
        <v>0</v>
      </c>
      <c r="S39">
        <f>IF($B39&gt;S$2,0,IF(Datos!$C$4=1,IFERROR(MAX(Stock!S39-Datos!$C$6,0),0),IFERROR(MAX(Datos!$C$6-Stock!S39,0),0)))</f>
        <v>0</v>
      </c>
      <c r="T39">
        <f>IF($B39&gt;T$2,0,IF(Datos!$C$4=1,IFERROR(MAX(Stock!T39-Datos!$C$6,0),0),IFERROR(MAX(Datos!$C$6-Stock!T39,0),0)))</f>
        <v>0</v>
      </c>
      <c r="U39">
        <f>IF($B39&gt;U$2,0,IF(Datos!$C$4=1,IFERROR(MAX(Stock!U39-Datos!$C$6,0),0),IFERROR(MAX(Datos!$C$6-Stock!U39,0),0)))</f>
        <v>0</v>
      </c>
      <c r="V39">
        <f>IF($B39&gt;V$2,0,IF(Datos!$C$4=1,IFERROR(MAX(Stock!V39-Datos!$C$6,0),0),IFERROR(MAX(Datos!$C$6-Stock!V39,0),0)))</f>
        <v>0</v>
      </c>
      <c r="W39">
        <f>IF($B39&gt;W$2,0,IF(Datos!$C$4=1,IFERROR(MAX(Stock!W39-Datos!$C$6,0),0),IFERROR(MAX(Datos!$C$6-Stock!W39,0),0)))</f>
        <v>0</v>
      </c>
      <c r="X39">
        <f>IF($B39&gt;X$2,0,IF(Datos!$C$4=1,IFERROR(MAX(Stock!X39-Datos!$C$6,0),0),IFERROR(MAX(Datos!$C$6-Stock!X39,0),0)))</f>
        <v>0</v>
      </c>
      <c r="Y39">
        <f>IF($B39&gt;Y$2,0,IF(Datos!$C$4=1,IFERROR(MAX(Stock!Y39-Datos!$C$6,0),0),IFERROR(MAX(Datos!$C$6-Stock!Y39,0),0)))</f>
        <v>0</v>
      </c>
      <c r="Z39">
        <f>IF($B39&gt;Z$2,0,IF(Datos!$C$4=1,IFERROR(MAX(Stock!Z39-Datos!$C$6,0),0),IFERROR(MAX(Datos!$C$6-Stock!Z39,0),0)))</f>
        <v>0</v>
      </c>
      <c r="AA39">
        <f>IF($B39&gt;AA$2,0,IF(Datos!$C$4=1,IFERROR(MAX(Stock!AA39-Datos!$C$6,0),0),IFERROR(MAX(Datos!$C$6-Stock!AA39,0),0)))</f>
        <v>0</v>
      </c>
      <c r="AB39">
        <f>IF($B39&gt;AB$2,0,IF(Datos!$C$4=1,IFERROR(MAX(Stock!AB39-Datos!$C$6,0),0),IFERROR(MAX(Datos!$C$6-Stock!AB39,0),0)))</f>
        <v>0</v>
      </c>
      <c r="AC39">
        <f>IF($B39&gt;AC$2,0,IF(Datos!$C$4=1,IFERROR(MAX(Stock!AC39-Datos!$C$6,0),0),IFERROR(MAX(Datos!$C$6-Stock!AC39,0),0)))</f>
        <v>0</v>
      </c>
      <c r="AD39">
        <f>IF($B39&gt;AD$2,0,IF(Datos!$C$4=1,IFERROR(MAX(Stock!AD39-Datos!$C$6,0),0),IFERROR(MAX(Datos!$C$6-Stock!AD39,0),0)))</f>
        <v>0</v>
      </c>
      <c r="AE39">
        <f>IF($B39&gt;AE$2,0,IF(Datos!$C$4=1,IFERROR(MAX(Stock!AE39-Datos!$C$6,0),0),IFERROR(MAX(Datos!$C$6-Stock!AE39,0),0)))</f>
        <v>0</v>
      </c>
      <c r="AF39">
        <f>IF($B39&gt;AF$2,0,IF(Datos!$C$4=1,IFERROR(MAX(Stock!AF39-Datos!$C$6,0),0),IFERROR(MAX(Datos!$C$6-Stock!AF39,0),0)))</f>
        <v>0</v>
      </c>
      <c r="AG39">
        <f>IF($B39&gt;AG$2,0,IF(Datos!$C$4=1,IFERROR(MAX(Stock!AG39-Datos!$C$6,0),0),IFERROR(MAX(Datos!$C$6-Stock!AG39,0),0)))</f>
        <v>0</v>
      </c>
      <c r="AH39">
        <f>IF($B39&gt;AH$2,0,IF(Datos!$C$4=1,IFERROR(MAX(Stock!AH39-Datos!$C$6,0),0),IFERROR(MAX(Datos!$C$6-Stock!AH39,0),0)))</f>
        <v>0</v>
      </c>
      <c r="AI39">
        <f>IF($B39&gt;AI$2,0,IF(Datos!$C$4=1,IFERROR(MAX(Stock!AI39-Datos!$C$6,0),0),IFERROR(MAX(Datos!$C$6-Stock!AI39,0),0)))</f>
        <v>0</v>
      </c>
      <c r="AJ39">
        <f>IF($B39&gt;AJ$2,0,IF(Datos!$C$4=1,IFERROR(MAX(Stock!AJ39-Datos!$C$6,0),0),IFERROR(MAX(Datos!$C$6-Stock!AJ39,0),0)))</f>
        <v>0</v>
      </c>
      <c r="AK39">
        <f>IF($B39&gt;AK$2,0,IF(Datos!$C$4=1,IFERROR(MAX(Stock!AK39-Datos!$C$6,0),0),IFERROR(MAX(Datos!$C$6-Stock!AK39,0),0)))</f>
        <v>0</v>
      </c>
      <c r="AL39">
        <f>IF($B39&gt;AL$2,0,IF(Datos!$C$4=1,IFERROR(MAX(Stock!AL39-Datos!$C$6,0),0),IFERROR(MAX(Datos!$C$6-Stock!AL39,0),0)))</f>
        <v>0</v>
      </c>
      <c r="AM39">
        <f>IF($B39&gt;AM$2,0,IF(Datos!$C$4=1,IFERROR(MAX(Stock!AM39-Datos!$C$6,0),0),IFERROR(MAX(Datos!$C$6-Stock!AM39,0),0)))</f>
        <v>0</v>
      </c>
      <c r="AN39">
        <f>IF($B39&gt;AN$2,0,IF(Datos!$C$4=1,IFERROR(MAX(Stock!AN39-Datos!$C$6,0),0),IFERROR(MAX(Datos!$C$6-Stock!AN39,0),0)))</f>
        <v>0</v>
      </c>
      <c r="AO39">
        <f>IF($B39&gt;AO$2,0,IF(Datos!$C$4=1,IFERROR(MAX(Stock!AO39-Datos!$C$6,0),0),IFERROR(MAX(Datos!$C$6-Stock!AO39,0),0)))</f>
        <v>0</v>
      </c>
      <c r="AP39">
        <f>IF($B39&gt;AP$2,0,IF(Datos!$C$4=1,IFERROR(MAX(Stock!AP39-Datos!$C$6,0),0),IFERROR(MAX(Datos!$C$6-Stock!AP39,0),0)))</f>
        <v>0</v>
      </c>
      <c r="AQ39">
        <f>IF($B39&gt;AQ$2,0,IF(Datos!$C$4=1,IFERROR(MAX(Stock!AQ39-Datos!$C$6,0),0),IFERROR(MAX(Datos!$C$6-Stock!AQ39,0),0)))</f>
        <v>0</v>
      </c>
      <c r="AR39">
        <f>IF($B39&gt;AR$2,0,IF(Datos!$C$4=1,IFERROR(MAX(Stock!AR39-Datos!$C$6,0),0),IFERROR(MAX(Datos!$C$6-Stock!AR39,0),0)))</f>
        <v>0</v>
      </c>
      <c r="AS39">
        <f>IF($B39&gt;AS$2,0,IF(Datos!$C$4=1,IFERROR(MAX(Stock!AS39-Datos!$C$6,0),0),IFERROR(MAX(Datos!$C$6-Stock!AS39,0),0)))</f>
        <v>0</v>
      </c>
      <c r="AT39">
        <f>IF($B39&gt;AT$2,0,IF(Datos!$C$4=1,IFERROR(MAX(Stock!AT39-Datos!$C$6,0),0),IFERROR(MAX(Datos!$C$6-Stock!AT39,0),0)))</f>
        <v>0</v>
      </c>
      <c r="AU39">
        <f>IF($B39&gt;AU$2,0,IF(Datos!$C$4=1,IFERROR(MAX(Stock!AU39-Datos!$C$6,0),0),IFERROR(MAX(Datos!$C$6-Stock!AU39,0),0)))</f>
        <v>0</v>
      </c>
      <c r="AV39">
        <f>IF($B39&gt;AV$2,0,IF(Datos!$C$4=1,IFERROR(MAX(Stock!AV39-Datos!$C$6,0),0),IFERROR(MAX(Datos!$C$6-Stock!AV39,0),0)))</f>
        <v>0</v>
      </c>
      <c r="AW39">
        <f>IF($B39&gt;AW$2,0,IF(Datos!$C$4=1,IFERROR(MAX(Stock!AW39-Datos!$C$6,0),0),IFERROR(MAX(Datos!$C$6-Stock!AW39,0),0)))</f>
        <v>0</v>
      </c>
      <c r="AX39">
        <f>IF($B39&gt;AX$2,0,IF(Datos!$C$4=1,IFERROR(MAX(Stock!AX39-Datos!$C$6,0),0),IFERROR(MAX(Datos!$C$6-Stock!AX39,0),0)))</f>
        <v>0</v>
      </c>
      <c r="AY39">
        <f>IF($B39&gt;AY$2,0,IF(Datos!$C$4=1,IFERROR(MAX(Stock!AY39-Datos!$C$6,0),0),IFERROR(MAX(Datos!$C$6-Stock!AY39,0),0)))</f>
        <v>0</v>
      </c>
      <c r="AZ39">
        <f>IF($B39&gt;AZ$2,0,IF(Datos!$C$4=1,IFERROR(MAX(Stock!AZ39-Datos!$C$6,0),0),IFERROR(MAX(Datos!$C$6-Stock!AZ39,0),0)))</f>
        <v>0</v>
      </c>
      <c r="BA39">
        <f>IF($B39&gt;BA$2,0,IF(Datos!$C$4=1,IFERROR(MAX(Stock!BA39-Datos!$C$6,0),0),IFERROR(MAX(Datos!$C$6-Stock!BA39,0),0)))</f>
        <v>0</v>
      </c>
    </row>
    <row r="40" spans="2:53" x14ac:dyDescent="0.25">
      <c r="B40">
        <v>37</v>
      </c>
      <c r="D40">
        <f>IF($B40&gt;D$2,0,IF(Datos!$C$4=1,IFERROR(MAX(Stock!D40-Datos!$C$6,0),0),IFERROR(MAX(Datos!$C$6-Stock!D40,0),0)))</f>
        <v>0</v>
      </c>
      <c r="E40">
        <f>IF($B40&gt;E$2,0,IF(Datos!$C$4=1,IFERROR(MAX(Stock!E40-Datos!$C$6,0),0),IFERROR(MAX(Datos!$C$6-Stock!E40,0),0)))</f>
        <v>0</v>
      </c>
      <c r="F40">
        <f>IF($B40&gt;F$2,0,IF(Datos!$C$4=1,IFERROR(MAX(Stock!F40-Datos!$C$6,0),0),IFERROR(MAX(Datos!$C$6-Stock!F40,0),0)))</f>
        <v>0</v>
      </c>
      <c r="G40">
        <f>IF($B40&gt;G$2,0,IF(Datos!$C$4=1,IFERROR(MAX(Stock!G40-Datos!$C$6,0),0),IFERROR(MAX(Datos!$C$6-Stock!G40,0),0)))</f>
        <v>0</v>
      </c>
      <c r="H40">
        <f>IF($B40&gt;H$2,0,IF(Datos!$C$4=1,IFERROR(MAX(Stock!H40-Datos!$C$6,0),0),IFERROR(MAX(Datos!$C$6-Stock!H40,0),0)))</f>
        <v>0</v>
      </c>
      <c r="I40">
        <f>IF($B40&gt;I$2,0,IF(Datos!$C$4=1,IFERROR(MAX(Stock!I40-Datos!$C$6,0),0),IFERROR(MAX(Datos!$C$6-Stock!I40,0),0)))</f>
        <v>0</v>
      </c>
      <c r="J40">
        <f>IF($B40&gt;J$2,0,IF(Datos!$C$4=1,IFERROR(MAX(Stock!J40-Datos!$C$6,0),0),IFERROR(MAX(Datos!$C$6-Stock!J40,0),0)))</f>
        <v>0</v>
      </c>
      <c r="K40">
        <f>IF($B40&gt;K$2,0,IF(Datos!$C$4=1,IFERROR(MAX(Stock!K40-Datos!$C$6,0),0),IFERROR(MAX(Datos!$C$6-Stock!K40,0),0)))</f>
        <v>0</v>
      </c>
      <c r="L40">
        <f>IF($B40&gt;L$2,0,IF(Datos!$C$4=1,IFERROR(MAX(Stock!L40-Datos!$C$6,0),0),IFERROR(MAX(Datos!$C$6-Stock!L40,0),0)))</f>
        <v>0</v>
      </c>
      <c r="M40">
        <f>IF($B40&gt;M$2,0,IF(Datos!$C$4=1,IFERROR(MAX(Stock!M40-Datos!$C$6,0),0),IFERROR(MAX(Datos!$C$6-Stock!M40,0),0)))</f>
        <v>0</v>
      </c>
      <c r="N40">
        <f>IF($B40&gt;N$2,0,IF(Datos!$C$4=1,IFERROR(MAX(Stock!N40-Datos!$C$6,0),0),IFERROR(MAX(Datos!$C$6-Stock!N40,0),0)))</f>
        <v>0</v>
      </c>
      <c r="O40">
        <f>IF($B40&gt;O$2,0,IF(Datos!$C$4=1,IFERROR(MAX(Stock!O40-Datos!$C$6,0),0),IFERROR(MAX(Datos!$C$6-Stock!O40,0),0)))</f>
        <v>0</v>
      </c>
      <c r="P40">
        <f>IF($B40&gt;P$2,0,IF(Datos!$C$4=1,IFERROR(MAX(Stock!P40-Datos!$C$6,0),0),IFERROR(MAX(Datos!$C$6-Stock!P40,0),0)))</f>
        <v>0</v>
      </c>
      <c r="Q40">
        <f>IF($B40&gt;Q$2,0,IF(Datos!$C$4=1,IFERROR(MAX(Stock!Q40-Datos!$C$6,0),0),IFERROR(MAX(Datos!$C$6-Stock!Q40,0),0)))</f>
        <v>0</v>
      </c>
      <c r="R40">
        <f>IF($B40&gt;R$2,0,IF(Datos!$C$4=1,IFERROR(MAX(Stock!R40-Datos!$C$6,0),0),IFERROR(MAX(Datos!$C$6-Stock!R40,0),0)))</f>
        <v>0</v>
      </c>
      <c r="S40">
        <f>IF($B40&gt;S$2,0,IF(Datos!$C$4=1,IFERROR(MAX(Stock!S40-Datos!$C$6,0),0),IFERROR(MAX(Datos!$C$6-Stock!S40,0),0)))</f>
        <v>0</v>
      </c>
      <c r="T40">
        <f>IF($B40&gt;T$2,0,IF(Datos!$C$4=1,IFERROR(MAX(Stock!T40-Datos!$C$6,0),0),IFERROR(MAX(Datos!$C$6-Stock!T40,0),0)))</f>
        <v>0</v>
      </c>
      <c r="U40">
        <f>IF($B40&gt;U$2,0,IF(Datos!$C$4=1,IFERROR(MAX(Stock!U40-Datos!$C$6,0),0),IFERROR(MAX(Datos!$C$6-Stock!U40,0),0)))</f>
        <v>0</v>
      </c>
      <c r="V40">
        <f>IF($B40&gt;V$2,0,IF(Datos!$C$4=1,IFERROR(MAX(Stock!V40-Datos!$C$6,0),0),IFERROR(MAX(Datos!$C$6-Stock!V40,0),0)))</f>
        <v>0</v>
      </c>
      <c r="W40">
        <f>IF($B40&gt;W$2,0,IF(Datos!$C$4=1,IFERROR(MAX(Stock!W40-Datos!$C$6,0),0),IFERROR(MAX(Datos!$C$6-Stock!W40,0),0)))</f>
        <v>0</v>
      </c>
      <c r="X40">
        <f>IF($B40&gt;X$2,0,IF(Datos!$C$4=1,IFERROR(MAX(Stock!X40-Datos!$C$6,0),0),IFERROR(MAX(Datos!$C$6-Stock!X40,0),0)))</f>
        <v>0</v>
      </c>
      <c r="Y40">
        <f>IF($B40&gt;Y$2,0,IF(Datos!$C$4=1,IFERROR(MAX(Stock!Y40-Datos!$C$6,0),0),IFERROR(MAX(Datos!$C$6-Stock!Y40,0),0)))</f>
        <v>0</v>
      </c>
      <c r="Z40">
        <f>IF($B40&gt;Z$2,0,IF(Datos!$C$4=1,IFERROR(MAX(Stock!Z40-Datos!$C$6,0),0),IFERROR(MAX(Datos!$C$6-Stock!Z40,0),0)))</f>
        <v>0</v>
      </c>
      <c r="AA40">
        <f>IF($B40&gt;AA$2,0,IF(Datos!$C$4=1,IFERROR(MAX(Stock!AA40-Datos!$C$6,0),0),IFERROR(MAX(Datos!$C$6-Stock!AA40,0),0)))</f>
        <v>0</v>
      </c>
      <c r="AB40">
        <f>IF($B40&gt;AB$2,0,IF(Datos!$C$4=1,IFERROR(MAX(Stock!AB40-Datos!$C$6,0),0),IFERROR(MAX(Datos!$C$6-Stock!AB40,0),0)))</f>
        <v>0</v>
      </c>
      <c r="AC40">
        <f>IF($B40&gt;AC$2,0,IF(Datos!$C$4=1,IFERROR(MAX(Stock!AC40-Datos!$C$6,0),0),IFERROR(MAX(Datos!$C$6-Stock!AC40,0),0)))</f>
        <v>0</v>
      </c>
      <c r="AD40">
        <f>IF($B40&gt;AD$2,0,IF(Datos!$C$4=1,IFERROR(MAX(Stock!AD40-Datos!$C$6,0),0),IFERROR(MAX(Datos!$C$6-Stock!AD40,0),0)))</f>
        <v>0</v>
      </c>
      <c r="AE40">
        <f>IF($B40&gt;AE$2,0,IF(Datos!$C$4=1,IFERROR(MAX(Stock!AE40-Datos!$C$6,0),0),IFERROR(MAX(Datos!$C$6-Stock!AE40,0),0)))</f>
        <v>0</v>
      </c>
      <c r="AF40">
        <f>IF($B40&gt;AF$2,0,IF(Datos!$C$4=1,IFERROR(MAX(Stock!AF40-Datos!$C$6,0),0),IFERROR(MAX(Datos!$C$6-Stock!AF40,0),0)))</f>
        <v>0</v>
      </c>
      <c r="AG40">
        <f>IF($B40&gt;AG$2,0,IF(Datos!$C$4=1,IFERROR(MAX(Stock!AG40-Datos!$C$6,0),0),IFERROR(MAX(Datos!$C$6-Stock!AG40,0),0)))</f>
        <v>0</v>
      </c>
      <c r="AH40">
        <f>IF($B40&gt;AH$2,0,IF(Datos!$C$4=1,IFERROR(MAX(Stock!AH40-Datos!$C$6,0),0),IFERROR(MAX(Datos!$C$6-Stock!AH40,0),0)))</f>
        <v>0</v>
      </c>
      <c r="AI40">
        <f>IF($B40&gt;AI$2,0,IF(Datos!$C$4=1,IFERROR(MAX(Stock!AI40-Datos!$C$6,0),0),IFERROR(MAX(Datos!$C$6-Stock!AI40,0),0)))</f>
        <v>0</v>
      </c>
      <c r="AJ40">
        <f>IF($B40&gt;AJ$2,0,IF(Datos!$C$4=1,IFERROR(MAX(Stock!AJ40-Datos!$C$6,0),0),IFERROR(MAX(Datos!$C$6-Stock!AJ40,0),0)))</f>
        <v>0</v>
      </c>
      <c r="AK40">
        <f>IF($B40&gt;AK$2,0,IF(Datos!$C$4=1,IFERROR(MAX(Stock!AK40-Datos!$C$6,0),0),IFERROR(MAX(Datos!$C$6-Stock!AK40,0),0)))</f>
        <v>0</v>
      </c>
      <c r="AL40">
        <f>IF($B40&gt;AL$2,0,IF(Datos!$C$4=1,IFERROR(MAX(Stock!AL40-Datos!$C$6,0),0),IFERROR(MAX(Datos!$C$6-Stock!AL40,0),0)))</f>
        <v>0</v>
      </c>
      <c r="AM40">
        <f>IF($B40&gt;AM$2,0,IF(Datos!$C$4=1,IFERROR(MAX(Stock!AM40-Datos!$C$6,0),0),IFERROR(MAX(Datos!$C$6-Stock!AM40,0),0)))</f>
        <v>0</v>
      </c>
      <c r="AN40">
        <f>IF($B40&gt;AN$2,0,IF(Datos!$C$4=1,IFERROR(MAX(Stock!AN40-Datos!$C$6,0),0),IFERROR(MAX(Datos!$C$6-Stock!AN40,0),0)))</f>
        <v>0</v>
      </c>
      <c r="AO40">
        <f>IF($B40&gt;AO$2,0,IF(Datos!$C$4=1,IFERROR(MAX(Stock!AO40-Datos!$C$6,0),0),IFERROR(MAX(Datos!$C$6-Stock!AO40,0),0)))</f>
        <v>0</v>
      </c>
      <c r="AP40">
        <f>IF($B40&gt;AP$2,0,IF(Datos!$C$4=1,IFERROR(MAX(Stock!AP40-Datos!$C$6,0),0),IFERROR(MAX(Datos!$C$6-Stock!AP40,0),0)))</f>
        <v>0</v>
      </c>
      <c r="AQ40">
        <f>IF($B40&gt;AQ$2,0,IF(Datos!$C$4=1,IFERROR(MAX(Stock!AQ40-Datos!$C$6,0),0),IFERROR(MAX(Datos!$C$6-Stock!AQ40,0),0)))</f>
        <v>0</v>
      </c>
      <c r="AR40">
        <f>IF($B40&gt;AR$2,0,IF(Datos!$C$4=1,IFERROR(MAX(Stock!AR40-Datos!$C$6,0),0),IFERROR(MAX(Datos!$C$6-Stock!AR40,0),0)))</f>
        <v>0</v>
      </c>
      <c r="AS40">
        <f>IF($B40&gt;AS$2,0,IF(Datos!$C$4=1,IFERROR(MAX(Stock!AS40-Datos!$C$6,0),0),IFERROR(MAX(Datos!$C$6-Stock!AS40,0),0)))</f>
        <v>0</v>
      </c>
      <c r="AT40">
        <f>IF($B40&gt;AT$2,0,IF(Datos!$C$4=1,IFERROR(MAX(Stock!AT40-Datos!$C$6,0),0),IFERROR(MAX(Datos!$C$6-Stock!AT40,0),0)))</f>
        <v>0</v>
      </c>
      <c r="AU40">
        <f>IF($B40&gt;AU$2,0,IF(Datos!$C$4=1,IFERROR(MAX(Stock!AU40-Datos!$C$6,0),0),IFERROR(MAX(Datos!$C$6-Stock!AU40,0),0)))</f>
        <v>0</v>
      </c>
      <c r="AV40">
        <f>IF($B40&gt;AV$2,0,IF(Datos!$C$4=1,IFERROR(MAX(Stock!AV40-Datos!$C$6,0),0),IFERROR(MAX(Datos!$C$6-Stock!AV40,0),0)))</f>
        <v>0</v>
      </c>
      <c r="AW40">
        <f>IF($B40&gt;AW$2,0,IF(Datos!$C$4=1,IFERROR(MAX(Stock!AW40-Datos!$C$6,0),0),IFERROR(MAX(Datos!$C$6-Stock!AW40,0),0)))</f>
        <v>0</v>
      </c>
      <c r="AX40">
        <f>IF($B40&gt;AX$2,0,IF(Datos!$C$4=1,IFERROR(MAX(Stock!AX40-Datos!$C$6,0),0),IFERROR(MAX(Datos!$C$6-Stock!AX40,0),0)))</f>
        <v>0</v>
      </c>
      <c r="AY40">
        <f>IF($B40&gt;AY$2,0,IF(Datos!$C$4=1,IFERROR(MAX(Stock!AY40-Datos!$C$6,0),0),IFERROR(MAX(Datos!$C$6-Stock!AY40,0),0)))</f>
        <v>0</v>
      </c>
      <c r="AZ40">
        <f>IF($B40&gt;AZ$2,0,IF(Datos!$C$4=1,IFERROR(MAX(Stock!AZ40-Datos!$C$6,0),0),IFERROR(MAX(Datos!$C$6-Stock!AZ40,0),0)))</f>
        <v>0</v>
      </c>
      <c r="BA40">
        <f>IF($B40&gt;BA$2,0,IF(Datos!$C$4=1,IFERROR(MAX(Stock!BA40-Datos!$C$6,0),0),IFERROR(MAX(Datos!$C$6-Stock!BA40,0),0)))</f>
        <v>0</v>
      </c>
    </row>
    <row r="41" spans="2:53" x14ac:dyDescent="0.25">
      <c r="B41">
        <v>38</v>
      </c>
      <c r="D41">
        <f>IF($B41&gt;D$2,0,IF(Datos!$C$4=1,IFERROR(MAX(Stock!D41-Datos!$C$6,0),0),IFERROR(MAX(Datos!$C$6-Stock!D41,0),0)))</f>
        <v>0</v>
      </c>
      <c r="E41">
        <f>IF($B41&gt;E$2,0,IF(Datos!$C$4=1,IFERROR(MAX(Stock!E41-Datos!$C$6,0),0),IFERROR(MAX(Datos!$C$6-Stock!E41,0),0)))</f>
        <v>0</v>
      </c>
      <c r="F41">
        <f>IF($B41&gt;F$2,0,IF(Datos!$C$4=1,IFERROR(MAX(Stock!F41-Datos!$C$6,0),0),IFERROR(MAX(Datos!$C$6-Stock!F41,0),0)))</f>
        <v>0</v>
      </c>
      <c r="G41">
        <f>IF($B41&gt;G$2,0,IF(Datos!$C$4=1,IFERROR(MAX(Stock!G41-Datos!$C$6,0),0),IFERROR(MAX(Datos!$C$6-Stock!G41,0),0)))</f>
        <v>0</v>
      </c>
      <c r="H41">
        <f>IF($B41&gt;H$2,0,IF(Datos!$C$4=1,IFERROR(MAX(Stock!H41-Datos!$C$6,0),0),IFERROR(MAX(Datos!$C$6-Stock!H41,0),0)))</f>
        <v>0</v>
      </c>
      <c r="I41">
        <f>IF($B41&gt;I$2,0,IF(Datos!$C$4=1,IFERROR(MAX(Stock!I41-Datos!$C$6,0),0),IFERROR(MAX(Datos!$C$6-Stock!I41,0),0)))</f>
        <v>0</v>
      </c>
      <c r="J41">
        <f>IF($B41&gt;J$2,0,IF(Datos!$C$4=1,IFERROR(MAX(Stock!J41-Datos!$C$6,0),0),IFERROR(MAX(Datos!$C$6-Stock!J41,0),0)))</f>
        <v>0</v>
      </c>
      <c r="K41">
        <f>IF($B41&gt;K$2,0,IF(Datos!$C$4=1,IFERROR(MAX(Stock!K41-Datos!$C$6,0),0),IFERROR(MAX(Datos!$C$6-Stock!K41,0),0)))</f>
        <v>0</v>
      </c>
      <c r="L41">
        <f>IF($B41&gt;L$2,0,IF(Datos!$C$4=1,IFERROR(MAX(Stock!L41-Datos!$C$6,0),0),IFERROR(MAX(Datos!$C$6-Stock!L41,0),0)))</f>
        <v>0</v>
      </c>
      <c r="M41">
        <f>IF($B41&gt;M$2,0,IF(Datos!$C$4=1,IFERROR(MAX(Stock!M41-Datos!$C$6,0),0),IFERROR(MAX(Datos!$C$6-Stock!M41,0),0)))</f>
        <v>0</v>
      </c>
      <c r="N41">
        <f>IF($B41&gt;N$2,0,IF(Datos!$C$4=1,IFERROR(MAX(Stock!N41-Datos!$C$6,0),0),IFERROR(MAX(Datos!$C$6-Stock!N41,0),0)))</f>
        <v>0</v>
      </c>
      <c r="O41">
        <f>IF($B41&gt;O$2,0,IF(Datos!$C$4=1,IFERROR(MAX(Stock!O41-Datos!$C$6,0),0),IFERROR(MAX(Datos!$C$6-Stock!O41,0),0)))</f>
        <v>0</v>
      </c>
      <c r="P41">
        <f>IF($B41&gt;P$2,0,IF(Datos!$C$4=1,IFERROR(MAX(Stock!P41-Datos!$C$6,0),0),IFERROR(MAX(Datos!$C$6-Stock!P41,0),0)))</f>
        <v>0</v>
      </c>
      <c r="Q41">
        <f>IF($B41&gt;Q$2,0,IF(Datos!$C$4=1,IFERROR(MAX(Stock!Q41-Datos!$C$6,0),0),IFERROR(MAX(Datos!$C$6-Stock!Q41,0),0)))</f>
        <v>0</v>
      </c>
      <c r="R41">
        <f>IF($B41&gt;R$2,0,IF(Datos!$C$4=1,IFERROR(MAX(Stock!R41-Datos!$C$6,0),0),IFERROR(MAX(Datos!$C$6-Stock!R41,0),0)))</f>
        <v>0</v>
      </c>
      <c r="S41">
        <f>IF($B41&gt;S$2,0,IF(Datos!$C$4=1,IFERROR(MAX(Stock!S41-Datos!$C$6,0),0),IFERROR(MAX(Datos!$C$6-Stock!S41,0),0)))</f>
        <v>0</v>
      </c>
      <c r="T41">
        <f>IF($B41&gt;T$2,0,IF(Datos!$C$4=1,IFERROR(MAX(Stock!T41-Datos!$C$6,0),0),IFERROR(MAX(Datos!$C$6-Stock!T41,0),0)))</f>
        <v>0</v>
      </c>
      <c r="U41">
        <f>IF($B41&gt;U$2,0,IF(Datos!$C$4=1,IFERROR(MAX(Stock!U41-Datos!$C$6,0),0),IFERROR(MAX(Datos!$C$6-Stock!U41,0),0)))</f>
        <v>0</v>
      </c>
      <c r="V41">
        <f>IF($B41&gt;V$2,0,IF(Datos!$C$4=1,IFERROR(MAX(Stock!V41-Datos!$C$6,0),0),IFERROR(MAX(Datos!$C$6-Stock!V41,0),0)))</f>
        <v>0</v>
      </c>
      <c r="W41">
        <f>IF($B41&gt;W$2,0,IF(Datos!$C$4=1,IFERROR(MAX(Stock!W41-Datos!$C$6,0),0),IFERROR(MAX(Datos!$C$6-Stock!W41,0),0)))</f>
        <v>0</v>
      </c>
      <c r="X41">
        <f>IF($B41&gt;X$2,0,IF(Datos!$C$4=1,IFERROR(MAX(Stock!X41-Datos!$C$6,0),0),IFERROR(MAX(Datos!$C$6-Stock!X41,0),0)))</f>
        <v>0</v>
      </c>
      <c r="Y41">
        <f>IF($B41&gt;Y$2,0,IF(Datos!$C$4=1,IFERROR(MAX(Stock!Y41-Datos!$C$6,0),0),IFERROR(MAX(Datos!$C$6-Stock!Y41,0),0)))</f>
        <v>0</v>
      </c>
      <c r="Z41">
        <f>IF($B41&gt;Z$2,0,IF(Datos!$C$4=1,IFERROR(MAX(Stock!Z41-Datos!$C$6,0),0),IFERROR(MAX(Datos!$C$6-Stock!Z41,0),0)))</f>
        <v>0</v>
      </c>
      <c r="AA41">
        <f>IF($B41&gt;AA$2,0,IF(Datos!$C$4=1,IFERROR(MAX(Stock!AA41-Datos!$C$6,0),0),IFERROR(MAX(Datos!$C$6-Stock!AA41,0),0)))</f>
        <v>0</v>
      </c>
      <c r="AB41">
        <f>IF($B41&gt;AB$2,0,IF(Datos!$C$4=1,IFERROR(MAX(Stock!AB41-Datos!$C$6,0),0),IFERROR(MAX(Datos!$C$6-Stock!AB41,0),0)))</f>
        <v>0</v>
      </c>
      <c r="AC41">
        <f>IF($B41&gt;AC$2,0,IF(Datos!$C$4=1,IFERROR(MAX(Stock!AC41-Datos!$C$6,0),0),IFERROR(MAX(Datos!$C$6-Stock!AC41,0),0)))</f>
        <v>0</v>
      </c>
      <c r="AD41">
        <f>IF($B41&gt;AD$2,0,IF(Datos!$C$4=1,IFERROR(MAX(Stock!AD41-Datos!$C$6,0),0),IFERROR(MAX(Datos!$C$6-Stock!AD41,0),0)))</f>
        <v>0</v>
      </c>
      <c r="AE41">
        <f>IF($B41&gt;AE$2,0,IF(Datos!$C$4=1,IFERROR(MAX(Stock!AE41-Datos!$C$6,0),0),IFERROR(MAX(Datos!$C$6-Stock!AE41,0),0)))</f>
        <v>0</v>
      </c>
      <c r="AF41">
        <f>IF($B41&gt;AF$2,0,IF(Datos!$C$4=1,IFERROR(MAX(Stock!AF41-Datos!$C$6,0),0),IFERROR(MAX(Datos!$C$6-Stock!AF41,0),0)))</f>
        <v>0</v>
      </c>
      <c r="AG41">
        <f>IF($B41&gt;AG$2,0,IF(Datos!$C$4=1,IFERROR(MAX(Stock!AG41-Datos!$C$6,0),0),IFERROR(MAX(Datos!$C$6-Stock!AG41,0),0)))</f>
        <v>0</v>
      </c>
      <c r="AH41">
        <f>IF($B41&gt;AH$2,0,IF(Datos!$C$4=1,IFERROR(MAX(Stock!AH41-Datos!$C$6,0),0),IFERROR(MAX(Datos!$C$6-Stock!AH41,0),0)))</f>
        <v>0</v>
      </c>
      <c r="AI41">
        <f>IF($B41&gt;AI$2,0,IF(Datos!$C$4=1,IFERROR(MAX(Stock!AI41-Datos!$C$6,0),0),IFERROR(MAX(Datos!$C$6-Stock!AI41,0),0)))</f>
        <v>0</v>
      </c>
      <c r="AJ41">
        <f>IF($B41&gt;AJ$2,0,IF(Datos!$C$4=1,IFERROR(MAX(Stock!AJ41-Datos!$C$6,0),0),IFERROR(MAX(Datos!$C$6-Stock!AJ41,0),0)))</f>
        <v>0</v>
      </c>
      <c r="AK41">
        <f>IF($B41&gt;AK$2,0,IF(Datos!$C$4=1,IFERROR(MAX(Stock!AK41-Datos!$C$6,0),0),IFERROR(MAX(Datos!$C$6-Stock!AK41,0),0)))</f>
        <v>0</v>
      </c>
      <c r="AL41">
        <f>IF($B41&gt;AL$2,0,IF(Datos!$C$4=1,IFERROR(MAX(Stock!AL41-Datos!$C$6,0),0),IFERROR(MAX(Datos!$C$6-Stock!AL41,0),0)))</f>
        <v>0</v>
      </c>
      <c r="AM41">
        <f>IF($B41&gt;AM$2,0,IF(Datos!$C$4=1,IFERROR(MAX(Stock!AM41-Datos!$C$6,0),0),IFERROR(MAX(Datos!$C$6-Stock!AM41,0),0)))</f>
        <v>0</v>
      </c>
      <c r="AN41">
        <f>IF($B41&gt;AN$2,0,IF(Datos!$C$4=1,IFERROR(MAX(Stock!AN41-Datos!$C$6,0),0),IFERROR(MAX(Datos!$C$6-Stock!AN41,0),0)))</f>
        <v>0</v>
      </c>
      <c r="AO41">
        <f>IF($B41&gt;AO$2,0,IF(Datos!$C$4=1,IFERROR(MAX(Stock!AO41-Datos!$C$6,0),0),IFERROR(MAX(Datos!$C$6-Stock!AO41,0),0)))</f>
        <v>0</v>
      </c>
      <c r="AP41">
        <f>IF($B41&gt;AP$2,0,IF(Datos!$C$4=1,IFERROR(MAX(Stock!AP41-Datos!$C$6,0),0),IFERROR(MAX(Datos!$C$6-Stock!AP41,0),0)))</f>
        <v>0</v>
      </c>
      <c r="AQ41">
        <f>IF($B41&gt;AQ$2,0,IF(Datos!$C$4=1,IFERROR(MAX(Stock!AQ41-Datos!$C$6,0),0),IFERROR(MAX(Datos!$C$6-Stock!AQ41,0),0)))</f>
        <v>0</v>
      </c>
      <c r="AR41">
        <f>IF($B41&gt;AR$2,0,IF(Datos!$C$4=1,IFERROR(MAX(Stock!AR41-Datos!$C$6,0),0),IFERROR(MAX(Datos!$C$6-Stock!AR41,0),0)))</f>
        <v>0</v>
      </c>
      <c r="AS41">
        <f>IF($B41&gt;AS$2,0,IF(Datos!$C$4=1,IFERROR(MAX(Stock!AS41-Datos!$C$6,0),0),IFERROR(MAX(Datos!$C$6-Stock!AS41,0),0)))</f>
        <v>0</v>
      </c>
      <c r="AT41">
        <f>IF($B41&gt;AT$2,0,IF(Datos!$C$4=1,IFERROR(MAX(Stock!AT41-Datos!$C$6,0),0),IFERROR(MAX(Datos!$C$6-Stock!AT41,0),0)))</f>
        <v>0</v>
      </c>
      <c r="AU41">
        <f>IF($B41&gt;AU$2,0,IF(Datos!$C$4=1,IFERROR(MAX(Stock!AU41-Datos!$C$6,0),0),IFERROR(MAX(Datos!$C$6-Stock!AU41,0),0)))</f>
        <v>0</v>
      </c>
      <c r="AV41">
        <f>IF($B41&gt;AV$2,0,IF(Datos!$C$4=1,IFERROR(MAX(Stock!AV41-Datos!$C$6,0),0),IFERROR(MAX(Datos!$C$6-Stock!AV41,0),0)))</f>
        <v>0</v>
      </c>
      <c r="AW41">
        <f>IF($B41&gt;AW$2,0,IF(Datos!$C$4=1,IFERROR(MAX(Stock!AW41-Datos!$C$6,0),0),IFERROR(MAX(Datos!$C$6-Stock!AW41,0),0)))</f>
        <v>0</v>
      </c>
      <c r="AX41">
        <f>IF($B41&gt;AX$2,0,IF(Datos!$C$4=1,IFERROR(MAX(Stock!AX41-Datos!$C$6,0),0),IFERROR(MAX(Datos!$C$6-Stock!AX41,0),0)))</f>
        <v>0</v>
      </c>
      <c r="AY41">
        <f>IF($B41&gt;AY$2,0,IF(Datos!$C$4=1,IFERROR(MAX(Stock!AY41-Datos!$C$6,0),0),IFERROR(MAX(Datos!$C$6-Stock!AY41,0),0)))</f>
        <v>0</v>
      </c>
      <c r="AZ41">
        <f>IF($B41&gt;AZ$2,0,IF(Datos!$C$4=1,IFERROR(MAX(Stock!AZ41-Datos!$C$6,0),0),IFERROR(MAX(Datos!$C$6-Stock!AZ41,0),0)))</f>
        <v>0</v>
      </c>
      <c r="BA41">
        <f>IF($B41&gt;BA$2,0,IF(Datos!$C$4=1,IFERROR(MAX(Stock!BA41-Datos!$C$6,0),0),IFERROR(MAX(Datos!$C$6-Stock!BA41,0),0)))</f>
        <v>0</v>
      </c>
    </row>
    <row r="42" spans="2:53" x14ac:dyDescent="0.25">
      <c r="B42">
        <v>39</v>
      </c>
      <c r="D42">
        <f>IF($B42&gt;D$2,0,IF(Datos!$C$4=1,IFERROR(MAX(Stock!D42-Datos!$C$6,0),0),IFERROR(MAX(Datos!$C$6-Stock!D42,0),0)))</f>
        <v>0</v>
      </c>
      <c r="E42">
        <f>IF($B42&gt;E$2,0,IF(Datos!$C$4=1,IFERROR(MAX(Stock!E42-Datos!$C$6,0),0),IFERROR(MAX(Datos!$C$6-Stock!E42,0),0)))</f>
        <v>0</v>
      </c>
      <c r="F42">
        <f>IF($B42&gt;F$2,0,IF(Datos!$C$4=1,IFERROR(MAX(Stock!F42-Datos!$C$6,0),0),IFERROR(MAX(Datos!$C$6-Stock!F42,0),0)))</f>
        <v>0</v>
      </c>
      <c r="G42">
        <f>IF($B42&gt;G$2,0,IF(Datos!$C$4=1,IFERROR(MAX(Stock!G42-Datos!$C$6,0),0),IFERROR(MAX(Datos!$C$6-Stock!G42,0),0)))</f>
        <v>0</v>
      </c>
      <c r="H42">
        <f>IF($B42&gt;H$2,0,IF(Datos!$C$4=1,IFERROR(MAX(Stock!H42-Datos!$C$6,0),0),IFERROR(MAX(Datos!$C$6-Stock!H42,0),0)))</f>
        <v>0</v>
      </c>
      <c r="I42">
        <f>IF($B42&gt;I$2,0,IF(Datos!$C$4=1,IFERROR(MAX(Stock!I42-Datos!$C$6,0),0),IFERROR(MAX(Datos!$C$6-Stock!I42,0),0)))</f>
        <v>0</v>
      </c>
      <c r="J42">
        <f>IF($B42&gt;J$2,0,IF(Datos!$C$4=1,IFERROR(MAX(Stock!J42-Datos!$C$6,0),0),IFERROR(MAX(Datos!$C$6-Stock!J42,0),0)))</f>
        <v>0</v>
      </c>
      <c r="K42">
        <f>IF($B42&gt;K$2,0,IF(Datos!$C$4=1,IFERROR(MAX(Stock!K42-Datos!$C$6,0),0),IFERROR(MAX(Datos!$C$6-Stock!K42,0),0)))</f>
        <v>0</v>
      </c>
      <c r="L42">
        <f>IF($B42&gt;L$2,0,IF(Datos!$C$4=1,IFERROR(MAX(Stock!L42-Datos!$C$6,0),0),IFERROR(MAX(Datos!$C$6-Stock!L42,0),0)))</f>
        <v>0</v>
      </c>
      <c r="M42">
        <f>IF($B42&gt;M$2,0,IF(Datos!$C$4=1,IFERROR(MAX(Stock!M42-Datos!$C$6,0),0),IFERROR(MAX(Datos!$C$6-Stock!M42,0),0)))</f>
        <v>0</v>
      </c>
      <c r="N42">
        <f>IF($B42&gt;N$2,0,IF(Datos!$C$4=1,IFERROR(MAX(Stock!N42-Datos!$C$6,0),0),IFERROR(MAX(Datos!$C$6-Stock!N42,0),0)))</f>
        <v>0</v>
      </c>
      <c r="O42">
        <f>IF($B42&gt;O$2,0,IF(Datos!$C$4=1,IFERROR(MAX(Stock!O42-Datos!$C$6,0),0),IFERROR(MAX(Datos!$C$6-Stock!O42,0),0)))</f>
        <v>0</v>
      </c>
      <c r="P42">
        <f>IF($B42&gt;P$2,0,IF(Datos!$C$4=1,IFERROR(MAX(Stock!P42-Datos!$C$6,0),0),IFERROR(MAX(Datos!$C$6-Stock!P42,0),0)))</f>
        <v>0</v>
      </c>
      <c r="Q42">
        <f>IF($B42&gt;Q$2,0,IF(Datos!$C$4=1,IFERROR(MAX(Stock!Q42-Datos!$C$6,0),0),IFERROR(MAX(Datos!$C$6-Stock!Q42,0),0)))</f>
        <v>0</v>
      </c>
      <c r="R42">
        <f>IF($B42&gt;R$2,0,IF(Datos!$C$4=1,IFERROR(MAX(Stock!R42-Datos!$C$6,0),0),IFERROR(MAX(Datos!$C$6-Stock!R42,0),0)))</f>
        <v>0</v>
      </c>
      <c r="S42">
        <f>IF($B42&gt;S$2,0,IF(Datos!$C$4=1,IFERROR(MAX(Stock!S42-Datos!$C$6,0),0),IFERROR(MAX(Datos!$C$6-Stock!S42,0),0)))</f>
        <v>0</v>
      </c>
      <c r="T42">
        <f>IF($B42&gt;T$2,0,IF(Datos!$C$4=1,IFERROR(MAX(Stock!T42-Datos!$C$6,0),0),IFERROR(MAX(Datos!$C$6-Stock!T42,0),0)))</f>
        <v>0</v>
      </c>
      <c r="U42">
        <f>IF($B42&gt;U$2,0,IF(Datos!$C$4=1,IFERROR(MAX(Stock!U42-Datos!$C$6,0),0),IFERROR(MAX(Datos!$C$6-Stock!U42,0),0)))</f>
        <v>0</v>
      </c>
      <c r="V42">
        <f>IF($B42&gt;V$2,0,IF(Datos!$C$4=1,IFERROR(MAX(Stock!V42-Datos!$C$6,0),0),IFERROR(MAX(Datos!$C$6-Stock!V42,0),0)))</f>
        <v>0</v>
      </c>
      <c r="W42">
        <f>IF($B42&gt;W$2,0,IF(Datos!$C$4=1,IFERROR(MAX(Stock!W42-Datos!$C$6,0),0),IFERROR(MAX(Datos!$C$6-Stock!W42,0),0)))</f>
        <v>0</v>
      </c>
      <c r="X42">
        <f>IF($B42&gt;X$2,0,IF(Datos!$C$4=1,IFERROR(MAX(Stock!X42-Datos!$C$6,0),0),IFERROR(MAX(Datos!$C$6-Stock!X42,0),0)))</f>
        <v>0</v>
      </c>
      <c r="Y42">
        <f>IF($B42&gt;Y$2,0,IF(Datos!$C$4=1,IFERROR(MAX(Stock!Y42-Datos!$C$6,0),0),IFERROR(MAX(Datos!$C$6-Stock!Y42,0),0)))</f>
        <v>0</v>
      </c>
      <c r="Z42">
        <f>IF($B42&gt;Z$2,0,IF(Datos!$C$4=1,IFERROR(MAX(Stock!Z42-Datos!$C$6,0),0),IFERROR(MAX(Datos!$C$6-Stock!Z42,0),0)))</f>
        <v>0</v>
      </c>
      <c r="AA42">
        <f>IF($B42&gt;AA$2,0,IF(Datos!$C$4=1,IFERROR(MAX(Stock!AA42-Datos!$C$6,0),0),IFERROR(MAX(Datos!$C$6-Stock!AA42,0),0)))</f>
        <v>0</v>
      </c>
      <c r="AB42">
        <f>IF($B42&gt;AB$2,0,IF(Datos!$C$4=1,IFERROR(MAX(Stock!AB42-Datos!$C$6,0),0),IFERROR(MAX(Datos!$C$6-Stock!AB42,0),0)))</f>
        <v>0</v>
      </c>
      <c r="AC42">
        <f>IF($B42&gt;AC$2,0,IF(Datos!$C$4=1,IFERROR(MAX(Stock!AC42-Datos!$C$6,0),0),IFERROR(MAX(Datos!$C$6-Stock!AC42,0),0)))</f>
        <v>0</v>
      </c>
      <c r="AD42">
        <f>IF($B42&gt;AD$2,0,IF(Datos!$C$4=1,IFERROR(MAX(Stock!AD42-Datos!$C$6,0),0),IFERROR(MAX(Datos!$C$6-Stock!AD42,0),0)))</f>
        <v>0</v>
      </c>
      <c r="AE42">
        <f>IF($B42&gt;AE$2,0,IF(Datos!$C$4=1,IFERROR(MAX(Stock!AE42-Datos!$C$6,0),0),IFERROR(MAX(Datos!$C$6-Stock!AE42,0),0)))</f>
        <v>0</v>
      </c>
      <c r="AF42">
        <f>IF($B42&gt;AF$2,0,IF(Datos!$C$4=1,IFERROR(MAX(Stock!AF42-Datos!$C$6,0),0),IFERROR(MAX(Datos!$C$6-Stock!AF42,0),0)))</f>
        <v>0</v>
      </c>
      <c r="AG42">
        <f>IF($B42&gt;AG$2,0,IF(Datos!$C$4=1,IFERROR(MAX(Stock!AG42-Datos!$C$6,0),0),IFERROR(MAX(Datos!$C$6-Stock!AG42,0),0)))</f>
        <v>0</v>
      </c>
      <c r="AH42">
        <f>IF($B42&gt;AH$2,0,IF(Datos!$C$4=1,IFERROR(MAX(Stock!AH42-Datos!$C$6,0),0),IFERROR(MAX(Datos!$C$6-Stock!AH42,0),0)))</f>
        <v>0</v>
      </c>
      <c r="AI42">
        <f>IF($B42&gt;AI$2,0,IF(Datos!$C$4=1,IFERROR(MAX(Stock!AI42-Datos!$C$6,0),0),IFERROR(MAX(Datos!$C$6-Stock!AI42,0),0)))</f>
        <v>0</v>
      </c>
      <c r="AJ42">
        <f>IF($B42&gt;AJ$2,0,IF(Datos!$C$4=1,IFERROR(MAX(Stock!AJ42-Datos!$C$6,0),0),IFERROR(MAX(Datos!$C$6-Stock!AJ42,0),0)))</f>
        <v>0</v>
      </c>
      <c r="AK42">
        <f>IF($B42&gt;AK$2,0,IF(Datos!$C$4=1,IFERROR(MAX(Stock!AK42-Datos!$C$6,0),0),IFERROR(MAX(Datos!$C$6-Stock!AK42,0),0)))</f>
        <v>0</v>
      </c>
      <c r="AL42">
        <f>IF($B42&gt;AL$2,0,IF(Datos!$C$4=1,IFERROR(MAX(Stock!AL42-Datos!$C$6,0),0),IFERROR(MAX(Datos!$C$6-Stock!AL42,0),0)))</f>
        <v>0</v>
      </c>
      <c r="AM42">
        <f>IF($B42&gt;AM$2,0,IF(Datos!$C$4=1,IFERROR(MAX(Stock!AM42-Datos!$C$6,0),0),IFERROR(MAX(Datos!$C$6-Stock!AM42,0),0)))</f>
        <v>0</v>
      </c>
      <c r="AN42">
        <f>IF($B42&gt;AN$2,0,IF(Datos!$C$4=1,IFERROR(MAX(Stock!AN42-Datos!$C$6,0),0),IFERROR(MAX(Datos!$C$6-Stock!AN42,0),0)))</f>
        <v>0</v>
      </c>
      <c r="AO42">
        <f>IF($B42&gt;AO$2,0,IF(Datos!$C$4=1,IFERROR(MAX(Stock!AO42-Datos!$C$6,0),0),IFERROR(MAX(Datos!$C$6-Stock!AO42,0),0)))</f>
        <v>0</v>
      </c>
      <c r="AP42">
        <f>IF($B42&gt;AP$2,0,IF(Datos!$C$4=1,IFERROR(MAX(Stock!AP42-Datos!$C$6,0),0),IFERROR(MAX(Datos!$C$6-Stock!AP42,0),0)))</f>
        <v>0</v>
      </c>
      <c r="AQ42">
        <f>IF($B42&gt;AQ$2,0,IF(Datos!$C$4=1,IFERROR(MAX(Stock!AQ42-Datos!$C$6,0),0),IFERROR(MAX(Datos!$C$6-Stock!AQ42,0),0)))</f>
        <v>0</v>
      </c>
      <c r="AR42">
        <f>IF($B42&gt;AR$2,0,IF(Datos!$C$4=1,IFERROR(MAX(Stock!AR42-Datos!$C$6,0),0),IFERROR(MAX(Datos!$C$6-Stock!AR42,0),0)))</f>
        <v>0</v>
      </c>
      <c r="AS42">
        <f>IF($B42&gt;AS$2,0,IF(Datos!$C$4=1,IFERROR(MAX(Stock!AS42-Datos!$C$6,0),0),IFERROR(MAX(Datos!$C$6-Stock!AS42,0),0)))</f>
        <v>0</v>
      </c>
      <c r="AT42">
        <f>IF($B42&gt;AT$2,0,IF(Datos!$C$4=1,IFERROR(MAX(Stock!AT42-Datos!$C$6,0),0),IFERROR(MAX(Datos!$C$6-Stock!AT42,0),0)))</f>
        <v>0</v>
      </c>
      <c r="AU42">
        <f>IF($B42&gt;AU$2,0,IF(Datos!$C$4=1,IFERROR(MAX(Stock!AU42-Datos!$C$6,0),0),IFERROR(MAX(Datos!$C$6-Stock!AU42,0),0)))</f>
        <v>0</v>
      </c>
      <c r="AV42">
        <f>IF($B42&gt;AV$2,0,IF(Datos!$C$4=1,IFERROR(MAX(Stock!AV42-Datos!$C$6,0),0),IFERROR(MAX(Datos!$C$6-Stock!AV42,0),0)))</f>
        <v>0</v>
      </c>
      <c r="AW42">
        <f>IF($B42&gt;AW$2,0,IF(Datos!$C$4=1,IFERROR(MAX(Stock!AW42-Datos!$C$6,0),0),IFERROR(MAX(Datos!$C$6-Stock!AW42,0),0)))</f>
        <v>0</v>
      </c>
      <c r="AX42">
        <f>IF($B42&gt;AX$2,0,IF(Datos!$C$4=1,IFERROR(MAX(Stock!AX42-Datos!$C$6,0),0),IFERROR(MAX(Datos!$C$6-Stock!AX42,0),0)))</f>
        <v>0</v>
      </c>
      <c r="AY42">
        <f>IF($B42&gt;AY$2,0,IF(Datos!$C$4=1,IFERROR(MAX(Stock!AY42-Datos!$C$6,0),0),IFERROR(MAX(Datos!$C$6-Stock!AY42,0),0)))</f>
        <v>0</v>
      </c>
      <c r="AZ42">
        <f>IF($B42&gt;AZ$2,0,IF(Datos!$C$4=1,IFERROR(MAX(Stock!AZ42-Datos!$C$6,0),0),IFERROR(MAX(Datos!$C$6-Stock!AZ42,0),0)))</f>
        <v>0</v>
      </c>
      <c r="BA42">
        <f>IF($B42&gt;BA$2,0,IF(Datos!$C$4=1,IFERROR(MAX(Stock!BA42-Datos!$C$6,0),0),IFERROR(MAX(Datos!$C$6-Stock!BA42,0),0)))</f>
        <v>0</v>
      </c>
    </row>
    <row r="43" spans="2:53" x14ac:dyDescent="0.25">
      <c r="B43">
        <v>40</v>
      </c>
      <c r="D43">
        <f>IF($B43&gt;D$2,0,IF(Datos!$C$4=1,IFERROR(MAX(Stock!D43-Datos!$C$6,0),0),IFERROR(MAX(Datos!$C$6-Stock!D43,0),0)))</f>
        <v>0</v>
      </c>
      <c r="E43">
        <f>IF($B43&gt;E$2,0,IF(Datos!$C$4=1,IFERROR(MAX(Stock!E43-Datos!$C$6,0),0),IFERROR(MAX(Datos!$C$6-Stock!E43,0),0)))</f>
        <v>0</v>
      </c>
      <c r="F43">
        <f>IF($B43&gt;F$2,0,IF(Datos!$C$4=1,IFERROR(MAX(Stock!F43-Datos!$C$6,0),0),IFERROR(MAX(Datos!$C$6-Stock!F43,0),0)))</f>
        <v>0</v>
      </c>
      <c r="G43">
        <f>IF($B43&gt;G$2,0,IF(Datos!$C$4=1,IFERROR(MAX(Stock!G43-Datos!$C$6,0),0),IFERROR(MAX(Datos!$C$6-Stock!G43,0),0)))</f>
        <v>0</v>
      </c>
      <c r="H43">
        <f>IF($B43&gt;H$2,0,IF(Datos!$C$4=1,IFERROR(MAX(Stock!H43-Datos!$C$6,0),0),IFERROR(MAX(Datos!$C$6-Stock!H43,0),0)))</f>
        <v>0</v>
      </c>
      <c r="I43">
        <f>IF($B43&gt;I$2,0,IF(Datos!$C$4=1,IFERROR(MAX(Stock!I43-Datos!$C$6,0),0),IFERROR(MAX(Datos!$C$6-Stock!I43,0),0)))</f>
        <v>0</v>
      </c>
      <c r="J43">
        <f>IF($B43&gt;J$2,0,IF(Datos!$C$4=1,IFERROR(MAX(Stock!J43-Datos!$C$6,0),0),IFERROR(MAX(Datos!$C$6-Stock!J43,0),0)))</f>
        <v>0</v>
      </c>
      <c r="K43">
        <f>IF($B43&gt;K$2,0,IF(Datos!$C$4=1,IFERROR(MAX(Stock!K43-Datos!$C$6,0),0),IFERROR(MAX(Datos!$C$6-Stock!K43,0),0)))</f>
        <v>0</v>
      </c>
      <c r="L43">
        <f>IF($B43&gt;L$2,0,IF(Datos!$C$4=1,IFERROR(MAX(Stock!L43-Datos!$C$6,0),0),IFERROR(MAX(Datos!$C$6-Stock!L43,0),0)))</f>
        <v>0</v>
      </c>
      <c r="M43">
        <f>IF($B43&gt;M$2,0,IF(Datos!$C$4=1,IFERROR(MAX(Stock!M43-Datos!$C$6,0),0),IFERROR(MAX(Datos!$C$6-Stock!M43,0),0)))</f>
        <v>0</v>
      </c>
      <c r="N43">
        <f>IF($B43&gt;N$2,0,IF(Datos!$C$4=1,IFERROR(MAX(Stock!N43-Datos!$C$6,0),0),IFERROR(MAX(Datos!$C$6-Stock!N43,0),0)))</f>
        <v>0</v>
      </c>
      <c r="O43">
        <f>IF($B43&gt;O$2,0,IF(Datos!$C$4=1,IFERROR(MAX(Stock!O43-Datos!$C$6,0),0),IFERROR(MAX(Datos!$C$6-Stock!O43,0),0)))</f>
        <v>0</v>
      </c>
      <c r="P43">
        <f>IF($B43&gt;P$2,0,IF(Datos!$C$4=1,IFERROR(MAX(Stock!P43-Datos!$C$6,0),0),IFERROR(MAX(Datos!$C$6-Stock!P43,0),0)))</f>
        <v>0</v>
      </c>
      <c r="Q43">
        <f>IF($B43&gt;Q$2,0,IF(Datos!$C$4=1,IFERROR(MAX(Stock!Q43-Datos!$C$6,0),0),IFERROR(MAX(Datos!$C$6-Stock!Q43,0),0)))</f>
        <v>0</v>
      </c>
      <c r="R43">
        <f>IF($B43&gt;R$2,0,IF(Datos!$C$4=1,IFERROR(MAX(Stock!R43-Datos!$C$6,0),0),IFERROR(MAX(Datos!$C$6-Stock!R43,0),0)))</f>
        <v>0</v>
      </c>
      <c r="S43">
        <f>IF($B43&gt;S$2,0,IF(Datos!$C$4=1,IFERROR(MAX(Stock!S43-Datos!$C$6,0),0),IFERROR(MAX(Datos!$C$6-Stock!S43,0),0)))</f>
        <v>0</v>
      </c>
      <c r="T43">
        <f>IF($B43&gt;T$2,0,IF(Datos!$C$4=1,IFERROR(MAX(Stock!T43-Datos!$C$6,0),0),IFERROR(MAX(Datos!$C$6-Stock!T43,0),0)))</f>
        <v>0</v>
      </c>
      <c r="U43">
        <f>IF($B43&gt;U$2,0,IF(Datos!$C$4=1,IFERROR(MAX(Stock!U43-Datos!$C$6,0),0),IFERROR(MAX(Datos!$C$6-Stock!U43,0),0)))</f>
        <v>0</v>
      </c>
      <c r="V43">
        <f>IF($B43&gt;V$2,0,IF(Datos!$C$4=1,IFERROR(MAX(Stock!V43-Datos!$C$6,0),0),IFERROR(MAX(Datos!$C$6-Stock!V43,0),0)))</f>
        <v>0</v>
      </c>
      <c r="W43">
        <f>IF($B43&gt;W$2,0,IF(Datos!$C$4=1,IFERROR(MAX(Stock!W43-Datos!$C$6,0),0),IFERROR(MAX(Datos!$C$6-Stock!W43,0),0)))</f>
        <v>0</v>
      </c>
      <c r="X43">
        <f>IF($B43&gt;X$2,0,IF(Datos!$C$4=1,IFERROR(MAX(Stock!X43-Datos!$C$6,0),0),IFERROR(MAX(Datos!$C$6-Stock!X43,0),0)))</f>
        <v>0</v>
      </c>
      <c r="Y43">
        <f>IF($B43&gt;Y$2,0,IF(Datos!$C$4=1,IFERROR(MAX(Stock!Y43-Datos!$C$6,0),0),IFERROR(MAX(Datos!$C$6-Stock!Y43,0),0)))</f>
        <v>0</v>
      </c>
      <c r="Z43">
        <f>IF($B43&gt;Z$2,0,IF(Datos!$C$4=1,IFERROR(MAX(Stock!Z43-Datos!$C$6,0),0),IFERROR(MAX(Datos!$C$6-Stock!Z43,0),0)))</f>
        <v>0</v>
      </c>
      <c r="AA43">
        <f>IF($B43&gt;AA$2,0,IF(Datos!$C$4=1,IFERROR(MAX(Stock!AA43-Datos!$C$6,0),0),IFERROR(MAX(Datos!$C$6-Stock!AA43,0),0)))</f>
        <v>0</v>
      </c>
      <c r="AB43">
        <f>IF($B43&gt;AB$2,0,IF(Datos!$C$4=1,IFERROR(MAX(Stock!AB43-Datos!$C$6,0),0),IFERROR(MAX(Datos!$C$6-Stock!AB43,0),0)))</f>
        <v>0</v>
      </c>
      <c r="AC43">
        <f>IF($B43&gt;AC$2,0,IF(Datos!$C$4=1,IFERROR(MAX(Stock!AC43-Datos!$C$6,0),0),IFERROR(MAX(Datos!$C$6-Stock!AC43,0),0)))</f>
        <v>0</v>
      </c>
      <c r="AD43">
        <f>IF($B43&gt;AD$2,0,IF(Datos!$C$4=1,IFERROR(MAX(Stock!AD43-Datos!$C$6,0),0),IFERROR(MAX(Datos!$C$6-Stock!AD43,0),0)))</f>
        <v>0</v>
      </c>
      <c r="AE43">
        <f>IF($B43&gt;AE$2,0,IF(Datos!$C$4=1,IFERROR(MAX(Stock!AE43-Datos!$C$6,0),0),IFERROR(MAX(Datos!$C$6-Stock!AE43,0),0)))</f>
        <v>0</v>
      </c>
      <c r="AF43">
        <f>IF($B43&gt;AF$2,0,IF(Datos!$C$4=1,IFERROR(MAX(Stock!AF43-Datos!$C$6,0),0),IFERROR(MAX(Datos!$C$6-Stock!AF43,0),0)))</f>
        <v>0</v>
      </c>
      <c r="AG43">
        <f>IF($B43&gt;AG$2,0,IF(Datos!$C$4=1,IFERROR(MAX(Stock!AG43-Datos!$C$6,0),0),IFERROR(MAX(Datos!$C$6-Stock!AG43,0),0)))</f>
        <v>0</v>
      </c>
      <c r="AH43">
        <f>IF($B43&gt;AH$2,0,IF(Datos!$C$4=1,IFERROR(MAX(Stock!AH43-Datos!$C$6,0),0),IFERROR(MAX(Datos!$C$6-Stock!AH43,0),0)))</f>
        <v>0</v>
      </c>
      <c r="AI43">
        <f>IF($B43&gt;AI$2,0,IF(Datos!$C$4=1,IFERROR(MAX(Stock!AI43-Datos!$C$6,0),0),IFERROR(MAX(Datos!$C$6-Stock!AI43,0),0)))</f>
        <v>0</v>
      </c>
      <c r="AJ43">
        <f>IF($B43&gt;AJ$2,0,IF(Datos!$C$4=1,IFERROR(MAX(Stock!AJ43-Datos!$C$6,0),0),IFERROR(MAX(Datos!$C$6-Stock!AJ43,0),0)))</f>
        <v>0</v>
      </c>
      <c r="AK43">
        <f>IF($B43&gt;AK$2,0,IF(Datos!$C$4=1,IFERROR(MAX(Stock!AK43-Datos!$C$6,0),0),IFERROR(MAX(Datos!$C$6-Stock!AK43,0),0)))</f>
        <v>0</v>
      </c>
      <c r="AL43">
        <f>IF($B43&gt;AL$2,0,IF(Datos!$C$4=1,IFERROR(MAX(Stock!AL43-Datos!$C$6,0),0),IFERROR(MAX(Datos!$C$6-Stock!AL43,0),0)))</f>
        <v>0</v>
      </c>
      <c r="AM43">
        <f>IF($B43&gt;AM$2,0,IF(Datos!$C$4=1,IFERROR(MAX(Stock!AM43-Datos!$C$6,0),0),IFERROR(MAX(Datos!$C$6-Stock!AM43,0),0)))</f>
        <v>0</v>
      </c>
      <c r="AN43">
        <f>IF($B43&gt;AN$2,0,IF(Datos!$C$4=1,IFERROR(MAX(Stock!AN43-Datos!$C$6,0),0),IFERROR(MAX(Datos!$C$6-Stock!AN43,0),0)))</f>
        <v>0</v>
      </c>
      <c r="AO43">
        <f>IF($B43&gt;AO$2,0,IF(Datos!$C$4=1,IFERROR(MAX(Stock!AO43-Datos!$C$6,0),0),IFERROR(MAX(Datos!$C$6-Stock!AO43,0),0)))</f>
        <v>0</v>
      </c>
      <c r="AP43">
        <f>IF($B43&gt;AP$2,0,IF(Datos!$C$4=1,IFERROR(MAX(Stock!AP43-Datos!$C$6,0),0),IFERROR(MAX(Datos!$C$6-Stock!AP43,0),0)))</f>
        <v>0</v>
      </c>
      <c r="AQ43">
        <f>IF($B43&gt;AQ$2,0,IF(Datos!$C$4=1,IFERROR(MAX(Stock!AQ43-Datos!$C$6,0),0),IFERROR(MAX(Datos!$C$6-Stock!AQ43,0),0)))</f>
        <v>0</v>
      </c>
      <c r="AR43">
        <f>IF($B43&gt;AR$2,0,IF(Datos!$C$4=1,IFERROR(MAX(Stock!AR43-Datos!$C$6,0),0),IFERROR(MAX(Datos!$C$6-Stock!AR43,0),0)))</f>
        <v>0</v>
      </c>
      <c r="AS43">
        <f>IF($B43&gt;AS$2,0,IF(Datos!$C$4=1,IFERROR(MAX(Stock!AS43-Datos!$C$6,0),0),IFERROR(MAX(Datos!$C$6-Stock!AS43,0),0)))</f>
        <v>0</v>
      </c>
      <c r="AT43">
        <f>IF($B43&gt;AT$2,0,IF(Datos!$C$4=1,IFERROR(MAX(Stock!AT43-Datos!$C$6,0),0),IFERROR(MAX(Datos!$C$6-Stock!AT43,0),0)))</f>
        <v>0</v>
      </c>
      <c r="AU43">
        <f>IF($B43&gt;AU$2,0,IF(Datos!$C$4=1,IFERROR(MAX(Stock!AU43-Datos!$C$6,0),0),IFERROR(MAX(Datos!$C$6-Stock!AU43,0),0)))</f>
        <v>0</v>
      </c>
      <c r="AV43">
        <f>IF($B43&gt;AV$2,0,IF(Datos!$C$4=1,IFERROR(MAX(Stock!AV43-Datos!$C$6,0),0),IFERROR(MAX(Datos!$C$6-Stock!AV43,0),0)))</f>
        <v>0</v>
      </c>
      <c r="AW43">
        <f>IF($B43&gt;AW$2,0,IF(Datos!$C$4=1,IFERROR(MAX(Stock!AW43-Datos!$C$6,0),0),IFERROR(MAX(Datos!$C$6-Stock!AW43,0),0)))</f>
        <v>0</v>
      </c>
      <c r="AX43">
        <f>IF($B43&gt;AX$2,0,IF(Datos!$C$4=1,IFERROR(MAX(Stock!AX43-Datos!$C$6,0),0),IFERROR(MAX(Datos!$C$6-Stock!AX43,0),0)))</f>
        <v>0</v>
      </c>
      <c r="AY43">
        <f>IF($B43&gt;AY$2,0,IF(Datos!$C$4=1,IFERROR(MAX(Stock!AY43-Datos!$C$6,0),0),IFERROR(MAX(Datos!$C$6-Stock!AY43,0),0)))</f>
        <v>0</v>
      </c>
      <c r="AZ43">
        <f>IF($B43&gt;AZ$2,0,IF(Datos!$C$4=1,IFERROR(MAX(Stock!AZ43-Datos!$C$6,0),0),IFERROR(MAX(Datos!$C$6-Stock!AZ43,0),0)))</f>
        <v>0</v>
      </c>
      <c r="BA43">
        <f>IF($B43&gt;BA$2,0,IF(Datos!$C$4=1,IFERROR(MAX(Stock!BA43-Datos!$C$6,0),0),IFERROR(MAX(Datos!$C$6-Stock!BA43,0),0)))</f>
        <v>0</v>
      </c>
    </row>
    <row r="44" spans="2:53" x14ac:dyDescent="0.25">
      <c r="B44">
        <v>41</v>
      </c>
      <c r="D44">
        <f>IF($B44&gt;D$2,0,IF(Datos!$C$4=1,IFERROR(MAX(Stock!D44-Datos!$C$6,0),0),IFERROR(MAX(Datos!$C$6-Stock!D44,0),0)))</f>
        <v>0</v>
      </c>
      <c r="E44">
        <f>IF($B44&gt;E$2,0,IF(Datos!$C$4=1,IFERROR(MAX(Stock!E44-Datos!$C$6,0),0),IFERROR(MAX(Datos!$C$6-Stock!E44,0),0)))</f>
        <v>0</v>
      </c>
      <c r="F44">
        <f>IF($B44&gt;F$2,0,IF(Datos!$C$4=1,IFERROR(MAX(Stock!F44-Datos!$C$6,0),0),IFERROR(MAX(Datos!$C$6-Stock!F44,0),0)))</f>
        <v>0</v>
      </c>
      <c r="G44">
        <f>IF($B44&gt;G$2,0,IF(Datos!$C$4=1,IFERROR(MAX(Stock!G44-Datos!$C$6,0),0),IFERROR(MAX(Datos!$C$6-Stock!G44,0),0)))</f>
        <v>0</v>
      </c>
      <c r="H44">
        <f>IF($B44&gt;H$2,0,IF(Datos!$C$4=1,IFERROR(MAX(Stock!H44-Datos!$C$6,0),0),IFERROR(MAX(Datos!$C$6-Stock!H44,0),0)))</f>
        <v>0</v>
      </c>
      <c r="I44">
        <f>IF($B44&gt;I$2,0,IF(Datos!$C$4=1,IFERROR(MAX(Stock!I44-Datos!$C$6,0),0),IFERROR(MAX(Datos!$C$6-Stock!I44,0),0)))</f>
        <v>0</v>
      </c>
      <c r="J44">
        <f>IF($B44&gt;J$2,0,IF(Datos!$C$4=1,IFERROR(MAX(Stock!J44-Datos!$C$6,0),0),IFERROR(MAX(Datos!$C$6-Stock!J44,0),0)))</f>
        <v>0</v>
      </c>
      <c r="K44">
        <f>IF($B44&gt;K$2,0,IF(Datos!$C$4=1,IFERROR(MAX(Stock!K44-Datos!$C$6,0),0),IFERROR(MAX(Datos!$C$6-Stock!K44,0),0)))</f>
        <v>0</v>
      </c>
      <c r="L44">
        <f>IF($B44&gt;L$2,0,IF(Datos!$C$4=1,IFERROR(MAX(Stock!L44-Datos!$C$6,0),0),IFERROR(MAX(Datos!$C$6-Stock!L44,0),0)))</f>
        <v>0</v>
      </c>
      <c r="M44">
        <f>IF($B44&gt;M$2,0,IF(Datos!$C$4=1,IFERROR(MAX(Stock!M44-Datos!$C$6,0),0),IFERROR(MAX(Datos!$C$6-Stock!M44,0),0)))</f>
        <v>0</v>
      </c>
      <c r="N44">
        <f>IF($B44&gt;N$2,0,IF(Datos!$C$4=1,IFERROR(MAX(Stock!N44-Datos!$C$6,0),0),IFERROR(MAX(Datos!$C$6-Stock!N44,0),0)))</f>
        <v>0</v>
      </c>
      <c r="O44">
        <f>IF($B44&gt;O$2,0,IF(Datos!$C$4=1,IFERROR(MAX(Stock!O44-Datos!$C$6,0),0),IFERROR(MAX(Datos!$C$6-Stock!O44,0),0)))</f>
        <v>0</v>
      </c>
      <c r="P44">
        <f>IF($B44&gt;P$2,0,IF(Datos!$C$4=1,IFERROR(MAX(Stock!P44-Datos!$C$6,0),0),IFERROR(MAX(Datos!$C$6-Stock!P44,0),0)))</f>
        <v>0</v>
      </c>
      <c r="Q44">
        <f>IF($B44&gt;Q$2,0,IF(Datos!$C$4=1,IFERROR(MAX(Stock!Q44-Datos!$C$6,0),0),IFERROR(MAX(Datos!$C$6-Stock!Q44,0),0)))</f>
        <v>0</v>
      </c>
      <c r="R44">
        <f>IF($B44&gt;R$2,0,IF(Datos!$C$4=1,IFERROR(MAX(Stock!R44-Datos!$C$6,0),0),IFERROR(MAX(Datos!$C$6-Stock!R44,0),0)))</f>
        <v>0</v>
      </c>
      <c r="S44">
        <f>IF($B44&gt;S$2,0,IF(Datos!$C$4=1,IFERROR(MAX(Stock!S44-Datos!$C$6,0),0),IFERROR(MAX(Datos!$C$6-Stock!S44,0),0)))</f>
        <v>0</v>
      </c>
      <c r="T44">
        <f>IF($B44&gt;T$2,0,IF(Datos!$C$4=1,IFERROR(MAX(Stock!T44-Datos!$C$6,0),0),IFERROR(MAX(Datos!$C$6-Stock!T44,0),0)))</f>
        <v>0</v>
      </c>
      <c r="U44">
        <f>IF($B44&gt;U$2,0,IF(Datos!$C$4=1,IFERROR(MAX(Stock!U44-Datos!$C$6,0),0),IFERROR(MAX(Datos!$C$6-Stock!U44,0),0)))</f>
        <v>0</v>
      </c>
      <c r="V44">
        <f>IF($B44&gt;V$2,0,IF(Datos!$C$4=1,IFERROR(MAX(Stock!V44-Datos!$C$6,0),0),IFERROR(MAX(Datos!$C$6-Stock!V44,0),0)))</f>
        <v>0</v>
      </c>
      <c r="W44">
        <f>IF($B44&gt;W$2,0,IF(Datos!$C$4=1,IFERROR(MAX(Stock!W44-Datos!$C$6,0),0),IFERROR(MAX(Datos!$C$6-Stock!W44,0),0)))</f>
        <v>0</v>
      </c>
      <c r="X44">
        <f>IF($B44&gt;X$2,0,IF(Datos!$C$4=1,IFERROR(MAX(Stock!X44-Datos!$C$6,0),0),IFERROR(MAX(Datos!$C$6-Stock!X44,0),0)))</f>
        <v>0</v>
      </c>
      <c r="Y44">
        <f>IF($B44&gt;Y$2,0,IF(Datos!$C$4=1,IFERROR(MAX(Stock!Y44-Datos!$C$6,0),0),IFERROR(MAX(Datos!$C$6-Stock!Y44,0),0)))</f>
        <v>0</v>
      </c>
      <c r="Z44">
        <f>IF($B44&gt;Z$2,0,IF(Datos!$C$4=1,IFERROR(MAX(Stock!Z44-Datos!$C$6,0),0),IFERROR(MAX(Datos!$C$6-Stock!Z44,0),0)))</f>
        <v>0</v>
      </c>
      <c r="AA44">
        <f>IF($B44&gt;AA$2,0,IF(Datos!$C$4=1,IFERROR(MAX(Stock!AA44-Datos!$C$6,0),0),IFERROR(MAX(Datos!$C$6-Stock!AA44,0),0)))</f>
        <v>0</v>
      </c>
      <c r="AB44">
        <f>IF($B44&gt;AB$2,0,IF(Datos!$C$4=1,IFERROR(MAX(Stock!AB44-Datos!$C$6,0),0),IFERROR(MAX(Datos!$C$6-Stock!AB44,0),0)))</f>
        <v>0</v>
      </c>
      <c r="AC44">
        <f>IF($B44&gt;AC$2,0,IF(Datos!$C$4=1,IFERROR(MAX(Stock!AC44-Datos!$C$6,0),0),IFERROR(MAX(Datos!$C$6-Stock!AC44,0),0)))</f>
        <v>0</v>
      </c>
      <c r="AD44">
        <f>IF($B44&gt;AD$2,0,IF(Datos!$C$4=1,IFERROR(MAX(Stock!AD44-Datos!$C$6,0),0),IFERROR(MAX(Datos!$C$6-Stock!AD44,0),0)))</f>
        <v>0</v>
      </c>
      <c r="AE44">
        <f>IF($B44&gt;AE$2,0,IF(Datos!$C$4=1,IFERROR(MAX(Stock!AE44-Datos!$C$6,0),0),IFERROR(MAX(Datos!$C$6-Stock!AE44,0),0)))</f>
        <v>0</v>
      </c>
      <c r="AF44">
        <f>IF($B44&gt;AF$2,0,IF(Datos!$C$4=1,IFERROR(MAX(Stock!AF44-Datos!$C$6,0),0),IFERROR(MAX(Datos!$C$6-Stock!AF44,0),0)))</f>
        <v>0</v>
      </c>
      <c r="AG44">
        <f>IF($B44&gt;AG$2,0,IF(Datos!$C$4=1,IFERROR(MAX(Stock!AG44-Datos!$C$6,0),0),IFERROR(MAX(Datos!$C$6-Stock!AG44,0),0)))</f>
        <v>0</v>
      </c>
      <c r="AH44">
        <f>IF($B44&gt;AH$2,0,IF(Datos!$C$4=1,IFERROR(MAX(Stock!AH44-Datos!$C$6,0),0),IFERROR(MAX(Datos!$C$6-Stock!AH44,0),0)))</f>
        <v>0</v>
      </c>
      <c r="AI44">
        <f>IF($B44&gt;AI$2,0,IF(Datos!$C$4=1,IFERROR(MAX(Stock!AI44-Datos!$C$6,0),0),IFERROR(MAX(Datos!$C$6-Stock!AI44,0),0)))</f>
        <v>0</v>
      </c>
      <c r="AJ44">
        <f>IF($B44&gt;AJ$2,0,IF(Datos!$C$4=1,IFERROR(MAX(Stock!AJ44-Datos!$C$6,0),0),IFERROR(MAX(Datos!$C$6-Stock!AJ44,0),0)))</f>
        <v>0</v>
      </c>
      <c r="AK44">
        <f>IF($B44&gt;AK$2,0,IF(Datos!$C$4=1,IFERROR(MAX(Stock!AK44-Datos!$C$6,0),0),IFERROR(MAX(Datos!$C$6-Stock!AK44,0),0)))</f>
        <v>0</v>
      </c>
      <c r="AL44">
        <f>IF($B44&gt;AL$2,0,IF(Datos!$C$4=1,IFERROR(MAX(Stock!AL44-Datos!$C$6,0),0),IFERROR(MAX(Datos!$C$6-Stock!AL44,0),0)))</f>
        <v>0</v>
      </c>
      <c r="AM44">
        <f>IF($B44&gt;AM$2,0,IF(Datos!$C$4=1,IFERROR(MAX(Stock!AM44-Datos!$C$6,0),0),IFERROR(MAX(Datos!$C$6-Stock!AM44,0),0)))</f>
        <v>0</v>
      </c>
      <c r="AN44">
        <f>IF($B44&gt;AN$2,0,IF(Datos!$C$4=1,IFERROR(MAX(Stock!AN44-Datos!$C$6,0),0),IFERROR(MAX(Datos!$C$6-Stock!AN44,0),0)))</f>
        <v>0</v>
      </c>
      <c r="AO44">
        <f>IF($B44&gt;AO$2,0,IF(Datos!$C$4=1,IFERROR(MAX(Stock!AO44-Datos!$C$6,0),0),IFERROR(MAX(Datos!$C$6-Stock!AO44,0),0)))</f>
        <v>0</v>
      </c>
      <c r="AP44">
        <f>IF($B44&gt;AP$2,0,IF(Datos!$C$4=1,IFERROR(MAX(Stock!AP44-Datos!$C$6,0),0),IFERROR(MAX(Datos!$C$6-Stock!AP44,0),0)))</f>
        <v>0</v>
      </c>
      <c r="AQ44">
        <f>IF($B44&gt;AQ$2,0,IF(Datos!$C$4=1,IFERROR(MAX(Stock!AQ44-Datos!$C$6,0),0),IFERROR(MAX(Datos!$C$6-Stock!AQ44,0),0)))</f>
        <v>0</v>
      </c>
      <c r="AR44">
        <f>IF($B44&gt;AR$2,0,IF(Datos!$C$4=1,IFERROR(MAX(Stock!AR44-Datos!$C$6,0),0),IFERROR(MAX(Datos!$C$6-Stock!AR44,0),0)))</f>
        <v>0</v>
      </c>
      <c r="AS44">
        <f>IF($B44&gt;AS$2,0,IF(Datos!$C$4=1,IFERROR(MAX(Stock!AS44-Datos!$C$6,0),0),IFERROR(MAX(Datos!$C$6-Stock!AS44,0),0)))</f>
        <v>0</v>
      </c>
      <c r="AT44">
        <f>IF($B44&gt;AT$2,0,IF(Datos!$C$4=1,IFERROR(MAX(Stock!AT44-Datos!$C$6,0),0),IFERROR(MAX(Datos!$C$6-Stock!AT44,0),0)))</f>
        <v>0</v>
      </c>
      <c r="AU44">
        <f>IF($B44&gt;AU$2,0,IF(Datos!$C$4=1,IFERROR(MAX(Stock!AU44-Datos!$C$6,0),0),IFERROR(MAX(Datos!$C$6-Stock!AU44,0),0)))</f>
        <v>0</v>
      </c>
      <c r="AV44">
        <f>IF($B44&gt;AV$2,0,IF(Datos!$C$4=1,IFERROR(MAX(Stock!AV44-Datos!$C$6,0),0),IFERROR(MAX(Datos!$C$6-Stock!AV44,0),0)))</f>
        <v>0</v>
      </c>
      <c r="AW44">
        <f>IF($B44&gt;AW$2,0,IF(Datos!$C$4=1,IFERROR(MAX(Stock!AW44-Datos!$C$6,0),0),IFERROR(MAX(Datos!$C$6-Stock!AW44,0),0)))</f>
        <v>0</v>
      </c>
      <c r="AX44">
        <f>IF($B44&gt;AX$2,0,IF(Datos!$C$4=1,IFERROR(MAX(Stock!AX44-Datos!$C$6,0),0),IFERROR(MAX(Datos!$C$6-Stock!AX44,0),0)))</f>
        <v>0</v>
      </c>
      <c r="AY44">
        <f>IF($B44&gt;AY$2,0,IF(Datos!$C$4=1,IFERROR(MAX(Stock!AY44-Datos!$C$6,0),0),IFERROR(MAX(Datos!$C$6-Stock!AY44,0),0)))</f>
        <v>0</v>
      </c>
      <c r="AZ44">
        <f>IF($B44&gt;AZ$2,0,IF(Datos!$C$4=1,IFERROR(MAX(Stock!AZ44-Datos!$C$6,0),0),IFERROR(MAX(Datos!$C$6-Stock!AZ44,0),0)))</f>
        <v>0</v>
      </c>
      <c r="BA44">
        <f>IF($B44&gt;BA$2,0,IF(Datos!$C$4=1,IFERROR(MAX(Stock!BA44-Datos!$C$6,0),0),IFERROR(MAX(Datos!$C$6-Stock!BA44,0),0)))</f>
        <v>0</v>
      </c>
    </row>
    <row r="45" spans="2:53" x14ac:dyDescent="0.25">
      <c r="B45">
        <v>42</v>
      </c>
      <c r="D45">
        <f>IF($B45&gt;D$2,0,IF(Datos!$C$4=1,IFERROR(MAX(Stock!D45-Datos!$C$6,0),0),IFERROR(MAX(Datos!$C$6-Stock!D45,0),0)))</f>
        <v>0</v>
      </c>
      <c r="E45">
        <f>IF($B45&gt;E$2,0,IF(Datos!$C$4=1,IFERROR(MAX(Stock!E45-Datos!$C$6,0),0),IFERROR(MAX(Datos!$C$6-Stock!E45,0),0)))</f>
        <v>0</v>
      </c>
      <c r="F45">
        <f>IF($B45&gt;F$2,0,IF(Datos!$C$4=1,IFERROR(MAX(Stock!F45-Datos!$C$6,0),0),IFERROR(MAX(Datos!$C$6-Stock!F45,0),0)))</f>
        <v>0</v>
      </c>
      <c r="G45">
        <f>IF($B45&gt;G$2,0,IF(Datos!$C$4=1,IFERROR(MAX(Stock!G45-Datos!$C$6,0),0),IFERROR(MAX(Datos!$C$6-Stock!G45,0),0)))</f>
        <v>0</v>
      </c>
      <c r="H45">
        <f>IF($B45&gt;H$2,0,IF(Datos!$C$4=1,IFERROR(MAX(Stock!H45-Datos!$C$6,0),0),IFERROR(MAX(Datos!$C$6-Stock!H45,0),0)))</f>
        <v>0</v>
      </c>
      <c r="I45">
        <f>IF($B45&gt;I$2,0,IF(Datos!$C$4=1,IFERROR(MAX(Stock!I45-Datos!$C$6,0),0),IFERROR(MAX(Datos!$C$6-Stock!I45,0),0)))</f>
        <v>0</v>
      </c>
      <c r="J45">
        <f>IF($B45&gt;J$2,0,IF(Datos!$C$4=1,IFERROR(MAX(Stock!J45-Datos!$C$6,0),0),IFERROR(MAX(Datos!$C$6-Stock!J45,0),0)))</f>
        <v>0</v>
      </c>
      <c r="K45">
        <f>IF($B45&gt;K$2,0,IF(Datos!$C$4=1,IFERROR(MAX(Stock!K45-Datos!$C$6,0),0),IFERROR(MAX(Datos!$C$6-Stock!K45,0),0)))</f>
        <v>0</v>
      </c>
      <c r="L45">
        <f>IF($B45&gt;L$2,0,IF(Datos!$C$4=1,IFERROR(MAX(Stock!L45-Datos!$C$6,0),0),IFERROR(MAX(Datos!$C$6-Stock!L45,0),0)))</f>
        <v>0</v>
      </c>
      <c r="M45">
        <f>IF($B45&gt;M$2,0,IF(Datos!$C$4=1,IFERROR(MAX(Stock!M45-Datos!$C$6,0),0),IFERROR(MAX(Datos!$C$6-Stock!M45,0),0)))</f>
        <v>0</v>
      </c>
      <c r="N45">
        <f>IF($B45&gt;N$2,0,IF(Datos!$C$4=1,IFERROR(MAX(Stock!N45-Datos!$C$6,0),0),IFERROR(MAX(Datos!$C$6-Stock!N45,0),0)))</f>
        <v>0</v>
      </c>
      <c r="O45">
        <f>IF($B45&gt;O$2,0,IF(Datos!$C$4=1,IFERROR(MAX(Stock!O45-Datos!$C$6,0),0),IFERROR(MAX(Datos!$C$6-Stock!O45,0),0)))</f>
        <v>0</v>
      </c>
      <c r="P45">
        <f>IF($B45&gt;P$2,0,IF(Datos!$C$4=1,IFERROR(MAX(Stock!P45-Datos!$C$6,0),0),IFERROR(MAX(Datos!$C$6-Stock!P45,0),0)))</f>
        <v>0</v>
      </c>
      <c r="Q45">
        <f>IF($B45&gt;Q$2,0,IF(Datos!$C$4=1,IFERROR(MAX(Stock!Q45-Datos!$C$6,0),0),IFERROR(MAX(Datos!$C$6-Stock!Q45,0),0)))</f>
        <v>0</v>
      </c>
      <c r="R45">
        <f>IF($B45&gt;R$2,0,IF(Datos!$C$4=1,IFERROR(MAX(Stock!R45-Datos!$C$6,0),0),IFERROR(MAX(Datos!$C$6-Stock!R45,0),0)))</f>
        <v>0</v>
      </c>
      <c r="S45">
        <f>IF($B45&gt;S$2,0,IF(Datos!$C$4=1,IFERROR(MAX(Stock!S45-Datos!$C$6,0),0),IFERROR(MAX(Datos!$C$6-Stock!S45,0),0)))</f>
        <v>0</v>
      </c>
      <c r="T45">
        <f>IF($B45&gt;T$2,0,IF(Datos!$C$4=1,IFERROR(MAX(Stock!T45-Datos!$C$6,0),0),IFERROR(MAX(Datos!$C$6-Stock!T45,0),0)))</f>
        <v>0</v>
      </c>
      <c r="U45">
        <f>IF($B45&gt;U$2,0,IF(Datos!$C$4=1,IFERROR(MAX(Stock!U45-Datos!$C$6,0),0),IFERROR(MAX(Datos!$C$6-Stock!U45,0),0)))</f>
        <v>0</v>
      </c>
      <c r="V45">
        <f>IF($B45&gt;V$2,0,IF(Datos!$C$4=1,IFERROR(MAX(Stock!V45-Datos!$C$6,0),0),IFERROR(MAX(Datos!$C$6-Stock!V45,0),0)))</f>
        <v>0</v>
      </c>
      <c r="W45">
        <f>IF($B45&gt;W$2,0,IF(Datos!$C$4=1,IFERROR(MAX(Stock!W45-Datos!$C$6,0),0),IFERROR(MAX(Datos!$C$6-Stock!W45,0),0)))</f>
        <v>0</v>
      </c>
      <c r="X45">
        <f>IF($B45&gt;X$2,0,IF(Datos!$C$4=1,IFERROR(MAX(Stock!X45-Datos!$C$6,0),0),IFERROR(MAX(Datos!$C$6-Stock!X45,0),0)))</f>
        <v>0</v>
      </c>
      <c r="Y45">
        <f>IF($B45&gt;Y$2,0,IF(Datos!$C$4=1,IFERROR(MAX(Stock!Y45-Datos!$C$6,0),0),IFERROR(MAX(Datos!$C$6-Stock!Y45,0),0)))</f>
        <v>0</v>
      </c>
      <c r="Z45">
        <f>IF($B45&gt;Z$2,0,IF(Datos!$C$4=1,IFERROR(MAX(Stock!Z45-Datos!$C$6,0),0),IFERROR(MAX(Datos!$C$6-Stock!Z45,0),0)))</f>
        <v>0</v>
      </c>
      <c r="AA45">
        <f>IF($B45&gt;AA$2,0,IF(Datos!$C$4=1,IFERROR(MAX(Stock!AA45-Datos!$C$6,0),0),IFERROR(MAX(Datos!$C$6-Stock!AA45,0),0)))</f>
        <v>0</v>
      </c>
      <c r="AB45">
        <f>IF($B45&gt;AB$2,0,IF(Datos!$C$4=1,IFERROR(MAX(Stock!AB45-Datos!$C$6,0),0),IFERROR(MAX(Datos!$C$6-Stock!AB45,0),0)))</f>
        <v>0</v>
      </c>
      <c r="AC45">
        <f>IF($B45&gt;AC$2,0,IF(Datos!$C$4=1,IFERROR(MAX(Stock!AC45-Datos!$C$6,0),0),IFERROR(MAX(Datos!$C$6-Stock!AC45,0),0)))</f>
        <v>0</v>
      </c>
      <c r="AD45">
        <f>IF($B45&gt;AD$2,0,IF(Datos!$C$4=1,IFERROR(MAX(Stock!AD45-Datos!$C$6,0),0),IFERROR(MAX(Datos!$C$6-Stock!AD45,0),0)))</f>
        <v>0</v>
      </c>
      <c r="AE45">
        <f>IF($B45&gt;AE$2,0,IF(Datos!$C$4=1,IFERROR(MAX(Stock!AE45-Datos!$C$6,0),0),IFERROR(MAX(Datos!$C$6-Stock!AE45,0),0)))</f>
        <v>0</v>
      </c>
      <c r="AF45">
        <f>IF($B45&gt;AF$2,0,IF(Datos!$C$4=1,IFERROR(MAX(Stock!AF45-Datos!$C$6,0),0),IFERROR(MAX(Datos!$C$6-Stock!AF45,0),0)))</f>
        <v>0</v>
      </c>
      <c r="AG45">
        <f>IF($B45&gt;AG$2,0,IF(Datos!$C$4=1,IFERROR(MAX(Stock!AG45-Datos!$C$6,0),0),IFERROR(MAX(Datos!$C$6-Stock!AG45,0),0)))</f>
        <v>0</v>
      </c>
      <c r="AH45">
        <f>IF($B45&gt;AH$2,0,IF(Datos!$C$4=1,IFERROR(MAX(Stock!AH45-Datos!$C$6,0),0),IFERROR(MAX(Datos!$C$6-Stock!AH45,0),0)))</f>
        <v>0</v>
      </c>
      <c r="AI45">
        <f>IF($B45&gt;AI$2,0,IF(Datos!$C$4=1,IFERROR(MAX(Stock!AI45-Datos!$C$6,0),0),IFERROR(MAX(Datos!$C$6-Stock!AI45,0),0)))</f>
        <v>0</v>
      </c>
      <c r="AJ45">
        <f>IF($B45&gt;AJ$2,0,IF(Datos!$C$4=1,IFERROR(MAX(Stock!AJ45-Datos!$C$6,0),0),IFERROR(MAX(Datos!$C$6-Stock!AJ45,0),0)))</f>
        <v>0</v>
      </c>
      <c r="AK45">
        <f>IF($B45&gt;AK$2,0,IF(Datos!$C$4=1,IFERROR(MAX(Stock!AK45-Datos!$C$6,0),0),IFERROR(MAX(Datos!$C$6-Stock!AK45,0),0)))</f>
        <v>0</v>
      </c>
      <c r="AL45">
        <f>IF($B45&gt;AL$2,0,IF(Datos!$C$4=1,IFERROR(MAX(Stock!AL45-Datos!$C$6,0),0),IFERROR(MAX(Datos!$C$6-Stock!AL45,0),0)))</f>
        <v>0</v>
      </c>
      <c r="AM45">
        <f>IF($B45&gt;AM$2,0,IF(Datos!$C$4=1,IFERROR(MAX(Stock!AM45-Datos!$C$6,0),0),IFERROR(MAX(Datos!$C$6-Stock!AM45,0),0)))</f>
        <v>0</v>
      </c>
      <c r="AN45">
        <f>IF($B45&gt;AN$2,0,IF(Datos!$C$4=1,IFERROR(MAX(Stock!AN45-Datos!$C$6,0),0),IFERROR(MAX(Datos!$C$6-Stock!AN45,0),0)))</f>
        <v>0</v>
      </c>
      <c r="AO45">
        <f>IF($B45&gt;AO$2,0,IF(Datos!$C$4=1,IFERROR(MAX(Stock!AO45-Datos!$C$6,0),0),IFERROR(MAX(Datos!$C$6-Stock!AO45,0),0)))</f>
        <v>0</v>
      </c>
      <c r="AP45">
        <f>IF($B45&gt;AP$2,0,IF(Datos!$C$4=1,IFERROR(MAX(Stock!AP45-Datos!$C$6,0),0),IFERROR(MAX(Datos!$C$6-Stock!AP45,0),0)))</f>
        <v>0</v>
      </c>
      <c r="AQ45">
        <f>IF($B45&gt;AQ$2,0,IF(Datos!$C$4=1,IFERROR(MAX(Stock!AQ45-Datos!$C$6,0),0),IFERROR(MAX(Datos!$C$6-Stock!AQ45,0),0)))</f>
        <v>0</v>
      </c>
      <c r="AR45">
        <f>IF($B45&gt;AR$2,0,IF(Datos!$C$4=1,IFERROR(MAX(Stock!AR45-Datos!$C$6,0),0),IFERROR(MAX(Datos!$C$6-Stock!AR45,0),0)))</f>
        <v>0</v>
      </c>
      <c r="AS45">
        <f>IF($B45&gt;AS$2,0,IF(Datos!$C$4=1,IFERROR(MAX(Stock!AS45-Datos!$C$6,0),0),IFERROR(MAX(Datos!$C$6-Stock!AS45,0),0)))</f>
        <v>0</v>
      </c>
      <c r="AT45">
        <f>IF($B45&gt;AT$2,0,IF(Datos!$C$4=1,IFERROR(MAX(Stock!AT45-Datos!$C$6,0),0),IFERROR(MAX(Datos!$C$6-Stock!AT45,0),0)))</f>
        <v>0</v>
      </c>
      <c r="AU45">
        <f>IF($B45&gt;AU$2,0,IF(Datos!$C$4=1,IFERROR(MAX(Stock!AU45-Datos!$C$6,0),0),IFERROR(MAX(Datos!$C$6-Stock!AU45,0),0)))</f>
        <v>0</v>
      </c>
      <c r="AV45">
        <f>IF($B45&gt;AV$2,0,IF(Datos!$C$4=1,IFERROR(MAX(Stock!AV45-Datos!$C$6,0),0),IFERROR(MAX(Datos!$C$6-Stock!AV45,0),0)))</f>
        <v>0</v>
      </c>
      <c r="AW45">
        <f>IF($B45&gt;AW$2,0,IF(Datos!$C$4=1,IFERROR(MAX(Stock!AW45-Datos!$C$6,0),0),IFERROR(MAX(Datos!$C$6-Stock!AW45,0),0)))</f>
        <v>0</v>
      </c>
      <c r="AX45">
        <f>IF($B45&gt;AX$2,0,IF(Datos!$C$4=1,IFERROR(MAX(Stock!AX45-Datos!$C$6,0),0),IFERROR(MAX(Datos!$C$6-Stock!AX45,0),0)))</f>
        <v>0</v>
      </c>
      <c r="AY45">
        <f>IF($B45&gt;AY$2,0,IF(Datos!$C$4=1,IFERROR(MAX(Stock!AY45-Datos!$C$6,0),0),IFERROR(MAX(Datos!$C$6-Stock!AY45,0),0)))</f>
        <v>0</v>
      </c>
      <c r="AZ45">
        <f>IF($B45&gt;AZ$2,0,IF(Datos!$C$4=1,IFERROR(MAX(Stock!AZ45-Datos!$C$6,0),0),IFERROR(MAX(Datos!$C$6-Stock!AZ45,0),0)))</f>
        <v>0</v>
      </c>
      <c r="BA45">
        <f>IF($B45&gt;BA$2,0,IF(Datos!$C$4=1,IFERROR(MAX(Stock!BA45-Datos!$C$6,0),0),IFERROR(MAX(Datos!$C$6-Stock!BA45,0),0)))</f>
        <v>0</v>
      </c>
    </row>
    <row r="46" spans="2:53" x14ac:dyDescent="0.25">
      <c r="B46">
        <v>43</v>
      </c>
      <c r="D46">
        <f>IF($B46&gt;D$2,0,IF(Datos!$C$4=1,IFERROR(MAX(Stock!D46-Datos!$C$6,0),0),IFERROR(MAX(Datos!$C$6-Stock!D46,0),0)))</f>
        <v>0</v>
      </c>
      <c r="E46">
        <f>IF($B46&gt;E$2,0,IF(Datos!$C$4=1,IFERROR(MAX(Stock!E46-Datos!$C$6,0),0),IFERROR(MAX(Datos!$C$6-Stock!E46,0),0)))</f>
        <v>0</v>
      </c>
      <c r="F46">
        <f>IF($B46&gt;F$2,0,IF(Datos!$C$4=1,IFERROR(MAX(Stock!F46-Datos!$C$6,0),0),IFERROR(MAX(Datos!$C$6-Stock!F46,0),0)))</f>
        <v>0</v>
      </c>
      <c r="G46">
        <f>IF($B46&gt;G$2,0,IF(Datos!$C$4=1,IFERROR(MAX(Stock!G46-Datos!$C$6,0),0),IFERROR(MAX(Datos!$C$6-Stock!G46,0),0)))</f>
        <v>0</v>
      </c>
      <c r="H46">
        <f>IF($B46&gt;H$2,0,IF(Datos!$C$4=1,IFERROR(MAX(Stock!H46-Datos!$C$6,0),0),IFERROR(MAX(Datos!$C$6-Stock!H46,0),0)))</f>
        <v>0</v>
      </c>
      <c r="I46">
        <f>IF($B46&gt;I$2,0,IF(Datos!$C$4=1,IFERROR(MAX(Stock!I46-Datos!$C$6,0),0),IFERROR(MAX(Datos!$C$6-Stock!I46,0),0)))</f>
        <v>0</v>
      </c>
      <c r="J46">
        <f>IF($B46&gt;J$2,0,IF(Datos!$C$4=1,IFERROR(MAX(Stock!J46-Datos!$C$6,0),0),IFERROR(MAX(Datos!$C$6-Stock!J46,0),0)))</f>
        <v>0</v>
      </c>
      <c r="K46">
        <f>IF($B46&gt;K$2,0,IF(Datos!$C$4=1,IFERROR(MAX(Stock!K46-Datos!$C$6,0),0),IFERROR(MAX(Datos!$C$6-Stock!K46,0),0)))</f>
        <v>0</v>
      </c>
      <c r="L46">
        <f>IF($B46&gt;L$2,0,IF(Datos!$C$4=1,IFERROR(MAX(Stock!L46-Datos!$C$6,0),0),IFERROR(MAX(Datos!$C$6-Stock!L46,0),0)))</f>
        <v>0</v>
      </c>
      <c r="M46">
        <f>IF($B46&gt;M$2,0,IF(Datos!$C$4=1,IFERROR(MAX(Stock!M46-Datos!$C$6,0),0),IFERROR(MAX(Datos!$C$6-Stock!M46,0),0)))</f>
        <v>0</v>
      </c>
      <c r="N46">
        <f>IF($B46&gt;N$2,0,IF(Datos!$C$4=1,IFERROR(MAX(Stock!N46-Datos!$C$6,0),0),IFERROR(MAX(Datos!$C$6-Stock!N46,0),0)))</f>
        <v>0</v>
      </c>
      <c r="O46">
        <f>IF($B46&gt;O$2,0,IF(Datos!$C$4=1,IFERROR(MAX(Stock!O46-Datos!$C$6,0),0),IFERROR(MAX(Datos!$C$6-Stock!O46,0),0)))</f>
        <v>0</v>
      </c>
      <c r="P46">
        <f>IF($B46&gt;P$2,0,IF(Datos!$C$4=1,IFERROR(MAX(Stock!P46-Datos!$C$6,0),0),IFERROR(MAX(Datos!$C$6-Stock!P46,0),0)))</f>
        <v>0</v>
      </c>
      <c r="Q46">
        <f>IF($B46&gt;Q$2,0,IF(Datos!$C$4=1,IFERROR(MAX(Stock!Q46-Datos!$C$6,0),0),IFERROR(MAX(Datos!$C$6-Stock!Q46,0),0)))</f>
        <v>0</v>
      </c>
      <c r="R46">
        <f>IF($B46&gt;R$2,0,IF(Datos!$C$4=1,IFERROR(MAX(Stock!R46-Datos!$C$6,0),0),IFERROR(MAX(Datos!$C$6-Stock!R46,0),0)))</f>
        <v>0</v>
      </c>
      <c r="S46">
        <f>IF($B46&gt;S$2,0,IF(Datos!$C$4=1,IFERROR(MAX(Stock!S46-Datos!$C$6,0),0),IFERROR(MAX(Datos!$C$6-Stock!S46,0),0)))</f>
        <v>0</v>
      </c>
      <c r="T46">
        <f>IF($B46&gt;T$2,0,IF(Datos!$C$4=1,IFERROR(MAX(Stock!T46-Datos!$C$6,0),0),IFERROR(MAX(Datos!$C$6-Stock!T46,0),0)))</f>
        <v>0</v>
      </c>
      <c r="U46">
        <f>IF($B46&gt;U$2,0,IF(Datos!$C$4=1,IFERROR(MAX(Stock!U46-Datos!$C$6,0),0),IFERROR(MAX(Datos!$C$6-Stock!U46,0),0)))</f>
        <v>0</v>
      </c>
      <c r="V46">
        <f>IF($B46&gt;V$2,0,IF(Datos!$C$4=1,IFERROR(MAX(Stock!V46-Datos!$C$6,0),0),IFERROR(MAX(Datos!$C$6-Stock!V46,0),0)))</f>
        <v>0</v>
      </c>
      <c r="W46">
        <f>IF($B46&gt;W$2,0,IF(Datos!$C$4=1,IFERROR(MAX(Stock!W46-Datos!$C$6,0),0),IFERROR(MAX(Datos!$C$6-Stock!W46,0),0)))</f>
        <v>0</v>
      </c>
      <c r="X46">
        <f>IF($B46&gt;X$2,0,IF(Datos!$C$4=1,IFERROR(MAX(Stock!X46-Datos!$C$6,0),0),IFERROR(MAX(Datos!$C$6-Stock!X46,0),0)))</f>
        <v>0</v>
      </c>
      <c r="Y46">
        <f>IF($B46&gt;Y$2,0,IF(Datos!$C$4=1,IFERROR(MAX(Stock!Y46-Datos!$C$6,0),0),IFERROR(MAX(Datos!$C$6-Stock!Y46,0),0)))</f>
        <v>0</v>
      </c>
      <c r="Z46">
        <f>IF($B46&gt;Z$2,0,IF(Datos!$C$4=1,IFERROR(MAX(Stock!Z46-Datos!$C$6,0),0),IFERROR(MAX(Datos!$C$6-Stock!Z46,0),0)))</f>
        <v>0</v>
      </c>
      <c r="AA46">
        <f>IF($B46&gt;AA$2,0,IF(Datos!$C$4=1,IFERROR(MAX(Stock!AA46-Datos!$C$6,0),0),IFERROR(MAX(Datos!$C$6-Stock!AA46,0),0)))</f>
        <v>0</v>
      </c>
      <c r="AB46">
        <f>IF($B46&gt;AB$2,0,IF(Datos!$C$4=1,IFERROR(MAX(Stock!AB46-Datos!$C$6,0),0),IFERROR(MAX(Datos!$C$6-Stock!AB46,0),0)))</f>
        <v>0</v>
      </c>
      <c r="AC46">
        <f>IF($B46&gt;AC$2,0,IF(Datos!$C$4=1,IFERROR(MAX(Stock!AC46-Datos!$C$6,0),0),IFERROR(MAX(Datos!$C$6-Stock!AC46,0),0)))</f>
        <v>0</v>
      </c>
      <c r="AD46">
        <f>IF($B46&gt;AD$2,0,IF(Datos!$C$4=1,IFERROR(MAX(Stock!AD46-Datos!$C$6,0),0),IFERROR(MAX(Datos!$C$6-Stock!AD46,0),0)))</f>
        <v>0</v>
      </c>
      <c r="AE46">
        <f>IF($B46&gt;AE$2,0,IF(Datos!$C$4=1,IFERROR(MAX(Stock!AE46-Datos!$C$6,0),0),IFERROR(MAX(Datos!$C$6-Stock!AE46,0),0)))</f>
        <v>0</v>
      </c>
      <c r="AF46">
        <f>IF($B46&gt;AF$2,0,IF(Datos!$C$4=1,IFERROR(MAX(Stock!AF46-Datos!$C$6,0),0),IFERROR(MAX(Datos!$C$6-Stock!AF46,0),0)))</f>
        <v>0</v>
      </c>
      <c r="AG46">
        <f>IF($B46&gt;AG$2,0,IF(Datos!$C$4=1,IFERROR(MAX(Stock!AG46-Datos!$C$6,0),0),IFERROR(MAX(Datos!$C$6-Stock!AG46,0),0)))</f>
        <v>0</v>
      </c>
      <c r="AH46">
        <f>IF($B46&gt;AH$2,0,IF(Datos!$C$4=1,IFERROR(MAX(Stock!AH46-Datos!$C$6,0),0),IFERROR(MAX(Datos!$C$6-Stock!AH46,0),0)))</f>
        <v>0</v>
      </c>
      <c r="AI46">
        <f>IF($B46&gt;AI$2,0,IF(Datos!$C$4=1,IFERROR(MAX(Stock!AI46-Datos!$C$6,0),0),IFERROR(MAX(Datos!$C$6-Stock!AI46,0),0)))</f>
        <v>0</v>
      </c>
      <c r="AJ46">
        <f>IF($B46&gt;AJ$2,0,IF(Datos!$C$4=1,IFERROR(MAX(Stock!AJ46-Datos!$C$6,0),0),IFERROR(MAX(Datos!$C$6-Stock!AJ46,0),0)))</f>
        <v>0</v>
      </c>
      <c r="AK46">
        <f>IF($B46&gt;AK$2,0,IF(Datos!$C$4=1,IFERROR(MAX(Stock!AK46-Datos!$C$6,0),0),IFERROR(MAX(Datos!$C$6-Stock!AK46,0),0)))</f>
        <v>0</v>
      </c>
      <c r="AL46">
        <f>IF($B46&gt;AL$2,0,IF(Datos!$C$4=1,IFERROR(MAX(Stock!AL46-Datos!$C$6,0),0),IFERROR(MAX(Datos!$C$6-Stock!AL46,0),0)))</f>
        <v>0</v>
      </c>
      <c r="AM46">
        <f>IF($B46&gt;AM$2,0,IF(Datos!$C$4=1,IFERROR(MAX(Stock!AM46-Datos!$C$6,0),0),IFERROR(MAX(Datos!$C$6-Stock!AM46,0),0)))</f>
        <v>0</v>
      </c>
      <c r="AN46">
        <f>IF($B46&gt;AN$2,0,IF(Datos!$C$4=1,IFERROR(MAX(Stock!AN46-Datos!$C$6,0),0),IFERROR(MAX(Datos!$C$6-Stock!AN46,0),0)))</f>
        <v>0</v>
      </c>
      <c r="AO46">
        <f>IF($B46&gt;AO$2,0,IF(Datos!$C$4=1,IFERROR(MAX(Stock!AO46-Datos!$C$6,0),0),IFERROR(MAX(Datos!$C$6-Stock!AO46,0),0)))</f>
        <v>0</v>
      </c>
      <c r="AP46">
        <f>IF($B46&gt;AP$2,0,IF(Datos!$C$4=1,IFERROR(MAX(Stock!AP46-Datos!$C$6,0),0),IFERROR(MAX(Datos!$C$6-Stock!AP46,0),0)))</f>
        <v>0</v>
      </c>
      <c r="AQ46">
        <f>IF($B46&gt;AQ$2,0,IF(Datos!$C$4=1,IFERROR(MAX(Stock!AQ46-Datos!$C$6,0),0),IFERROR(MAX(Datos!$C$6-Stock!AQ46,0),0)))</f>
        <v>0</v>
      </c>
      <c r="AR46">
        <f>IF($B46&gt;AR$2,0,IF(Datos!$C$4=1,IFERROR(MAX(Stock!AR46-Datos!$C$6,0),0),IFERROR(MAX(Datos!$C$6-Stock!AR46,0),0)))</f>
        <v>0</v>
      </c>
      <c r="AS46">
        <f>IF($B46&gt;AS$2,0,IF(Datos!$C$4=1,IFERROR(MAX(Stock!AS46-Datos!$C$6,0),0),IFERROR(MAX(Datos!$C$6-Stock!AS46,0),0)))</f>
        <v>0</v>
      </c>
      <c r="AT46">
        <f>IF($B46&gt;AT$2,0,IF(Datos!$C$4=1,IFERROR(MAX(Stock!AT46-Datos!$C$6,0),0),IFERROR(MAX(Datos!$C$6-Stock!AT46,0),0)))</f>
        <v>0</v>
      </c>
      <c r="AU46">
        <f>IF($B46&gt;AU$2,0,IF(Datos!$C$4=1,IFERROR(MAX(Stock!AU46-Datos!$C$6,0),0),IFERROR(MAX(Datos!$C$6-Stock!AU46,0),0)))</f>
        <v>0</v>
      </c>
      <c r="AV46">
        <f>IF($B46&gt;AV$2,0,IF(Datos!$C$4=1,IFERROR(MAX(Stock!AV46-Datos!$C$6,0),0),IFERROR(MAX(Datos!$C$6-Stock!AV46,0),0)))</f>
        <v>0</v>
      </c>
      <c r="AW46">
        <f>IF($B46&gt;AW$2,0,IF(Datos!$C$4=1,IFERROR(MAX(Stock!AW46-Datos!$C$6,0),0),IFERROR(MAX(Datos!$C$6-Stock!AW46,0),0)))</f>
        <v>0</v>
      </c>
      <c r="AX46">
        <f>IF($B46&gt;AX$2,0,IF(Datos!$C$4=1,IFERROR(MAX(Stock!AX46-Datos!$C$6,0),0),IFERROR(MAX(Datos!$C$6-Stock!AX46,0),0)))</f>
        <v>0</v>
      </c>
      <c r="AY46">
        <f>IF($B46&gt;AY$2,0,IF(Datos!$C$4=1,IFERROR(MAX(Stock!AY46-Datos!$C$6,0),0),IFERROR(MAX(Datos!$C$6-Stock!AY46,0),0)))</f>
        <v>0</v>
      </c>
      <c r="AZ46">
        <f>IF($B46&gt;AZ$2,0,IF(Datos!$C$4=1,IFERROR(MAX(Stock!AZ46-Datos!$C$6,0),0),IFERROR(MAX(Datos!$C$6-Stock!AZ46,0),0)))</f>
        <v>0</v>
      </c>
      <c r="BA46">
        <f>IF($B46&gt;BA$2,0,IF(Datos!$C$4=1,IFERROR(MAX(Stock!BA46-Datos!$C$6,0),0),IFERROR(MAX(Datos!$C$6-Stock!BA46,0),0)))</f>
        <v>0</v>
      </c>
    </row>
    <row r="47" spans="2:53" x14ac:dyDescent="0.25">
      <c r="B47">
        <v>44</v>
      </c>
      <c r="D47">
        <f>IF($B47&gt;D$2,0,IF(Datos!$C$4=1,IFERROR(MAX(Stock!D47-Datos!$C$6,0),0),IFERROR(MAX(Datos!$C$6-Stock!D47,0),0)))</f>
        <v>0</v>
      </c>
      <c r="E47">
        <f>IF($B47&gt;E$2,0,IF(Datos!$C$4=1,IFERROR(MAX(Stock!E47-Datos!$C$6,0),0),IFERROR(MAX(Datos!$C$6-Stock!E47,0),0)))</f>
        <v>0</v>
      </c>
      <c r="F47">
        <f>IF($B47&gt;F$2,0,IF(Datos!$C$4=1,IFERROR(MAX(Stock!F47-Datos!$C$6,0),0),IFERROR(MAX(Datos!$C$6-Stock!F47,0),0)))</f>
        <v>0</v>
      </c>
      <c r="G47">
        <f>IF($B47&gt;G$2,0,IF(Datos!$C$4=1,IFERROR(MAX(Stock!G47-Datos!$C$6,0),0),IFERROR(MAX(Datos!$C$6-Stock!G47,0),0)))</f>
        <v>0</v>
      </c>
      <c r="H47">
        <f>IF($B47&gt;H$2,0,IF(Datos!$C$4=1,IFERROR(MAX(Stock!H47-Datos!$C$6,0),0),IFERROR(MAX(Datos!$C$6-Stock!H47,0),0)))</f>
        <v>0</v>
      </c>
      <c r="I47">
        <f>IF($B47&gt;I$2,0,IF(Datos!$C$4=1,IFERROR(MAX(Stock!I47-Datos!$C$6,0),0),IFERROR(MAX(Datos!$C$6-Stock!I47,0),0)))</f>
        <v>0</v>
      </c>
      <c r="J47">
        <f>IF($B47&gt;J$2,0,IF(Datos!$C$4=1,IFERROR(MAX(Stock!J47-Datos!$C$6,0),0),IFERROR(MAX(Datos!$C$6-Stock!J47,0),0)))</f>
        <v>0</v>
      </c>
      <c r="K47">
        <f>IF($B47&gt;K$2,0,IF(Datos!$C$4=1,IFERROR(MAX(Stock!K47-Datos!$C$6,0),0),IFERROR(MAX(Datos!$C$6-Stock!K47,0),0)))</f>
        <v>0</v>
      </c>
      <c r="L47">
        <f>IF($B47&gt;L$2,0,IF(Datos!$C$4=1,IFERROR(MAX(Stock!L47-Datos!$C$6,0),0),IFERROR(MAX(Datos!$C$6-Stock!L47,0),0)))</f>
        <v>0</v>
      </c>
      <c r="M47">
        <f>IF($B47&gt;M$2,0,IF(Datos!$C$4=1,IFERROR(MAX(Stock!M47-Datos!$C$6,0),0),IFERROR(MAX(Datos!$C$6-Stock!M47,0),0)))</f>
        <v>0</v>
      </c>
      <c r="N47">
        <f>IF($B47&gt;N$2,0,IF(Datos!$C$4=1,IFERROR(MAX(Stock!N47-Datos!$C$6,0),0),IFERROR(MAX(Datos!$C$6-Stock!N47,0),0)))</f>
        <v>0</v>
      </c>
      <c r="O47">
        <f>IF($B47&gt;O$2,0,IF(Datos!$C$4=1,IFERROR(MAX(Stock!O47-Datos!$C$6,0),0),IFERROR(MAX(Datos!$C$6-Stock!O47,0),0)))</f>
        <v>0</v>
      </c>
      <c r="P47">
        <f>IF($B47&gt;P$2,0,IF(Datos!$C$4=1,IFERROR(MAX(Stock!P47-Datos!$C$6,0),0),IFERROR(MAX(Datos!$C$6-Stock!P47,0),0)))</f>
        <v>0</v>
      </c>
      <c r="Q47">
        <f>IF($B47&gt;Q$2,0,IF(Datos!$C$4=1,IFERROR(MAX(Stock!Q47-Datos!$C$6,0),0),IFERROR(MAX(Datos!$C$6-Stock!Q47,0),0)))</f>
        <v>0</v>
      </c>
      <c r="R47">
        <f>IF($B47&gt;R$2,0,IF(Datos!$C$4=1,IFERROR(MAX(Stock!R47-Datos!$C$6,0),0),IFERROR(MAX(Datos!$C$6-Stock!R47,0),0)))</f>
        <v>0</v>
      </c>
      <c r="S47">
        <f>IF($B47&gt;S$2,0,IF(Datos!$C$4=1,IFERROR(MAX(Stock!S47-Datos!$C$6,0),0),IFERROR(MAX(Datos!$C$6-Stock!S47,0),0)))</f>
        <v>0</v>
      </c>
      <c r="T47">
        <f>IF($B47&gt;T$2,0,IF(Datos!$C$4=1,IFERROR(MAX(Stock!T47-Datos!$C$6,0),0),IFERROR(MAX(Datos!$C$6-Stock!T47,0),0)))</f>
        <v>0</v>
      </c>
      <c r="U47">
        <f>IF($B47&gt;U$2,0,IF(Datos!$C$4=1,IFERROR(MAX(Stock!U47-Datos!$C$6,0),0),IFERROR(MAX(Datos!$C$6-Stock!U47,0),0)))</f>
        <v>0</v>
      </c>
      <c r="V47">
        <f>IF($B47&gt;V$2,0,IF(Datos!$C$4=1,IFERROR(MAX(Stock!V47-Datos!$C$6,0),0),IFERROR(MAX(Datos!$C$6-Stock!V47,0),0)))</f>
        <v>0</v>
      </c>
      <c r="W47">
        <f>IF($B47&gt;W$2,0,IF(Datos!$C$4=1,IFERROR(MAX(Stock!W47-Datos!$C$6,0),0),IFERROR(MAX(Datos!$C$6-Stock!W47,0),0)))</f>
        <v>0</v>
      </c>
      <c r="X47">
        <f>IF($B47&gt;X$2,0,IF(Datos!$C$4=1,IFERROR(MAX(Stock!X47-Datos!$C$6,0),0),IFERROR(MAX(Datos!$C$6-Stock!X47,0),0)))</f>
        <v>0</v>
      </c>
      <c r="Y47">
        <f>IF($B47&gt;Y$2,0,IF(Datos!$C$4=1,IFERROR(MAX(Stock!Y47-Datos!$C$6,0),0),IFERROR(MAX(Datos!$C$6-Stock!Y47,0),0)))</f>
        <v>0</v>
      </c>
      <c r="Z47">
        <f>IF($B47&gt;Z$2,0,IF(Datos!$C$4=1,IFERROR(MAX(Stock!Z47-Datos!$C$6,0),0),IFERROR(MAX(Datos!$C$6-Stock!Z47,0),0)))</f>
        <v>0</v>
      </c>
      <c r="AA47">
        <f>IF($B47&gt;AA$2,0,IF(Datos!$C$4=1,IFERROR(MAX(Stock!AA47-Datos!$C$6,0),0),IFERROR(MAX(Datos!$C$6-Stock!AA47,0),0)))</f>
        <v>0</v>
      </c>
      <c r="AB47">
        <f>IF($B47&gt;AB$2,0,IF(Datos!$C$4=1,IFERROR(MAX(Stock!AB47-Datos!$C$6,0),0),IFERROR(MAX(Datos!$C$6-Stock!AB47,0),0)))</f>
        <v>0</v>
      </c>
      <c r="AC47">
        <f>IF($B47&gt;AC$2,0,IF(Datos!$C$4=1,IFERROR(MAX(Stock!AC47-Datos!$C$6,0),0),IFERROR(MAX(Datos!$C$6-Stock!AC47,0),0)))</f>
        <v>0</v>
      </c>
      <c r="AD47">
        <f>IF($B47&gt;AD$2,0,IF(Datos!$C$4=1,IFERROR(MAX(Stock!AD47-Datos!$C$6,0),0),IFERROR(MAX(Datos!$C$6-Stock!AD47,0),0)))</f>
        <v>0</v>
      </c>
      <c r="AE47">
        <f>IF($B47&gt;AE$2,0,IF(Datos!$C$4=1,IFERROR(MAX(Stock!AE47-Datos!$C$6,0),0),IFERROR(MAX(Datos!$C$6-Stock!AE47,0),0)))</f>
        <v>0</v>
      </c>
      <c r="AF47">
        <f>IF($B47&gt;AF$2,0,IF(Datos!$C$4=1,IFERROR(MAX(Stock!AF47-Datos!$C$6,0),0),IFERROR(MAX(Datos!$C$6-Stock!AF47,0),0)))</f>
        <v>0</v>
      </c>
      <c r="AG47">
        <f>IF($B47&gt;AG$2,0,IF(Datos!$C$4=1,IFERROR(MAX(Stock!AG47-Datos!$C$6,0),0),IFERROR(MAX(Datos!$C$6-Stock!AG47,0),0)))</f>
        <v>0</v>
      </c>
      <c r="AH47">
        <f>IF($B47&gt;AH$2,0,IF(Datos!$C$4=1,IFERROR(MAX(Stock!AH47-Datos!$C$6,0),0),IFERROR(MAX(Datos!$C$6-Stock!AH47,0),0)))</f>
        <v>0</v>
      </c>
      <c r="AI47">
        <f>IF($B47&gt;AI$2,0,IF(Datos!$C$4=1,IFERROR(MAX(Stock!AI47-Datos!$C$6,0),0),IFERROR(MAX(Datos!$C$6-Stock!AI47,0),0)))</f>
        <v>0</v>
      </c>
      <c r="AJ47">
        <f>IF($B47&gt;AJ$2,0,IF(Datos!$C$4=1,IFERROR(MAX(Stock!AJ47-Datos!$C$6,0),0),IFERROR(MAX(Datos!$C$6-Stock!AJ47,0),0)))</f>
        <v>0</v>
      </c>
      <c r="AK47">
        <f>IF($B47&gt;AK$2,0,IF(Datos!$C$4=1,IFERROR(MAX(Stock!AK47-Datos!$C$6,0),0),IFERROR(MAX(Datos!$C$6-Stock!AK47,0),0)))</f>
        <v>0</v>
      </c>
      <c r="AL47">
        <f>IF($B47&gt;AL$2,0,IF(Datos!$C$4=1,IFERROR(MAX(Stock!AL47-Datos!$C$6,0),0),IFERROR(MAX(Datos!$C$6-Stock!AL47,0),0)))</f>
        <v>0</v>
      </c>
      <c r="AM47">
        <f>IF($B47&gt;AM$2,0,IF(Datos!$C$4=1,IFERROR(MAX(Stock!AM47-Datos!$C$6,0),0),IFERROR(MAX(Datos!$C$6-Stock!AM47,0),0)))</f>
        <v>0</v>
      </c>
      <c r="AN47">
        <f>IF($B47&gt;AN$2,0,IF(Datos!$C$4=1,IFERROR(MAX(Stock!AN47-Datos!$C$6,0),0),IFERROR(MAX(Datos!$C$6-Stock!AN47,0),0)))</f>
        <v>0</v>
      </c>
      <c r="AO47">
        <f>IF($B47&gt;AO$2,0,IF(Datos!$C$4=1,IFERROR(MAX(Stock!AO47-Datos!$C$6,0),0),IFERROR(MAX(Datos!$C$6-Stock!AO47,0),0)))</f>
        <v>0</v>
      </c>
      <c r="AP47">
        <f>IF($B47&gt;AP$2,0,IF(Datos!$C$4=1,IFERROR(MAX(Stock!AP47-Datos!$C$6,0),0),IFERROR(MAX(Datos!$C$6-Stock!AP47,0),0)))</f>
        <v>0</v>
      </c>
      <c r="AQ47">
        <f>IF($B47&gt;AQ$2,0,IF(Datos!$C$4=1,IFERROR(MAX(Stock!AQ47-Datos!$C$6,0),0),IFERROR(MAX(Datos!$C$6-Stock!AQ47,0),0)))</f>
        <v>0</v>
      </c>
      <c r="AR47">
        <f>IF($B47&gt;AR$2,0,IF(Datos!$C$4=1,IFERROR(MAX(Stock!AR47-Datos!$C$6,0),0),IFERROR(MAX(Datos!$C$6-Stock!AR47,0),0)))</f>
        <v>0</v>
      </c>
      <c r="AS47">
        <f>IF($B47&gt;AS$2,0,IF(Datos!$C$4=1,IFERROR(MAX(Stock!AS47-Datos!$C$6,0),0),IFERROR(MAX(Datos!$C$6-Stock!AS47,0),0)))</f>
        <v>0</v>
      </c>
      <c r="AT47">
        <f>IF($B47&gt;AT$2,0,IF(Datos!$C$4=1,IFERROR(MAX(Stock!AT47-Datos!$C$6,0),0),IFERROR(MAX(Datos!$C$6-Stock!AT47,0),0)))</f>
        <v>0</v>
      </c>
      <c r="AU47">
        <f>IF($B47&gt;AU$2,0,IF(Datos!$C$4=1,IFERROR(MAX(Stock!AU47-Datos!$C$6,0),0),IFERROR(MAX(Datos!$C$6-Stock!AU47,0),0)))</f>
        <v>0</v>
      </c>
      <c r="AV47">
        <f>IF($B47&gt;AV$2,0,IF(Datos!$C$4=1,IFERROR(MAX(Stock!AV47-Datos!$C$6,0),0),IFERROR(MAX(Datos!$C$6-Stock!AV47,0),0)))</f>
        <v>0</v>
      </c>
      <c r="AW47">
        <f>IF($B47&gt;AW$2,0,IF(Datos!$C$4=1,IFERROR(MAX(Stock!AW47-Datos!$C$6,0),0),IFERROR(MAX(Datos!$C$6-Stock!AW47,0),0)))</f>
        <v>0</v>
      </c>
      <c r="AX47">
        <f>IF($B47&gt;AX$2,0,IF(Datos!$C$4=1,IFERROR(MAX(Stock!AX47-Datos!$C$6,0),0),IFERROR(MAX(Datos!$C$6-Stock!AX47,0),0)))</f>
        <v>0</v>
      </c>
      <c r="AY47">
        <f>IF($B47&gt;AY$2,0,IF(Datos!$C$4=1,IFERROR(MAX(Stock!AY47-Datos!$C$6,0),0),IFERROR(MAX(Datos!$C$6-Stock!AY47,0),0)))</f>
        <v>0</v>
      </c>
      <c r="AZ47">
        <f>IF($B47&gt;AZ$2,0,IF(Datos!$C$4=1,IFERROR(MAX(Stock!AZ47-Datos!$C$6,0),0),IFERROR(MAX(Datos!$C$6-Stock!AZ47,0),0)))</f>
        <v>0</v>
      </c>
      <c r="BA47">
        <f>IF($B47&gt;BA$2,0,IF(Datos!$C$4=1,IFERROR(MAX(Stock!BA47-Datos!$C$6,0),0),IFERROR(MAX(Datos!$C$6-Stock!BA47,0),0)))</f>
        <v>0</v>
      </c>
    </row>
    <row r="48" spans="2:53" x14ac:dyDescent="0.25">
      <c r="B48">
        <v>45</v>
      </c>
      <c r="D48">
        <f>IF($B48&gt;D$2,0,IF(Datos!$C$4=1,IFERROR(MAX(Stock!D48-Datos!$C$6,0),0),IFERROR(MAX(Datos!$C$6-Stock!D48,0),0)))</f>
        <v>0</v>
      </c>
      <c r="E48">
        <f>IF($B48&gt;E$2,0,IF(Datos!$C$4=1,IFERROR(MAX(Stock!E48-Datos!$C$6,0),0),IFERROR(MAX(Datos!$C$6-Stock!E48,0),0)))</f>
        <v>0</v>
      </c>
      <c r="F48">
        <f>IF($B48&gt;F$2,0,IF(Datos!$C$4=1,IFERROR(MAX(Stock!F48-Datos!$C$6,0),0),IFERROR(MAX(Datos!$C$6-Stock!F48,0),0)))</f>
        <v>0</v>
      </c>
      <c r="G48">
        <f>IF($B48&gt;G$2,0,IF(Datos!$C$4=1,IFERROR(MAX(Stock!G48-Datos!$C$6,0),0),IFERROR(MAX(Datos!$C$6-Stock!G48,0),0)))</f>
        <v>0</v>
      </c>
      <c r="H48">
        <f>IF($B48&gt;H$2,0,IF(Datos!$C$4=1,IFERROR(MAX(Stock!H48-Datos!$C$6,0),0),IFERROR(MAX(Datos!$C$6-Stock!H48,0),0)))</f>
        <v>0</v>
      </c>
      <c r="I48">
        <f>IF($B48&gt;I$2,0,IF(Datos!$C$4=1,IFERROR(MAX(Stock!I48-Datos!$C$6,0),0),IFERROR(MAX(Datos!$C$6-Stock!I48,0),0)))</f>
        <v>0</v>
      </c>
      <c r="J48">
        <f>IF($B48&gt;J$2,0,IF(Datos!$C$4=1,IFERROR(MAX(Stock!J48-Datos!$C$6,0),0),IFERROR(MAX(Datos!$C$6-Stock!J48,0),0)))</f>
        <v>0</v>
      </c>
      <c r="K48">
        <f>IF($B48&gt;K$2,0,IF(Datos!$C$4=1,IFERROR(MAX(Stock!K48-Datos!$C$6,0),0),IFERROR(MAX(Datos!$C$6-Stock!K48,0),0)))</f>
        <v>0</v>
      </c>
      <c r="L48">
        <f>IF($B48&gt;L$2,0,IF(Datos!$C$4=1,IFERROR(MAX(Stock!L48-Datos!$C$6,0),0),IFERROR(MAX(Datos!$C$6-Stock!L48,0),0)))</f>
        <v>0</v>
      </c>
      <c r="M48">
        <f>IF($B48&gt;M$2,0,IF(Datos!$C$4=1,IFERROR(MAX(Stock!M48-Datos!$C$6,0),0),IFERROR(MAX(Datos!$C$6-Stock!M48,0),0)))</f>
        <v>0</v>
      </c>
      <c r="N48">
        <f>IF($B48&gt;N$2,0,IF(Datos!$C$4=1,IFERROR(MAX(Stock!N48-Datos!$C$6,0),0),IFERROR(MAX(Datos!$C$6-Stock!N48,0),0)))</f>
        <v>0</v>
      </c>
      <c r="O48">
        <f>IF($B48&gt;O$2,0,IF(Datos!$C$4=1,IFERROR(MAX(Stock!O48-Datos!$C$6,0),0),IFERROR(MAX(Datos!$C$6-Stock!O48,0),0)))</f>
        <v>0</v>
      </c>
      <c r="P48">
        <f>IF($B48&gt;P$2,0,IF(Datos!$C$4=1,IFERROR(MAX(Stock!P48-Datos!$C$6,0),0),IFERROR(MAX(Datos!$C$6-Stock!P48,0),0)))</f>
        <v>0</v>
      </c>
      <c r="Q48">
        <f>IF($B48&gt;Q$2,0,IF(Datos!$C$4=1,IFERROR(MAX(Stock!Q48-Datos!$C$6,0),0),IFERROR(MAX(Datos!$C$6-Stock!Q48,0),0)))</f>
        <v>0</v>
      </c>
      <c r="R48">
        <f>IF($B48&gt;R$2,0,IF(Datos!$C$4=1,IFERROR(MAX(Stock!R48-Datos!$C$6,0),0),IFERROR(MAX(Datos!$C$6-Stock!R48,0),0)))</f>
        <v>0</v>
      </c>
      <c r="S48">
        <f>IF($B48&gt;S$2,0,IF(Datos!$C$4=1,IFERROR(MAX(Stock!S48-Datos!$C$6,0),0),IFERROR(MAX(Datos!$C$6-Stock!S48,0),0)))</f>
        <v>0</v>
      </c>
      <c r="T48">
        <f>IF($B48&gt;T$2,0,IF(Datos!$C$4=1,IFERROR(MAX(Stock!T48-Datos!$C$6,0),0),IFERROR(MAX(Datos!$C$6-Stock!T48,0),0)))</f>
        <v>0</v>
      </c>
      <c r="U48">
        <f>IF($B48&gt;U$2,0,IF(Datos!$C$4=1,IFERROR(MAX(Stock!U48-Datos!$C$6,0),0),IFERROR(MAX(Datos!$C$6-Stock!U48,0),0)))</f>
        <v>0</v>
      </c>
      <c r="V48">
        <f>IF($B48&gt;V$2,0,IF(Datos!$C$4=1,IFERROR(MAX(Stock!V48-Datos!$C$6,0),0),IFERROR(MAX(Datos!$C$6-Stock!V48,0),0)))</f>
        <v>0</v>
      </c>
      <c r="W48">
        <f>IF($B48&gt;W$2,0,IF(Datos!$C$4=1,IFERROR(MAX(Stock!W48-Datos!$C$6,0),0),IFERROR(MAX(Datos!$C$6-Stock!W48,0),0)))</f>
        <v>0</v>
      </c>
      <c r="X48">
        <f>IF($B48&gt;X$2,0,IF(Datos!$C$4=1,IFERROR(MAX(Stock!X48-Datos!$C$6,0),0),IFERROR(MAX(Datos!$C$6-Stock!X48,0),0)))</f>
        <v>0</v>
      </c>
      <c r="Y48">
        <f>IF($B48&gt;Y$2,0,IF(Datos!$C$4=1,IFERROR(MAX(Stock!Y48-Datos!$C$6,0),0),IFERROR(MAX(Datos!$C$6-Stock!Y48,0),0)))</f>
        <v>0</v>
      </c>
      <c r="Z48">
        <f>IF($B48&gt;Z$2,0,IF(Datos!$C$4=1,IFERROR(MAX(Stock!Z48-Datos!$C$6,0),0),IFERROR(MAX(Datos!$C$6-Stock!Z48,0),0)))</f>
        <v>0</v>
      </c>
      <c r="AA48">
        <f>IF($B48&gt;AA$2,0,IF(Datos!$C$4=1,IFERROR(MAX(Stock!AA48-Datos!$C$6,0),0),IFERROR(MAX(Datos!$C$6-Stock!AA48,0),0)))</f>
        <v>0</v>
      </c>
      <c r="AB48">
        <f>IF($B48&gt;AB$2,0,IF(Datos!$C$4=1,IFERROR(MAX(Stock!AB48-Datos!$C$6,0),0),IFERROR(MAX(Datos!$C$6-Stock!AB48,0),0)))</f>
        <v>0</v>
      </c>
      <c r="AC48">
        <f>IF($B48&gt;AC$2,0,IF(Datos!$C$4=1,IFERROR(MAX(Stock!AC48-Datos!$C$6,0),0),IFERROR(MAX(Datos!$C$6-Stock!AC48,0),0)))</f>
        <v>0</v>
      </c>
      <c r="AD48">
        <f>IF($B48&gt;AD$2,0,IF(Datos!$C$4=1,IFERROR(MAX(Stock!AD48-Datos!$C$6,0),0),IFERROR(MAX(Datos!$C$6-Stock!AD48,0),0)))</f>
        <v>0</v>
      </c>
      <c r="AE48">
        <f>IF($B48&gt;AE$2,0,IF(Datos!$C$4=1,IFERROR(MAX(Stock!AE48-Datos!$C$6,0),0),IFERROR(MAX(Datos!$C$6-Stock!AE48,0),0)))</f>
        <v>0</v>
      </c>
      <c r="AF48">
        <f>IF($B48&gt;AF$2,0,IF(Datos!$C$4=1,IFERROR(MAX(Stock!AF48-Datos!$C$6,0),0),IFERROR(MAX(Datos!$C$6-Stock!AF48,0),0)))</f>
        <v>0</v>
      </c>
      <c r="AG48">
        <f>IF($B48&gt;AG$2,0,IF(Datos!$C$4=1,IFERROR(MAX(Stock!AG48-Datos!$C$6,0),0),IFERROR(MAX(Datos!$C$6-Stock!AG48,0),0)))</f>
        <v>0</v>
      </c>
      <c r="AH48">
        <f>IF($B48&gt;AH$2,0,IF(Datos!$C$4=1,IFERROR(MAX(Stock!AH48-Datos!$C$6,0),0),IFERROR(MAX(Datos!$C$6-Stock!AH48,0),0)))</f>
        <v>0</v>
      </c>
      <c r="AI48">
        <f>IF($B48&gt;AI$2,0,IF(Datos!$C$4=1,IFERROR(MAX(Stock!AI48-Datos!$C$6,0),0),IFERROR(MAX(Datos!$C$6-Stock!AI48,0),0)))</f>
        <v>0</v>
      </c>
      <c r="AJ48">
        <f>IF($B48&gt;AJ$2,0,IF(Datos!$C$4=1,IFERROR(MAX(Stock!AJ48-Datos!$C$6,0),0),IFERROR(MAX(Datos!$C$6-Stock!AJ48,0),0)))</f>
        <v>0</v>
      </c>
      <c r="AK48">
        <f>IF($B48&gt;AK$2,0,IF(Datos!$C$4=1,IFERROR(MAX(Stock!AK48-Datos!$C$6,0),0),IFERROR(MAX(Datos!$C$6-Stock!AK48,0),0)))</f>
        <v>0</v>
      </c>
      <c r="AL48">
        <f>IF($B48&gt;AL$2,0,IF(Datos!$C$4=1,IFERROR(MAX(Stock!AL48-Datos!$C$6,0),0),IFERROR(MAX(Datos!$C$6-Stock!AL48,0),0)))</f>
        <v>0</v>
      </c>
      <c r="AM48">
        <f>IF($B48&gt;AM$2,0,IF(Datos!$C$4=1,IFERROR(MAX(Stock!AM48-Datos!$C$6,0),0),IFERROR(MAX(Datos!$C$6-Stock!AM48,0),0)))</f>
        <v>0</v>
      </c>
      <c r="AN48">
        <f>IF($B48&gt;AN$2,0,IF(Datos!$C$4=1,IFERROR(MAX(Stock!AN48-Datos!$C$6,0),0),IFERROR(MAX(Datos!$C$6-Stock!AN48,0),0)))</f>
        <v>0</v>
      </c>
      <c r="AO48">
        <f>IF($B48&gt;AO$2,0,IF(Datos!$C$4=1,IFERROR(MAX(Stock!AO48-Datos!$C$6,0),0),IFERROR(MAX(Datos!$C$6-Stock!AO48,0),0)))</f>
        <v>0</v>
      </c>
      <c r="AP48">
        <f>IF($B48&gt;AP$2,0,IF(Datos!$C$4=1,IFERROR(MAX(Stock!AP48-Datos!$C$6,0),0),IFERROR(MAX(Datos!$C$6-Stock!AP48,0),0)))</f>
        <v>0</v>
      </c>
      <c r="AQ48">
        <f>IF($B48&gt;AQ$2,0,IF(Datos!$C$4=1,IFERROR(MAX(Stock!AQ48-Datos!$C$6,0),0),IFERROR(MAX(Datos!$C$6-Stock!AQ48,0),0)))</f>
        <v>0</v>
      </c>
      <c r="AR48">
        <f>IF($B48&gt;AR$2,0,IF(Datos!$C$4=1,IFERROR(MAX(Stock!AR48-Datos!$C$6,0),0),IFERROR(MAX(Datos!$C$6-Stock!AR48,0),0)))</f>
        <v>0</v>
      </c>
      <c r="AS48">
        <f>IF($B48&gt;AS$2,0,IF(Datos!$C$4=1,IFERROR(MAX(Stock!AS48-Datos!$C$6,0),0),IFERROR(MAX(Datos!$C$6-Stock!AS48,0),0)))</f>
        <v>0</v>
      </c>
      <c r="AT48">
        <f>IF($B48&gt;AT$2,0,IF(Datos!$C$4=1,IFERROR(MAX(Stock!AT48-Datos!$C$6,0),0),IFERROR(MAX(Datos!$C$6-Stock!AT48,0),0)))</f>
        <v>0</v>
      </c>
      <c r="AU48">
        <f>IF($B48&gt;AU$2,0,IF(Datos!$C$4=1,IFERROR(MAX(Stock!AU48-Datos!$C$6,0),0),IFERROR(MAX(Datos!$C$6-Stock!AU48,0),0)))</f>
        <v>0</v>
      </c>
      <c r="AV48">
        <f>IF($B48&gt;AV$2,0,IF(Datos!$C$4=1,IFERROR(MAX(Stock!AV48-Datos!$C$6,0),0),IFERROR(MAX(Datos!$C$6-Stock!AV48,0),0)))</f>
        <v>0</v>
      </c>
      <c r="AW48">
        <f>IF($B48&gt;AW$2,0,IF(Datos!$C$4=1,IFERROR(MAX(Stock!AW48-Datos!$C$6,0),0),IFERROR(MAX(Datos!$C$6-Stock!AW48,0),0)))</f>
        <v>0</v>
      </c>
      <c r="AX48">
        <f>IF($B48&gt;AX$2,0,IF(Datos!$C$4=1,IFERROR(MAX(Stock!AX48-Datos!$C$6,0),0),IFERROR(MAX(Datos!$C$6-Stock!AX48,0),0)))</f>
        <v>0</v>
      </c>
      <c r="AY48">
        <f>IF($B48&gt;AY$2,0,IF(Datos!$C$4=1,IFERROR(MAX(Stock!AY48-Datos!$C$6,0),0),IFERROR(MAX(Datos!$C$6-Stock!AY48,0),0)))</f>
        <v>0</v>
      </c>
      <c r="AZ48">
        <f>IF($B48&gt;AZ$2,0,IF(Datos!$C$4=1,IFERROR(MAX(Stock!AZ48-Datos!$C$6,0),0),IFERROR(MAX(Datos!$C$6-Stock!AZ48,0),0)))</f>
        <v>0</v>
      </c>
      <c r="BA48">
        <f>IF($B48&gt;BA$2,0,IF(Datos!$C$4=1,IFERROR(MAX(Stock!BA48-Datos!$C$6,0),0),IFERROR(MAX(Datos!$C$6-Stock!BA48,0),0)))</f>
        <v>0</v>
      </c>
    </row>
    <row r="49" spans="2:53" x14ac:dyDescent="0.25">
      <c r="B49">
        <v>46</v>
      </c>
      <c r="D49">
        <f>IF($B49&gt;D$2,0,IF(Datos!$C$4=1,IFERROR(MAX(Stock!D49-Datos!$C$6,0),0),IFERROR(MAX(Datos!$C$6-Stock!D49,0),0)))</f>
        <v>0</v>
      </c>
      <c r="E49">
        <f>IF($B49&gt;E$2,0,IF(Datos!$C$4=1,IFERROR(MAX(Stock!E49-Datos!$C$6,0),0),IFERROR(MAX(Datos!$C$6-Stock!E49,0),0)))</f>
        <v>0</v>
      </c>
      <c r="F49">
        <f>IF($B49&gt;F$2,0,IF(Datos!$C$4=1,IFERROR(MAX(Stock!F49-Datos!$C$6,0),0),IFERROR(MAX(Datos!$C$6-Stock!F49,0),0)))</f>
        <v>0</v>
      </c>
      <c r="G49">
        <f>IF($B49&gt;G$2,0,IF(Datos!$C$4=1,IFERROR(MAX(Stock!G49-Datos!$C$6,0),0),IFERROR(MAX(Datos!$C$6-Stock!G49,0),0)))</f>
        <v>0</v>
      </c>
      <c r="H49">
        <f>IF($B49&gt;H$2,0,IF(Datos!$C$4=1,IFERROR(MAX(Stock!H49-Datos!$C$6,0),0),IFERROR(MAX(Datos!$C$6-Stock!H49,0),0)))</f>
        <v>0</v>
      </c>
      <c r="I49">
        <f>IF($B49&gt;I$2,0,IF(Datos!$C$4=1,IFERROR(MAX(Stock!I49-Datos!$C$6,0),0),IFERROR(MAX(Datos!$C$6-Stock!I49,0),0)))</f>
        <v>0</v>
      </c>
      <c r="J49">
        <f>IF($B49&gt;J$2,0,IF(Datos!$C$4=1,IFERROR(MAX(Stock!J49-Datos!$C$6,0),0),IFERROR(MAX(Datos!$C$6-Stock!J49,0),0)))</f>
        <v>0</v>
      </c>
      <c r="K49">
        <f>IF($B49&gt;K$2,0,IF(Datos!$C$4=1,IFERROR(MAX(Stock!K49-Datos!$C$6,0),0),IFERROR(MAX(Datos!$C$6-Stock!K49,0),0)))</f>
        <v>0</v>
      </c>
      <c r="L49">
        <f>IF($B49&gt;L$2,0,IF(Datos!$C$4=1,IFERROR(MAX(Stock!L49-Datos!$C$6,0),0),IFERROR(MAX(Datos!$C$6-Stock!L49,0),0)))</f>
        <v>0</v>
      </c>
      <c r="M49">
        <f>IF($B49&gt;M$2,0,IF(Datos!$C$4=1,IFERROR(MAX(Stock!M49-Datos!$C$6,0),0),IFERROR(MAX(Datos!$C$6-Stock!M49,0),0)))</f>
        <v>0</v>
      </c>
      <c r="N49">
        <f>IF($B49&gt;N$2,0,IF(Datos!$C$4=1,IFERROR(MAX(Stock!N49-Datos!$C$6,0),0),IFERROR(MAX(Datos!$C$6-Stock!N49,0),0)))</f>
        <v>0</v>
      </c>
      <c r="O49">
        <f>IF($B49&gt;O$2,0,IF(Datos!$C$4=1,IFERROR(MAX(Stock!O49-Datos!$C$6,0),0),IFERROR(MAX(Datos!$C$6-Stock!O49,0),0)))</f>
        <v>0</v>
      </c>
      <c r="P49">
        <f>IF($B49&gt;P$2,0,IF(Datos!$C$4=1,IFERROR(MAX(Stock!P49-Datos!$C$6,0),0),IFERROR(MAX(Datos!$C$6-Stock!P49,0),0)))</f>
        <v>0</v>
      </c>
      <c r="Q49">
        <f>IF($B49&gt;Q$2,0,IF(Datos!$C$4=1,IFERROR(MAX(Stock!Q49-Datos!$C$6,0),0),IFERROR(MAX(Datos!$C$6-Stock!Q49,0),0)))</f>
        <v>0</v>
      </c>
      <c r="R49">
        <f>IF($B49&gt;R$2,0,IF(Datos!$C$4=1,IFERROR(MAX(Stock!R49-Datos!$C$6,0),0),IFERROR(MAX(Datos!$C$6-Stock!R49,0),0)))</f>
        <v>0</v>
      </c>
      <c r="S49">
        <f>IF($B49&gt;S$2,0,IF(Datos!$C$4=1,IFERROR(MAX(Stock!S49-Datos!$C$6,0),0),IFERROR(MAX(Datos!$C$6-Stock!S49,0),0)))</f>
        <v>0</v>
      </c>
      <c r="T49">
        <f>IF($B49&gt;T$2,0,IF(Datos!$C$4=1,IFERROR(MAX(Stock!T49-Datos!$C$6,0),0),IFERROR(MAX(Datos!$C$6-Stock!T49,0),0)))</f>
        <v>0</v>
      </c>
      <c r="U49">
        <f>IF($B49&gt;U$2,0,IF(Datos!$C$4=1,IFERROR(MAX(Stock!U49-Datos!$C$6,0),0),IFERROR(MAX(Datos!$C$6-Stock!U49,0),0)))</f>
        <v>0</v>
      </c>
      <c r="V49">
        <f>IF($B49&gt;V$2,0,IF(Datos!$C$4=1,IFERROR(MAX(Stock!V49-Datos!$C$6,0),0),IFERROR(MAX(Datos!$C$6-Stock!V49,0),0)))</f>
        <v>0</v>
      </c>
      <c r="W49">
        <f>IF($B49&gt;W$2,0,IF(Datos!$C$4=1,IFERROR(MAX(Stock!W49-Datos!$C$6,0),0),IFERROR(MAX(Datos!$C$6-Stock!W49,0),0)))</f>
        <v>0</v>
      </c>
      <c r="X49">
        <f>IF($B49&gt;X$2,0,IF(Datos!$C$4=1,IFERROR(MAX(Stock!X49-Datos!$C$6,0),0),IFERROR(MAX(Datos!$C$6-Stock!X49,0),0)))</f>
        <v>0</v>
      </c>
      <c r="Y49">
        <f>IF($B49&gt;Y$2,0,IF(Datos!$C$4=1,IFERROR(MAX(Stock!Y49-Datos!$C$6,0),0),IFERROR(MAX(Datos!$C$6-Stock!Y49,0),0)))</f>
        <v>0</v>
      </c>
      <c r="Z49">
        <f>IF($B49&gt;Z$2,0,IF(Datos!$C$4=1,IFERROR(MAX(Stock!Z49-Datos!$C$6,0),0),IFERROR(MAX(Datos!$C$6-Stock!Z49,0),0)))</f>
        <v>0</v>
      </c>
      <c r="AA49">
        <f>IF($B49&gt;AA$2,0,IF(Datos!$C$4=1,IFERROR(MAX(Stock!AA49-Datos!$C$6,0),0),IFERROR(MAX(Datos!$C$6-Stock!AA49,0),0)))</f>
        <v>0</v>
      </c>
      <c r="AB49">
        <f>IF($B49&gt;AB$2,0,IF(Datos!$C$4=1,IFERROR(MAX(Stock!AB49-Datos!$C$6,0),0),IFERROR(MAX(Datos!$C$6-Stock!AB49,0),0)))</f>
        <v>0</v>
      </c>
      <c r="AC49">
        <f>IF($B49&gt;AC$2,0,IF(Datos!$C$4=1,IFERROR(MAX(Stock!AC49-Datos!$C$6,0),0),IFERROR(MAX(Datos!$C$6-Stock!AC49,0),0)))</f>
        <v>0</v>
      </c>
      <c r="AD49">
        <f>IF($B49&gt;AD$2,0,IF(Datos!$C$4=1,IFERROR(MAX(Stock!AD49-Datos!$C$6,0),0),IFERROR(MAX(Datos!$C$6-Stock!AD49,0),0)))</f>
        <v>0</v>
      </c>
      <c r="AE49">
        <f>IF($B49&gt;AE$2,0,IF(Datos!$C$4=1,IFERROR(MAX(Stock!AE49-Datos!$C$6,0),0),IFERROR(MAX(Datos!$C$6-Stock!AE49,0),0)))</f>
        <v>0</v>
      </c>
      <c r="AF49">
        <f>IF($B49&gt;AF$2,0,IF(Datos!$C$4=1,IFERROR(MAX(Stock!AF49-Datos!$C$6,0),0),IFERROR(MAX(Datos!$C$6-Stock!AF49,0),0)))</f>
        <v>0</v>
      </c>
      <c r="AG49">
        <f>IF($B49&gt;AG$2,0,IF(Datos!$C$4=1,IFERROR(MAX(Stock!AG49-Datos!$C$6,0),0),IFERROR(MAX(Datos!$C$6-Stock!AG49,0),0)))</f>
        <v>0</v>
      </c>
      <c r="AH49">
        <f>IF($B49&gt;AH$2,0,IF(Datos!$C$4=1,IFERROR(MAX(Stock!AH49-Datos!$C$6,0),0),IFERROR(MAX(Datos!$C$6-Stock!AH49,0),0)))</f>
        <v>0</v>
      </c>
      <c r="AI49">
        <f>IF($B49&gt;AI$2,0,IF(Datos!$C$4=1,IFERROR(MAX(Stock!AI49-Datos!$C$6,0),0),IFERROR(MAX(Datos!$C$6-Stock!AI49,0),0)))</f>
        <v>0</v>
      </c>
      <c r="AJ49">
        <f>IF($B49&gt;AJ$2,0,IF(Datos!$C$4=1,IFERROR(MAX(Stock!AJ49-Datos!$C$6,0),0),IFERROR(MAX(Datos!$C$6-Stock!AJ49,0),0)))</f>
        <v>0</v>
      </c>
      <c r="AK49">
        <f>IF($B49&gt;AK$2,0,IF(Datos!$C$4=1,IFERROR(MAX(Stock!AK49-Datos!$C$6,0),0),IFERROR(MAX(Datos!$C$6-Stock!AK49,0),0)))</f>
        <v>0</v>
      </c>
      <c r="AL49">
        <f>IF($B49&gt;AL$2,0,IF(Datos!$C$4=1,IFERROR(MAX(Stock!AL49-Datos!$C$6,0),0),IFERROR(MAX(Datos!$C$6-Stock!AL49,0),0)))</f>
        <v>0</v>
      </c>
      <c r="AM49">
        <f>IF($B49&gt;AM$2,0,IF(Datos!$C$4=1,IFERROR(MAX(Stock!AM49-Datos!$C$6,0),0),IFERROR(MAX(Datos!$C$6-Stock!AM49,0),0)))</f>
        <v>0</v>
      </c>
      <c r="AN49">
        <f>IF($B49&gt;AN$2,0,IF(Datos!$C$4=1,IFERROR(MAX(Stock!AN49-Datos!$C$6,0),0),IFERROR(MAX(Datos!$C$6-Stock!AN49,0),0)))</f>
        <v>0</v>
      </c>
      <c r="AO49">
        <f>IF($B49&gt;AO$2,0,IF(Datos!$C$4=1,IFERROR(MAX(Stock!AO49-Datos!$C$6,0),0),IFERROR(MAX(Datos!$C$6-Stock!AO49,0),0)))</f>
        <v>0</v>
      </c>
      <c r="AP49">
        <f>IF($B49&gt;AP$2,0,IF(Datos!$C$4=1,IFERROR(MAX(Stock!AP49-Datos!$C$6,0),0),IFERROR(MAX(Datos!$C$6-Stock!AP49,0),0)))</f>
        <v>0</v>
      </c>
      <c r="AQ49">
        <f>IF($B49&gt;AQ$2,0,IF(Datos!$C$4=1,IFERROR(MAX(Stock!AQ49-Datos!$C$6,0),0),IFERROR(MAX(Datos!$C$6-Stock!AQ49,0),0)))</f>
        <v>0</v>
      </c>
      <c r="AR49">
        <f>IF($B49&gt;AR$2,0,IF(Datos!$C$4=1,IFERROR(MAX(Stock!AR49-Datos!$C$6,0),0),IFERROR(MAX(Datos!$C$6-Stock!AR49,0),0)))</f>
        <v>0</v>
      </c>
      <c r="AS49">
        <f>IF($B49&gt;AS$2,0,IF(Datos!$C$4=1,IFERROR(MAX(Stock!AS49-Datos!$C$6,0),0),IFERROR(MAX(Datos!$C$6-Stock!AS49,0),0)))</f>
        <v>0</v>
      </c>
      <c r="AT49">
        <f>IF($B49&gt;AT$2,0,IF(Datos!$C$4=1,IFERROR(MAX(Stock!AT49-Datos!$C$6,0),0),IFERROR(MAX(Datos!$C$6-Stock!AT49,0),0)))</f>
        <v>0</v>
      </c>
      <c r="AU49">
        <f>IF($B49&gt;AU$2,0,IF(Datos!$C$4=1,IFERROR(MAX(Stock!AU49-Datos!$C$6,0),0),IFERROR(MAX(Datos!$C$6-Stock!AU49,0),0)))</f>
        <v>0</v>
      </c>
      <c r="AV49">
        <f>IF($B49&gt;AV$2,0,IF(Datos!$C$4=1,IFERROR(MAX(Stock!AV49-Datos!$C$6,0),0),IFERROR(MAX(Datos!$C$6-Stock!AV49,0),0)))</f>
        <v>0</v>
      </c>
      <c r="AW49">
        <f>IF($B49&gt;AW$2,0,IF(Datos!$C$4=1,IFERROR(MAX(Stock!AW49-Datos!$C$6,0),0),IFERROR(MAX(Datos!$C$6-Stock!AW49,0),0)))</f>
        <v>0</v>
      </c>
      <c r="AX49">
        <f>IF($B49&gt;AX$2,0,IF(Datos!$C$4=1,IFERROR(MAX(Stock!AX49-Datos!$C$6,0),0),IFERROR(MAX(Datos!$C$6-Stock!AX49,0),0)))</f>
        <v>0</v>
      </c>
      <c r="AY49">
        <f>IF($B49&gt;AY$2,0,IF(Datos!$C$4=1,IFERROR(MAX(Stock!AY49-Datos!$C$6,0),0),IFERROR(MAX(Datos!$C$6-Stock!AY49,0),0)))</f>
        <v>0</v>
      </c>
      <c r="AZ49">
        <f>IF($B49&gt;AZ$2,0,IF(Datos!$C$4=1,IFERROR(MAX(Stock!AZ49-Datos!$C$6,0),0),IFERROR(MAX(Datos!$C$6-Stock!AZ49,0),0)))</f>
        <v>0</v>
      </c>
      <c r="BA49">
        <f>IF($B49&gt;BA$2,0,IF(Datos!$C$4=1,IFERROR(MAX(Stock!BA49-Datos!$C$6,0),0),IFERROR(MAX(Datos!$C$6-Stock!BA49,0),0)))</f>
        <v>0</v>
      </c>
    </row>
    <row r="50" spans="2:53" x14ac:dyDescent="0.25">
      <c r="B50">
        <v>47</v>
      </c>
      <c r="D50">
        <f>IF($B50&gt;D$2,0,IF(Datos!$C$4=1,IFERROR(MAX(Stock!D50-Datos!$C$6,0),0),IFERROR(MAX(Datos!$C$6-Stock!D50,0),0)))</f>
        <v>0</v>
      </c>
      <c r="E50">
        <f>IF($B50&gt;E$2,0,IF(Datos!$C$4=1,IFERROR(MAX(Stock!E50-Datos!$C$6,0),0),IFERROR(MAX(Datos!$C$6-Stock!E50,0),0)))</f>
        <v>0</v>
      </c>
      <c r="F50">
        <f>IF($B50&gt;F$2,0,IF(Datos!$C$4=1,IFERROR(MAX(Stock!F50-Datos!$C$6,0),0),IFERROR(MAX(Datos!$C$6-Stock!F50,0),0)))</f>
        <v>0</v>
      </c>
      <c r="G50">
        <f>IF($B50&gt;G$2,0,IF(Datos!$C$4=1,IFERROR(MAX(Stock!G50-Datos!$C$6,0),0),IFERROR(MAX(Datos!$C$6-Stock!G50,0),0)))</f>
        <v>0</v>
      </c>
      <c r="H50">
        <f>IF($B50&gt;H$2,0,IF(Datos!$C$4=1,IFERROR(MAX(Stock!H50-Datos!$C$6,0),0),IFERROR(MAX(Datos!$C$6-Stock!H50,0),0)))</f>
        <v>0</v>
      </c>
      <c r="I50">
        <f>IF($B50&gt;I$2,0,IF(Datos!$C$4=1,IFERROR(MAX(Stock!I50-Datos!$C$6,0),0),IFERROR(MAX(Datos!$C$6-Stock!I50,0),0)))</f>
        <v>0</v>
      </c>
      <c r="J50">
        <f>IF($B50&gt;J$2,0,IF(Datos!$C$4=1,IFERROR(MAX(Stock!J50-Datos!$C$6,0),0),IFERROR(MAX(Datos!$C$6-Stock!J50,0),0)))</f>
        <v>0</v>
      </c>
      <c r="K50">
        <f>IF($B50&gt;K$2,0,IF(Datos!$C$4=1,IFERROR(MAX(Stock!K50-Datos!$C$6,0),0),IFERROR(MAX(Datos!$C$6-Stock!K50,0),0)))</f>
        <v>0</v>
      </c>
      <c r="L50">
        <f>IF($B50&gt;L$2,0,IF(Datos!$C$4=1,IFERROR(MAX(Stock!L50-Datos!$C$6,0),0),IFERROR(MAX(Datos!$C$6-Stock!L50,0),0)))</f>
        <v>0</v>
      </c>
      <c r="M50">
        <f>IF($B50&gt;M$2,0,IF(Datos!$C$4=1,IFERROR(MAX(Stock!M50-Datos!$C$6,0),0),IFERROR(MAX(Datos!$C$6-Stock!M50,0),0)))</f>
        <v>0</v>
      </c>
      <c r="N50">
        <f>IF($B50&gt;N$2,0,IF(Datos!$C$4=1,IFERROR(MAX(Stock!N50-Datos!$C$6,0),0),IFERROR(MAX(Datos!$C$6-Stock!N50,0),0)))</f>
        <v>0</v>
      </c>
      <c r="O50">
        <f>IF($B50&gt;O$2,0,IF(Datos!$C$4=1,IFERROR(MAX(Stock!O50-Datos!$C$6,0),0),IFERROR(MAX(Datos!$C$6-Stock!O50,0),0)))</f>
        <v>0</v>
      </c>
      <c r="P50">
        <f>IF($B50&gt;P$2,0,IF(Datos!$C$4=1,IFERROR(MAX(Stock!P50-Datos!$C$6,0),0),IFERROR(MAX(Datos!$C$6-Stock!P50,0),0)))</f>
        <v>0</v>
      </c>
      <c r="Q50">
        <f>IF($B50&gt;Q$2,0,IF(Datos!$C$4=1,IFERROR(MAX(Stock!Q50-Datos!$C$6,0),0),IFERROR(MAX(Datos!$C$6-Stock!Q50,0),0)))</f>
        <v>0</v>
      </c>
      <c r="R50">
        <f>IF($B50&gt;R$2,0,IF(Datos!$C$4=1,IFERROR(MAX(Stock!R50-Datos!$C$6,0),0),IFERROR(MAX(Datos!$C$6-Stock!R50,0),0)))</f>
        <v>0</v>
      </c>
      <c r="S50">
        <f>IF($B50&gt;S$2,0,IF(Datos!$C$4=1,IFERROR(MAX(Stock!S50-Datos!$C$6,0),0),IFERROR(MAX(Datos!$C$6-Stock!S50,0),0)))</f>
        <v>0</v>
      </c>
      <c r="T50">
        <f>IF($B50&gt;T$2,0,IF(Datos!$C$4=1,IFERROR(MAX(Stock!T50-Datos!$C$6,0),0),IFERROR(MAX(Datos!$C$6-Stock!T50,0),0)))</f>
        <v>0</v>
      </c>
      <c r="U50">
        <f>IF($B50&gt;U$2,0,IF(Datos!$C$4=1,IFERROR(MAX(Stock!U50-Datos!$C$6,0),0),IFERROR(MAX(Datos!$C$6-Stock!U50,0),0)))</f>
        <v>0</v>
      </c>
      <c r="V50">
        <f>IF($B50&gt;V$2,0,IF(Datos!$C$4=1,IFERROR(MAX(Stock!V50-Datos!$C$6,0),0),IFERROR(MAX(Datos!$C$6-Stock!V50,0),0)))</f>
        <v>0</v>
      </c>
      <c r="W50">
        <f>IF($B50&gt;W$2,0,IF(Datos!$C$4=1,IFERROR(MAX(Stock!W50-Datos!$C$6,0),0),IFERROR(MAX(Datos!$C$6-Stock!W50,0),0)))</f>
        <v>0</v>
      </c>
      <c r="X50">
        <f>IF($B50&gt;X$2,0,IF(Datos!$C$4=1,IFERROR(MAX(Stock!X50-Datos!$C$6,0),0),IFERROR(MAX(Datos!$C$6-Stock!X50,0),0)))</f>
        <v>0</v>
      </c>
      <c r="Y50">
        <f>IF($B50&gt;Y$2,0,IF(Datos!$C$4=1,IFERROR(MAX(Stock!Y50-Datos!$C$6,0),0),IFERROR(MAX(Datos!$C$6-Stock!Y50,0),0)))</f>
        <v>0</v>
      </c>
      <c r="Z50">
        <f>IF($B50&gt;Z$2,0,IF(Datos!$C$4=1,IFERROR(MAX(Stock!Z50-Datos!$C$6,0),0),IFERROR(MAX(Datos!$C$6-Stock!Z50,0),0)))</f>
        <v>0</v>
      </c>
      <c r="AA50">
        <f>IF($B50&gt;AA$2,0,IF(Datos!$C$4=1,IFERROR(MAX(Stock!AA50-Datos!$C$6,0),0),IFERROR(MAX(Datos!$C$6-Stock!AA50,0),0)))</f>
        <v>0</v>
      </c>
      <c r="AB50">
        <f>IF($B50&gt;AB$2,0,IF(Datos!$C$4=1,IFERROR(MAX(Stock!AB50-Datos!$C$6,0),0),IFERROR(MAX(Datos!$C$6-Stock!AB50,0),0)))</f>
        <v>0</v>
      </c>
      <c r="AC50">
        <f>IF($B50&gt;AC$2,0,IF(Datos!$C$4=1,IFERROR(MAX(Stock!AC50-Datos!$C$6,0),0),IFERROR(MAX(Datos!$C$6-Stock!AC50,0),0)))</f>
        <v>0</v>
      </c>
      <c r="AD50">
        <f>IF($B50&gt;AD$2,0,IF(Datos!$C$4=1,IFERROR(MAX(Stock!AD50-Datos!$C$6,0),0),IFERROR(MAX(Datos!$C$6-Stock!AD50,0),0)))</f>
        <v>0</v>
      </c>
      <c r="AE50">
        <f>IF($B50&gt;AE$2,0,IF(Datos!$C$4=1,IFERROR(MAX(Stock!AE50-Datos!$C$6,0),0),IFERROR(MAX(Datos!$C$6-Stock!AE50,0),0)))</f>
        <v>0</v>
      </c>
      <c r="AF50">
        <f>IF($B50&gt;AF$2,0,IF(Datos!$C$4=1,IFERROR(MAX(Stock!AF50-Datos!$C$6,0),0),IFERROR(MAX(Datos!$C$6-Stock!AF50,0),0)))</f>
        <v>0</v>
      </c>
      <c r="AG50">
        <f>IF($B50&gt;AG$2,0,IF(Datos!$C$4=1,IFERROR(MAX(Stock!AG50-Datos!$C$6,0),0),IFERROR(MAX(Datos!$C$6-Stock!AG50,0),0)))</f>
        <v>0</v>
      </c>
      <c r="AH50">
        <f>IF($B50&gt;AH$2,0,IF(Datos!$C$4=1,IFERROR(MAX(Stock!AH50-Datos!$C$6,0),0),IFERROR(MAX(Datos!$C$6-Stock!AH50,0),0)))</f>
        <v>0</v>
      </c>
      <c r="AI50">
        <f>IF($B50&gt;AI$2,0,IF(Datos!$C$4=1,IFERROR(MAX(Stock!AI50-Datos!$C$6,0),0),IFERROR(MAX(Datos!$C$6-Stock!AI50,0),0)))</f>
        <v>0</v>
      </c>
      <c r="AJ50">
        <f>IF($B50&gt;AJ$2,0,IF(Datos!$C$4=1,IFERROR(MAX(Stock!AJ50-Datos!$C$6,0),0),IFERROR(MAX(Datos!$C$6-Stock!AJ50,0),0)))</f>
        <v>0</v>
      </c>
      <c r="AK50">
        <f>IF($B50&gt;AK$2,0,IF(Datos!$C$4=1,IFERROR(MAX(Stock!AK50-Datos!$C$6,0),0),IFERROR(MAX(Datos!$C$6-Stock!AK50,0),0)))</f>
        <v>0</v>
      </c>
      <c r="AL50">
        <f>IF($B50&gt;AL$2,0,IF(Datos!$C$4=1,IFERROR(MAX(Stock!AL50-Datos!$C$6,0),0),IFERROR(MAX(Datos!$C$6-Stock!AL50,0),0)))</f>
        <v>0</v>
      </c>
      <c r="AM50">
        <f>IF($B50&gt;AM$2,0,IF(Datos!$C$4=1,IFERROR(MAX(Stock!AM50-Datos!$C$6,0),0),IFERROR(MAX(Datos!$C$6-Stock!AM50,0),0)))</f>
        <v>0</v>
      </c>
      <c r="AN50">
        <f>IF($B50&gt;AN$2,0,IF(Datos!$C$4=1,IFERROR(MAX(Stock!AN50-Datos!$C$6,0),0),IFERROR(MAX(Datos!$C$6-Stock!AN50,0),0)))</f>
        <v>0</v>
      </c>
      <c r="AO50">
        <f>IF($B50&gt;AO$2,0,IF(Datos!$C$4=1,IFERROR(MAX(Stock!AO50-Datos!$C$6,0),0),IFERROR(MAX(Datos!$C$6-Stock!AO50,0),0)))</f>
        <v>0</v>
      </c>
      <c r="AP50">
        <f>IF($B50&gt;AP$2,0,IF(Datos!$C$4=1,IFERROR(MAX(Stock!AP50-Datos!$C$6,0),0),IFERROR(MAX(Datos!$C$6-Stock!AP50,0),0)))</f>
        <v>0</v>
      </c>
      <c r="AQ50">
        <f>IF($B50&gt;AQ$2,0,IF(Datos!$C$4=1,IFERROR(MAX(Stock!AQ50-Datos!$C$6,0),0),IFERROR(MAX(Datos!$C$6-Stock!AQ50,0),0)))</f>
        <v>0</v>
      </c>
      <c r="AR50">
        <f>IF($B50&gt;AR$2,0,IF(Datos!$C$4=1,IFERROR(MAX(Stock!AR50-Datos!$C$6,0),0),IFERROR(MAX(Datos!$C$6-Stock!AR50,0),0)))</f>
        <v>0</v>
      </c>
      <c r="AS50">
        <f>IF($B50&gt;AS$2,0,IF(Datos!$C$4=1,IFERROR(MAX(Stock!AS50-Datos!$C$6,0),0),IFERROR(MAX(Datos!$C$6-Stock!AS50,0),0)))</f>
        <v>0</v>
      </c>
      <c r="AT50">
        <f>IF($B50&gt;AT$2,0,IF(Datos!$C$4=1,IFERROR(MAX(Stock!AT50-Datos!$C$6,0),0),IFERROR(MAX(Datos!$C$6-Stock!AT50,0),0)))</f>
        <v>0</v>
      </c>
      <c r="AU50">
        <f>IF($B50&gt;AU$2,0,IF(Datos!$C$4=1,IFERROR(MAX(Stock!AU50-Datos!$C$6,0),0),IFERROR(MAX(Datos!$C$6-Stock!AU50,0),0)))</f>
        <v>0</v>
      </c>
      <c r="AV50">
        <f>IF($B50&gt;AV$2,0,IF(Datos!$C$4=1,IFERROR(MAX(Stock!AV50-Datos!$C$6,0),0),IFERROR(MAX(Datos!$C$6-Stock!AV50,0),0)))</f>
        <v>0</v>
      </c>
      <c r="AW50">
        <f>IF($B50&gt;AW$2,0,IF(Datos!$C$4=1,IFERROR(MAX(Stock!AW50-Datos!$C$6,0),0),IFERROR(MAX(Datos!$C$6-Stock!AW50,0),0)))</f>
        <v>0</v>
      </c>
      <c r="AX50">
        <f>IF($B50&gt;AX$2,0,IF(Datos!$C$4=1,IFERROR(MAX(Stock!AX50-Datos!$C$6,0),0),IFERROR(MAX(Datos!$C$6-Stock!AX50,0),0)))</f>
        <v>0</v>
      </c>
      <c r="AY50">
        <f>IF($B50&gt;AY$2,0,IF(Datos!$C$4=1,IFERROR(MAX(Stock!AY50-Datos!$C$6,0),0),IFERROR(MAX(Datos!$C$6-Stock!AY50,0),0)))</f>
        <v>0</v>
      </c>
      <c r="AZ50">
        <f>IF($B50&gt;AZ$2,0,IF(Datos!$C$4=1,IFERROR(MAX(Stock!AZ50-Datos!$C$6,0),0),IFERROR(MAX(Datos!$C$6-Stock!AZ50,0),0)))</f>
        <v>0</v>
      </c>
      <c r="BA50">
        <f>IF($B50&gt;BA$2,0,IF(Datos!$C$4=1,IFERROR(MAX(Stock!BA50-Datos!$C$6,0),0),IFERROR(MAX(Datos!$C$6-Stock!BA50,0),0)))</f>
        <v>0</v>
      </c>
    </row>
    <row r="51" spans="2:53" x14ac:dyDescent="0.25">
      <c r="B51">
        <v>48</v>
      </c>
      <c r="D51">
        <f>IF($B51&gt;D$2,0,IF(Datos!$C$4=1,IFERROR(MAX(Stock!D51-Datos!$C$6,0),0),IFERROR(MAX(Datos!$C$6-Stock!D51,0),0)))</f>
        <v>0</v>
      </c>
      <c r="E51">
        <f>IF($B51&gt;E$2,0,IF(Datos!$C$4=1,IFERROR(MAX(Stock!E51-Datos!$C$6,0),0),IFERROR(MAX(Datos!$C$6-Stock!E51,0),0)))</f>
        <v>0</v>
      </c>
      <c r="F51">
        <f>IF($B51&gt;F$2,0,IF(Datos!$C$4=1,IFERROR(MAX(Stock!F51-Datos!$C$6,0),0),IFERROR(MAX(Datos!$C$6-Stock!F51,0),0)))</f>
        <v>0</v>
      </c>
      <c r="G51">
        <f>IF($B51&gt;G$2,0,IF(Datos!$C$4=1,IFERROR(MAX(Stock!G51-Datos!$C$6,0),0),IFERROR(MAX(Datos!$C$6-Stock!G51,0),0)))</f>
        <v>0</v>
      </c>
      <c r="H51">
        <f>IF($B51&gt;H$2,0,IF(Datos!$C$4=1,IFERROR(MAX(Stock!H51-Datos!$C$6,0),0),IFERROR(MAX(Datos!$C$6-Stock!H51,0),0)))</f>
        <v>0</v>
      </c>
      <c r="I51">
        <f>IF($B51&gt;I$2,0,IF(Datos!$C$4=1,IFERROR(MAX(Stock!I51-Datos!$C$6,0),0),IFERROR(MAX(Datos!$C$6-Stock!I51,0),0)))</f>
        <v>0</v>
      </c>
      <c r="J51">
        <f>IF($B51&gt;J$2,0,IF(Datos!$C$4=1,IFERROR(MAX(Stock!J51-Datos!$C$6,0),0),IFERROR(MAX(Datos!$C$6-Stock!J51,0),0)))</f>
        <v>0</v>
      </c>
      <c r="K51">
        <f>IF($B51&gt;K$2,0,IF(Datos!$C$4=1,IFERROR(MAX(Stock!K51-Datos!$C$6,0),0),IFERROR(MAX(Datos!$C$6-Stock!K51,0),0)))</f>
        <v>0</v>
      </c>
      <c r="L51">
        <f>IF($B51&gt;L$2,0,IF(Datos!$C$4=1,IFERROR(MAX(Stock!L51-Datos!$C$6,0),0),IFERROR(MAX(Datos!$C$6-Stock!L51,0),0)))</f>
        <v>0</v>
      </c>
      <c r="M51">
        <f>IF($B51&gt;M$2,0,IF(Datos!$C$4=1,IFERROR(MAX(Stock!M51-Datos!$C$6,0),0),IFERROR(MAX(Datos!$C$6-Stock!M51,0),0)))</f>
        <v>0</v>
      </c>
      <c r="N51">
        <f>IF($B51&gt;N$2,0,IF(Datos!$C$4=1,IFERROR(MAX(Stock!N51-Datos!$C$6,0),0),IFERROR(MAX(Datos!$C$6-Stock!N51,0),0)))</f>
        <v>0</v>
      </c>
      <c r="O51">
        <f>IF($B51&gt;O$2,0,IF(Datos!$C$4=1,IFERROR(MAX(Stock!O51-Datos!$C$6,0),0),IFERROR(MAX(Datos!$C$6-Stock!O51,0),0)))</f>
        <v>0</v>
      </c>
      <c r="P51">
        <f>IF($B51&gt;P$2,0,IF(Datos!$C$4=1,IFERROR(MAX(Stock!P51-Datos!$C$6,0),0),IFERROR(MAX(Datos!$C$6-Stock!P51,0),0)))</f>
        <v>0</v>
      </c>
      <c r="Q51">
        <f>IF($B51&gt;Q$2,0,IF(Datos!$C$4=1,IFERROR(MAX(Stock!Q51-Datos!$C$6,0),0),IFERROR(MAX(Datos!$C$6-Stock!Q51,0),0)))</f>
        <v>0</v>
      </c>
      <c r="R51">
        <f>IF($B51&gt;R$2,0,IF(Datos!$C$4=1,IFERROR(MAX(Stock!R51-Datos!$C$6,0),0),IFERROR(MAX(Datos!$C$6-Stock!R51,0),0)))</f>
        <v>0</v>
      </c>
      <c r="S51">
        <f>IF($B51&gt;S$2,0,IF(Datos!$C$4=1,IFERROR(MAX(Stock!S51-Datos!$C$6,0),0),IFERROR(MAX(Datos!$C$6-Stock!S51,0),0)))</f>
        <v>0</v>
      </c>
      <c r="T51">
        <f>IF($B51&gt;T$2,0,IF(Datos!$C$4=1,IFERROR(MAX(Stock!T51-Datos!$C$6,0),0),IFERROR(MAX(Datos!$C$6-Stock!T51,0),0)))</f>
        <v>0</v>
      </c>
      <c r="U51">
        <f>IF($B51&gt;U$2,0,IF(Datos!$C$4=1,IFERROR(MAX(Stock!U51-Datos!$C$6,0),0),IFERROR(MAX(Datos!$C$6-Stock!U51,0),0)))</f>
        <v>0</v>
      </c>
      <c r="V51">
        <f>IF($B51&gt;V$2,0,IF(Datos!$C$4=1,IFERROR(MAX(Stock!V51-Datos!$C$6,0),0),IFERROR(MAX(Datos!$C$6-Stock!V51,0),0)))</f>
        <v>0</v>
      </c>
      <c r="W51">
        <f>IF($B51&gt;W$2,0,IF(Datos!$C$4=1,IFERROR(MAX(Stock!W51-Datos!$C$6,0),0),IFERROR(MAX(Datos!$C$6-Stock!W51,0),0)))</f>
        <v>0</v>
      </c>
      <c r="X51">
        <f>IF($B51&gt;X$2,0,IF(Datos!$C$4=1,IFERROR(MAX(Stock!X51-Datos!$C$6,0),0),IFERROR(MAX(Datos!$C$6-Stock!X51,0),0)))</f>
        <v>0</v>
      </c>
      <c r="Y51">
        <f>IF($B51&gt;Y$2,0,IF(Datos!$C$4=1,IFERROR(MAX(Stock!Y51-Datos!$C$6,0),0),IFERROR(MAX(Datos!$C$6-Stock!Y51,0),0)))</f>
        <v>0</v>
      </c>
      <c r="Z51">
        <f>IF($B51&gt;Z$2,0,IF(Datos!$C$4=1,IFERROR(MAX(Stock!Z51-Datos!$C$6,0),0),IFERROR(MAX(Datos!$C$6-Stock!Z51,0),0)))</f>
        <v>0</v>
      </c>
      <c r="AA51">
        <f>IF($B51&gt;AA$2,0,IF(Datos!$C$4=1,IFERROR(MAX(Stock!AA51-Datos!$C$6,0),0),IFERROR(MAX(Datos!$C$6-Stock!AA51,0),0)))</f>
        <v>0</v>
      </c>
      <c r="AB51">
        <f>IF($B51&gt;AB$2,0,IF(Datos!$C$4=1,IFERROR(MAX(Stock!AB51-Datos!$C$6,0),0),IFERROR(MAX(Datos!$C$6-Stock!AB51,0),0)))</f>
        <v>0</v>
      </c>
      <c r="AC51">
        <f>IF($B51&gt;AC$2,0,IF(Datos!$C$4=1,IFERROR(MAX(Stock!AC51-Datos!$C$6,0),0),IFERROR(MAX(Datos!$C$6-Stock!AC51,0),0)))</f>
        <v>0</v>
      </c>
      <c r="AD51">
        <f>IF($B51&gt;AD$2,0,IF(Datos!$C$4=1,IFERROR(MAX(Stock!AD51-Datos!$C$6,0),0),IFERROR(MAX(Datos!$C$6-Stock!AD51,0),0)))</f>
        <v>0</v>
      </c>
      <c r="AE51">
        <f>IF($B51&gt;AE$2,0,IF(Datos!$C$4=1,IFERROR(MAX(Stock!AE51-Datos!$C$6,0),0),IFERROR(MAX(Datos!$C$6-Stock!AE51,0),0)))</f>
        <v>0</v>
      </c>
      <c r="AF51">
        <f>IF($B51&gt;AF$2,0,IF(Datos!$C$4=1,IFERROR(MAX(Stock!AF51-Datos!$C$6,0),0),IFERROR(MAX(Datos!$C$6-Stock!AF51,0),0)))</f>
        <v>0</v>
      </c>
      <c r="AG51">
        <f>IF($B51&gt;AG$2,0,IF(Datos!$C$4=1,IFERROR(MAX(Stock!AG51-Datos!$C$6,0),0),IFERROR(MAX(Datos!$C$6-Stock!AG51,0),0)))</f>
        <v>0</v>
      </c>
      <c r="AH51">
        <f>IF($B51&gt;AH$2,0,IF(Datos!$C$4=1,IFERROR(MAX(Stock!AH51-Datos!$C$6,0),0),IFERROR(MAX(Datos!$C$6-Stock!AH51,0),0)))</f>
        <v>0</v>
      </c>
      <c r="AI51">
        <f>IF($B51&gt;AI$2,0,IF(Datos!$C$4=1,IFERROR(MAX(Stock!AI51-Datos!$C$6,0),0),IFERROR(MAX(Datos!$C$6-Stock!AI51,0),0)))</f>
        <v>0</v>
      </c>
      <c r="AJ51">
        <f>IF($B51&gt;AJ$2,0,IF(Datos!$C$4=1,IFERROR(MAX(Stock!AJ51-Datos!$C$6,0),0),IFERROR(MAX(Datos!$C$6-Stock!AJ51,0),0)))</f>
        <v>0</v>
      </c>
      <c r="AK51">
        <f>IF($B51&gt;AK$2,0,IF(Datos!$C$4=1,IFERROR(MAX(Stock!AK51-Datos!$C$6,0),0),IFERROR(MAX(Datos!$C$6-Stock!AK51,0),0)))</f>
        <v>0</v>
      </c>
      <c r="AL51">
        <f>IF($B51&gt;AL$2,0,IF(Datos!$C$4=1,IFERROR(MAX(Stock!AL51-Datos!$C$6,0),0),IFERROR(MAX(Datos!$C$6-Stock!AL51,0),0)))</f>
        <v>0</v>
      </c>
      <c r="AM51">
        <f>IF($B51&gt;AM$2,0,IF(Datos!$C$4=1,IFERROR(MAX(Stock!AM51-Datos!$C$6,0),0),IFERROR(MAX(Datos!$C$6-Stock!AM51,0),0)))</f>
        <v>0</v>
      </c>
      <c r="AN51">
        <f>IF($B51&gt;AN$2,0,IF(Datos!$C$4=1,IFERROR(MAX(Stock!AN51-Datos!$C$6,0),0),IFERROR(MAX(Datos!$C$6-Stock!AN51,0),0)))</f>
        <v>0</v>
      </c>
      <c r="AO51">
        <f>IF($B51&gt;AO$2,0,IF(Datos!$C$4=1,IFERROR(MAX(Stock!AO51-Datos!$C$6,0),0),IFERROR(MAX(Datos!$C$6-Stock!AO51,0),0)))</f>
        <v>0</v>
      </c>
      <c r="AP51">
        <f>IF($B51&gt;AP$2,0,IF(Datos!$C$4=1,IFERROR(MAX(Stock!AP51-Datos!$C$6,0),0),IFERROR(MAX(Datos!$C$6-Stock!AP51,0),0)))</f>
        <v>0</v>
      </c>
      <c r="AQ51">
        <f>IF($B51&gt;AQ$2,0,IF(Datos!$C$4=1,IFERROR(MAX(Stock!AQ51-Datos!$C$6,0),0),IFERROR(MAX(Datos!$C$6-Stock!AQ51,0),0)))</f>
        <v>0</v>
      </c>
      <c r="AR51">
        <f>IF($B51&gt;AR$2,0,IF(Datos!$C$4=1,IFERROR(MAX(Stock!AR51-Datos!$C$6,0),0),IFERROR(MAX(Datos!$C$6-Stock!AR51,0),0)))</f>
        <v>0</v>
      </c>
      <c r="AS51">
        <f>IF($B51&gt;AS$2,0,IF(Datos!$C$4=1,IFERROR(MAX(Stock!AS51-Datos!$C$6,0),0),IFERROR(MAX(Datos!$C$6-Stock!AS51,0),0)))</f>
        <v>0</v>
      </c>
      <c r="AT51">
        <f>IF($B51&gt;AT$2,0,IF(Datos!$C$4=1,IFERROR(MAX(Stock!AT51-Datos!$C$6,0),0),IFERROR(MAX(Datos!$C$6-Stock!AT51,0),0)))</f>
        <v>0</v>
      </c>
      <c r="AU51">
        <f>IF($B51&gt;AU$2,0,IF(Datos!$C$4=1,IFERROR(MAX(Stock!AU51-Datos!$C$6,0),0),IFERROR(MAX(Datos!$C$6-Stock!AU51,0),0)))</f>
        <v>0</v>
      </c>
      <c r="AV51">
        <f>IF($B51&gt;AV$2,0,IF(Datos!$C$4=1,IFERROR(MAX(Stock!AV51-Datos!$C$6,0),0),IFERROR(MAX(Datos!$C$6-Stock!AV51,0),0)))</f>
        <v>0</v>
      </c>
      <c r="AW51">
        <f>IF($B51&gt;AW$2,0,IF(Datos!$C$4=1,IFERROR(MAX(Stock!AW51-Datos!$C$6,0),0),IFERROR(MAX(Datos!$C$6-Stock!AW51,0),0)))</f>
        <v>0</v>
      </c>
      <c r="AX51">
        <f>IF($B51&gt;AX$2,0,IF(Datos!$C$4=1,IFERROR(MAX(Stock!AX51-Datos!$C$6,0),0),IFERROR(MAX(Datos!$C$6-Stock!AX51,0),0)))</f>
        <v>0</v>
      </c>
      <c r="AY51">
        <f>IF($B51&gt;AY$2,0,IF(Datos!$C$4=1,IFERROR(MAX(Stock!AY51-Datos!$C$6,0),0),IFERROR(MAX(Datos!$C$6-Stock!AY51,0),0)))</f>
        <v>0</v>
      </c>
      <c r="AZ51">
        <f>IF($B51&gt;AZ$2,0,IF(Datos!$C$4=1,IFERROR(MAX(Stock!AZ51-Datos!$C$6,0),0),IFERROR(MAX(Datos!$C$6-Stock!AZ51,0),0)))</f>
        <v>0</v>
      </c>
      <c r="BA51">
        <f>IF($B51&gt;BA$2,0,IF(Datos!$C$4=1,IFERROR(MAX(Stock!BA51-Datos!$C$6,0),0),IFERROR(MAX(Datos!$C$6-Stock!BA51,0),0)))</f>
        <v>0</v>
      </c>
    </row>
    <row r="52" spans="2:53" x14ac:dyDescent="0.25">
      <c r="B52">
        <v>49</v>
      </c>
      <c r="D52">
        <f>IF($B52&gt;D$2,0,IF(Datos!$C$4=1,IFERROR(MAX(Stock!D52-Datos!$C$6,0),0),IFERROR(MAX(Datos!$C$6-Stock!D52,0),0)))</f>
        <v>0</v>
      </c>
      <c r="E52">
        <f>IF($B52&gt;E$2,0,IF(Datos!$C$4=1,IFERROR(MAX(Stock!E52-Datos!$C$6,0),0),IFERROR(MAX(Datos!$C$6-Stock!E52,0),0)))</f>
        <v>0</v>
      </c>
      <c r="F52">
        <f>IF($B52&gt;F$2,0,IF(Datos!$C$4=1,IFERROR(MAX(Stock!F52-Datos!$C$6,0),0),IFERROR(MAX(Datos!$C$6-Stock!F52,0),0)))</f>
        <v>0</v>
      </c>
      <c r="G52">
        <f>IF($B52&gt;G$2,0,IF(Datos!$C$4=1,IFERROR(MAX(Stock!G52-Datos!$C$6,0),0),IFERROR(MAX(Datos!$C$6-Stock!G52,0),0)))</f>
        <v>0</v>
      </c>
      <c r="H52">
        <f>IF($B52&gt;H$2,0,IF(Datos!$C$4=1,IFERROR(MAX(Stock!H52-Datos!$C$6,0),0),IFERROR(MAX(Datos!$C$6-Stock!H52,0),0)))</f>
        <v>0</v>
      </c>
      <c r="I52">
        <f>IF($B52&gt;I$2,0,IF(Datos!$C$4=1,IFERROR(MAX(Stock!I52-Datos!$C$6,0),0),IFERROR(MAX(Datos!$C$6-Stock!I52,0),0)))</f>
        <v>0</v>
      </c>
      <c r="J52">
        <f>IF($B52&gt;J$2,0,IF(Datos!$C$4=1,IFERROR(MAX(Stock!J52-Datos!$C$6,0),0),IFERROR(MAX(Datos!$C$6-Stock!J52,0),0)))</f>
        <v>0</v>
      </c>
      <c r="K52">
        <f>IF($B52&gt;K$2,0,IF(Datos!$C$4=1,IFERROR(MAX(Stock!K52-Datos!$C$6,0),0),IFERROR(MAX(Datos!$C$6-Stock!K52,0),0)))</f>
        <v>0</v>
      </c>
      <c r="L52">
        <f>IF($B52&gt;L$2,0,IF(Datos!$C$4=1,IFERROR(MAX(Stock!L52-Datos!$C$6,0),0),IFERROR(MAX(Datos!$C$6-Stock!L52,0),0)))</f>
        <v>0</v>
      </c>
      <c r="M52">
        <f>IF($B52&gt;M$2,0,IF(Datos!$C$4=1,IFERROR(MAX(Stock!M52-Datos!$C$6,0),0),IFERROR(MAX(Datos!$C$6-Stock!M52,0),0)))</f>
        <v>0</v>
      </c>
      <c r="N52">
        <f>IF($B52&gt;N$2,0,IF(Datos!$C$4=1,IFERROR(MAX(Stock!N52-Datos!$C$6,0),0),IFERROR(MAX(Datos!$C$6-Stock!N52,0),0)))</f>
        <v>0</v>
      </c>
      <c r="O52">
        <f>IF($B52&gt;O$2,0,IF(Datos!$C$4=1,IFERROR(MAX(Stock!O52-Datos!$C$6,0),0),IFERROR(MAX(Datos!$C$6-Stock!O52,0),0)))</f>
        <v>0</v>
      </c>
      <c r="P52">
        <f>IF($B52&gt;P$2,0,IF(Datos!$C$4=1,IFERROR(MAX(Stock!P52-Datos!$C$6,0),0),IFERROR(MAX(Datos!$C$6-Stock!P52,0),0)))</f>
        <v>0</v>
      </c>
      <c r="Q52">
        <f>IF($B52&gt;Q$2,0,IF(Datos!$C$4=1,IFERROR(MAX(Stock!Q52-Datos!$C$6,0),0),IFERROR(MAX(Datos!$C$6-Stock!Q52,0),0)))</f>
        <v>0</v>
      </c>
      <c r="R52">
        <f>IF($B52&gt;R$2,0,IF(Datos!$C$4=1,IFERROR(MAX(Stock!R52-Datos!$C$6,0),0),IFERROR(MAX(Datos!$C$6-Stock!R52,0),0)))</f>
        <v>0</v>
      </c>
      <c r="S52">
        <f>IF($B52&gt;S$2,0,IF(Datos!$C$4=1,IFERROR(MAX(Stock!S52-Datos!$C$6,0),0),IFERROR(MAX(Datos!$C$6-Stock!S52,0),0)))</f>
        <v>0</v>
      </c>
      <c r="T52">
        <f>IF($B52&gt;T$2,0,IF(Datos!$C$4=1,IFERROR(MAX(Stock!T52-Datos!$C$6,0),0),IFERROR(MAX(Datos!$C$6-Stock!T52,0),0)))</f>
        <v>0</v>
      </c>
      <c r="U52">
        <f>IF($B52&gt;U$2,0,IF(Datos!$C$4=1,IFERROR(MAX(Stock!U52-Datos!$C$6,0),0),IFERROR(MAX(Datos!$C$6-Stock!U52,0),0)))</f>
        <v>0</v>
      </c>
      <c r="V52">
        <f>IF($B52&gt;V$2,0,IF(Datos!$C$4=1,IFERROR(MAX(Stock!V52-Datos!$C$6,0),0),IFERROR(MAX(Datos!$C$6-Stock!V52,0),0)))</f>
        <v>0</v>
      </c>
      <c r="W52">
        <f>IF($B52&gt;W$2,0,IF(Datos!$C$4=1,IFERROR(MAX(Stock!W52-Datos!$C$6,0),0),IFERROR(MAX(Datos!$C$6-Stock!W52,0),0)))</f>
        <v>0</v>
      </c>
      <c r="X52">
        <f>IF($B52&gt;X$2,0,IF(Datos!$C$4=1,IFERROR(MAX(Stock!X52-Datos!$C$6,0),0),IFERROR(MAX(Datos!$C$6-Stock!X52,0),0)))</f>
        <v>0</v>
      </c>
      <c r="Y52">
        <f>IF($B52&gt;Y$2,0,IF(Datos!$C$4=1,IFERROR(MAX(Stock!Y52-Datos!$C$6,0),0),IFERROR(MAX(Datos!$C$6-Stock!Y52,0),0)))</f>
        <v>0</v>
      </c>
      <c r="Z52">
        <f>IF($B52&gt;Z$2,0,IF(Datos!$C$4=1,IFERROR(MAX(Stock!Z52-Datos!$C$6,0),0),IFERROR(MAX(Datos!$C$6-Stock!Z52,0),0)))</f>
        <v>0</v>
      </c>
      <c r="AA52">
        <f>IF($B52&gt;AA$2,0,IF(Datos!$C$4=1,IFERROR(MAX(Stock!AA52-Datos!$C$6,0),0),IFERROR(MAX(Datos!$C$6-Stock!AA52,0),0)))</f>
        <v>0</v>
      </c>
      <c r="AB52">
        <f>IF($B52&gt;AB$2,0,IF(Datos!$C$4=1,IFERROR(MAX(Stock!AB52-Datos!$C$6,0),0),IFERROR(MAX(Datos!$C$6-Stock!AB52,0),0)))</f>
        <v>0</v>
      </c>
      <c r="AC52">
        <f>IF($B52&gt;AC$2,0,IF(Datos!$C$4=1,IFERROR(MAX(Stock!AC52-Datos!$C$6,0),0),IFERROR(MAX(Datos!$C$6-Stock!AC52,0),0)))</f>
        <v>0</v>
      </c>
      <c r="AD52">
        <f>IF($B52&gt;AD$2,0,IF(Datos!$C$4=1,IFERROR(MAX(Stock!AD52-Datos!$C$6,0),0),IFERROR(MAX(Datos!$C$6-Stock!AD52,0),0)))</f>
        <v>0</v>
      </c>
      <c r="AE52">
        <f>IF($B52&gt;AE$2,0,IF(Datos!$C$4=1,IFERROR(MAX(Stock!AE52-Datos!$C$6,0),0),IFERROR(MAX(Datos!$C$6-Stock!AE52,0),0)))</f>
        <v>0</v>
      </c>
      <c r="AF52">
        <f>IF($B52&gt;AF$2,0,IF(Datos!$C$4=1,IFERROR(MAX(Stock!AF52-Datos!$C$6,0),0),IFERROR(MAX(Datos!$C$6-Stock!AF52,0),0)))</f>
        <v>0</v>
      </c>
      <c r="AG52">
        <f>IF($B52&gt;AG$2,0,IF(Datos!$C$4=1,IFERROR(MAX(Stock!AG52-Datos!$C$6,0),0),IFERROR(MAX(Datos!$C$6-Stock!AG52,0),0)))</f>
        <v>0</v>
      </c>
      <c r="AH52">
        <f>IF($B52&gt;AH$2,0,IF(Datos!$C$4=1,IFERROR(MAX(Stock!AH52-Datos!$C$6,0),0),IFERROR(MAX(Datos!$C$6-Stock!AH52,0),0)))</f>
        <v>0</v>
      </c>
      <c r="AI52">
        <f>IF($B52&gt;AI$2,0,IF(Datos!$C$4=1,IFERROR(MAX(Stock!AI52-Datos!$C$6,0),0),IFERROR(MAX(Datos!$C$6-Stock!AI52,0),0)))</f>
        <v>0</v>
      </c>
      <c r="AJ52">
        <f>IF($B52&gt;AJ$2,0,IF(Datos!$C$4=1,IFERROR(MAX(Stock!AJ52-Datos!$C$6,0),0),IFERROR(MAX(Datos!$C$6-Stock!AJ52,0),0)))</f>
        <v>0</v>
      </c>
      <c r="AK52">
        <f>IF($B52&gt;AK$2,0,IF(Datos!$C$4=1,IFERROR(MAX(Stock!AK52-Datos!$C$6,0),0),IFERROR(MAX(Datos!$C$6-Stock!AK52,0),0)))</f>
        <v>0</v>
      </c>
      <c r="AL52">
        <f>IF($B52&gt;AL$2,0,IF(Datos!$C$4=1,IFERROR(MAX(Stock!AL52-Datos!$C$6,0),0),IFERROR(MAX(Datos!$C$6-Stock!AL52,0),0)))</f>
        <v>0</v>
      </c>
      <c r="AM52">
        <f>IF($B52&gt;AM$2,0,IF(Datos!$C$4=1,IFERROR(MAX(Stock!AM52-Datos!$C$6,0),0),IFERROR(MAX(Datos!$C$6-Stock!AM52,0),0)))</f>
        <v>0</v>
      </c>
      <c r="AN52">
        <f>IF($B52&gt;AN$2,0,IF(Datos!$C$4=1,IFERROR(MAX(Stock!AN52-Datos!$C$6,0),0),IFERROR(MAX(Datos!$C$6-Stock!AN52,0),0)))</f>
        <v>0</v>
      </c>
      <c r="AO52">
        <f>IF($B52&gt;AO$2,0,IF(Datos!$C$4=1,IFERROR(MAX(Stock!AO52-Datos!$C$6,0),0),IFERROR(MAX(Datos!$C$6-Stock!AO52,0),0)))</f>
        <v>0</v>
      </c>
      <c r="AP52">
        <f>IF($B52&gt;AP$2,0,IF(Datos!$C$4=1,IFERROR(MAX(Stock!AP52-Datos!$C$6,0),0),IFERROR(MAX(Datos!$C$6-Stock!AP52,0),0)))</f>
        <v>0</v>
      </c>
      <c r="AQ52">
        <f>IF($B52&gt;AQ$2,0,IF(Datos!$C$4=1,IFERROR(MAX(Stock!AQ52-Datos!$C$6,0),0),IFERROR(MAX(Datos!$C$6-Stock!AQ52,0),0)))</f>
        <v>0</v>
      </c>
      <c r="AR52">
        <f>IF($B52&gt;AR$2,0,IF(Datos!$C$4=1,IFERROR(MAX(Stock!AR52-Datos!$C$6,0),0),IFERROR(MAX(Datos!$C$6-Stock!AR52,0),0)))</f>
        <v>0</v>
      </c>
      <c r="AS52">
        <f>IF($B52&gt;AS$2,0,IF(Datos!$C$4=1,IFERROR(MAX(Stock!AS52-Datos!$C$6,0),0),IFERROR(MAX(Datos!$C$6-Stock!AS52,0),0)))</f>
        <v>0</v>
      </c>
      <c r="AT52">
        <f>IF($B52&gt;AT$2,0,IF(Datos!$C$4=1,IFERROR(MAX(Stock!AT52-Datos!$C$6,0),0),IFERROR(MAX(Datos!$C$6-Stock!AT52,0),0)))</f>
        <v>0</v>
      </c>
      <c r="AU52">
        <f>IF($B52&gt;AU$2,0,IF(Datos!$C$4=1,IFERROR(MAX(Stock!AU52-Datos!$C$6,0),0),IFERROR(MAX(Datos!$C$6-Stock!AU52,0),0)))</f>
        <v>0</v>
      </c>
      <c r="AV52">
        <f>IF($B52&gt;AV$2,0,IF(Datos!$C$4=1,IFERROR(MAX(Stock!AV52-Datos!$C$6,0),0),IFERROR(MAX(Datos!$C$6-Stock!AV52,0),0)))</f>
        <v>0</v>
      </c>
      <c r="AW52">
        <f>IF($B52&gt;AW$2,0,IF(Datos!$C$4=1,IFERROR(MAX(Stock!AW52-Datos!$C$6,0),0),IFERROR(MAX(Datos!$C$6-Stock!AW52,0),0)))</f>
        <v>0</v>
      </c>
      <c r="AX52">
        <f>IF($B52&gt;AX$2,0,IF(Datos!$C$4=1,IFERROR(MAX(Stock!AX52-Datos!$C$6,0),0),IFERROR(MAX(Datos!$C$6-Stock!AX52,0),0)))</f>
        <v>0</v>
      </c>
      <c r="AY52">
        <f>IF($B52&gt;AY$2,0,IF(Datos!$C$4=1,IFERROR(MAX(Stock!AY52-Datos!$C$6,0),0),IFERROR(MAX(Datos!$C$6-Stock!AY52,0),0)))</f>
        <v>0</v>
      </c>
      <c r="AZ52">
        <f>IF($B52&gt;AZ$2,0,IF(Datos!$C$4=1,IFERROR(MAX(Stock!AZ52-Datos!$C$6,0),0),IFERROR(MAX(Datos!$C$6-Stock!AZ52,0),0)))</f>
        <v>0</v>
      </c>
      <c r="BA52">
        <f>IF($B52&gt;BA$2,0,IF(Datos!$C$4=1,IFERROR(MAX(Stock!BA52-Datos!$C$6,0),0),IFERROR(MAX(Datos!$C$6-Stock!BA52,0),0)))</f>
        <v>0</v>
      </c>
    </row>
    <row r="53" spans="2:53" x14ac:dyDescent="0.25">
      <c r="B53">
        <v>50</v>
      </c>
      <c r="D53">
        <f>IF($B53&gt;D$2,0,IF(Datos!$C$4=1,IFERROR(MAX(Stock!D53-Datos!$C$6,0),0),IFERROR(MAX(Datos!$C$6-Stock!D53,0),0)))</f>
        <v>0</v>
      </c>
      <c r="E53">
        <f>IF($B53&gt;E$2,0,IF(Datos!$C$4=1,IFERROR(MAX(Stock!E53-Datos!$C$6,0),0),IFERROR(MAX(Datos!$C$6-Stock!E53,0),0)))</f>
        <v>0</v>
      </c>
      <c r="F53">
        <f>IF($B53&gt;F$2,0,IF(Datos!$C$4=1,IFERROR(MAX(Stock!F53-Datos!$C$6,0),0),IFERROR(MAX(Datos!$C$6-Stock!F53,0),0)))</f>
        <v>0</v>
      </c>
      <c r="G53">
        <f>IF($B53&gt;G$2,0,IF(Datos!$C$4=1,IFERROR(MAX(Stock!G53-Datos!$C$6,0),0),IFERROR(MAX(Datos!$C$6-Stock!G53,0),0)))</f>
        <v>0</v>
      </c>
      <c r="H53">
        <f>IF($B53&gt;H$2,0,IF(Datos!$C$4=1,IFERROR(MAX(Stock!H53-Datos!$C$6,0),0),IFERROR(MAX(Datos!$C$6-Stock!H53,0),0)))</f>
        <v>0</v>
      </c>
      <c r="I53">
        <f>IF($B53&gt;I$2,0,IF(Datos!$C$4=1,IFERROR(MAX(Stock!I53-Datos!$C$6,0),0),IFERROR(MAX(Datos!$C$6-Stock!I53,0),0)))</f>
        <v>0</v>
      </c>
      <c r="J53">
        <f>IF($B53&gt;J$2,0,IF(Datos!$C$4=1,IFERROR(MAX(Stock!J53-Datos!$C$6,0),0),IFERROR(MAX(Datos!$C$6-Stock!J53,0),0)))</f>
        <v>0</v>
      </c>
      <c r="K53">
        <f>IF($B53&gt;K$2,0,IF(Datos!$C$4=1,IFERROR(MAX(Stock!K53-Datos!$C$6,0),0),IFERROR(MAX(Datos!$C$6-Stock!K53,0),0)))</f>
        <v>0</v>
      </c>
      <c r="L53">
        <f>IF($B53&gt;L$2,0,IF(Datos!$C$4=1,IFERROR(MAX(Stock!L53-Datos!$C$6,0),0),IFERROR(MAX(Datos!$C$6-Stock!L53,0),0)))</f>
        <v>0</v>
      </c>
      <c r="M53">
        <f>IF($B53&gt;M$2,0,IF(Datos!$C$4=1,IFERROR(MAX(Stock!M53-Datos!$C$6,0),0),IFERROR(MAX(Datos!$C$6-Stock!M53,0),0)))</f>
        <v>0</v>
      </c>
      <c r="N53">
        <f>IF($B53&gt;N$2,0,IF(Datos!$C$4=1,IFERROR(MAX(Stock!N53-Datos!$C$6,0),0),IFERROR(MAX(Datos!$C$6-Stock!N53,0),0)))</f>
        <v>0</v>
      </c>
      <c r="O53">
        <f>IF($B53&gt;O$2,0,IF(Datos!$C$4=1,IFERROR(MAX(Stock!O53-Datos!$C$6,0),0),IFERROR(MAX(Datos!$C$6-Stock!O53,0),0)))</f>
        <v>0</v>
      </c>
      <c r="P53">
        <f>IF($B53&gt;P$2,0,IF(Datos!$C$4=1,IFERROR(MAX(Stock!P53-Datos!$C$6,0),0),IFERROR(MAX(Datos!$C$6-Stock!P53,0),0)))</f>
        <v>0</v>
      </c>
      <c r="Q53">
        <f>IF($B53&gt;Q$2,0,IF(Datos!$C$4=1,IFERROR(MAX(Stock!Q53-Datos!$C$6,0),0),IFERROR(MAX(Datos!$C$6-Stock!Q53,0),0)))</f>
        <v>0</v>
      </c>
      <c r="R53">
        <f>IF($B53&gt;R$2,0,IF(Datos!$C$4=1,IFERROR(MAX(Stock!R53-Datos!$C$6,0),0),IFERROR(MAX(Datos!$C$6-Stock!R53,0),0)))</f>
        <v>0</v>
      </c>
      <c r="S53">
        <f>IF($B53&gt;S$2,0,IF(Datos!$C$4=1,IFERROR(MAX(Stock!S53-Datos!$C$6,0),0),IFERROR(MAX(Datos!$C$6-Stock!S53,0),0)))</f>
        <v>0</v>
      </c>
      <c r="T53">
        <f>IF($B53&gt;T$2,0,IF(Datos!$C$4=1,IFERROR(MAX(Stock!T53-Datos!$C$6,0),0),IFERROR(MAX(Datos!$C$6-Stock!T53,0),0)))</f>
        <v>0</v>
      </c>
      <c r="U53">
        <f>IF($B53&gt;U$2,0,IF(Datos!$C$4=1,IFERROR(MAX(Stock!U53-Datos!$C$6,0),0),IFERROR(MAX(Datos!$C$6-Stock!U53,0),0)))</f>
        <v>0</v>
      </c>
      <c r="V53">
        <f>IF($B53&gt;V$2,0,IF(Datos!$C$4=1,IFERROR(MAX(Stock!V53-Datos!$C$6,0),0),IFERROR(MAX(Datos!$C$6-Stock!V53,0),0)))</f>
        <v>0</v>
      </c>
      <c r="W53">
        <f>IF($B53&gt;W$2,0,IF(Datos!$C$4=1,IFERROR(MAX(Stock!W53-Datos!$C$6,0),0),IFERROR(MAX(Datos!$C$6-Stock!W53,0),0)))</f>
        <v>0</v>
      </c>
      <c r="X53">
        <f>IF($B53&gt;X$2,0,IF(Datos!$C$4=1,IFERROR(MAX(Stock!X53-Datos!$C$6,0),0),IFERROR(MAX(Datos!$C$6-Stock!X53,0),0)))</f>
        <v>0</v>
      </c>
      <c r="Y53">
        <f>IF($B53&gt;Y$2,0,IF(Datos!$C$4=1,IFERROR(MAX(Stock!Y53-Datos!$C$6,0),0),IFERROR(MAX(Datos!$C$6-Stock!Y53,0),0)))</f>
        <v>0</v>
      </c>
      <c r="Z53">
        <f>IF($B53&gt;Z$2,0,IF(Datos!$C$4=1,IFERROR(MAX(Stock!Z53-Datos!$C$6,0),0),IFERROR(MAX(Datos!$C$6-Stock!Z53,0),0)))</f>
        <v>0</v>
      </c>
      <c r="AA53">
        <f>IF($B53&gt;AA$2,0,IF(Datos!$C$4=1,IFERROR(MAX(Stock!AA53-Datos!$C$6,0),0),IFERROR(MAX(Datos!$C$6-Stock!AA53,0),0)))</f>
        <v>0</v>
      </c>
      <c r="AB53">
        <f>IF($B53&gt;AB$2,0,IF(Datos!$C$4=1,IFERROR(MAX(Stock!AB53-Datos!$C$6,0),0),IFERROR(MAX(Datos!$C$6-Stock!AB53,0),0)))</f>
        <v>0</v>
      </c>
      <c r="AC53">
        <f>IF($B53&gt;AC$2,0,IF(Datos!$C$4=1,IFERROR(MAX(Stock!AC53-Datos!$C$6,0),0),IFERROR(MAX(Datos!$C$6-Stock!AC53,0),0)))</f>
        <v>0</v>
      </c>
      <c r="AD53">
        <f>IF($B53&gt;AD$2,0,IF(Datos!$C$4=1,IFERROR(MAX(Stock!AD53-Datos!$C$6,0),0),IFERROR(MAX(Datos!$C$6-Stock!AD53,0),0)))</f>
        <v>0</v>
      </c>
      <c r="AE53">
        <f>IF($B53&gt;AE$2,0,IF(Datos!$C$4=1,IFERROR(MAX(Stock!AE53-Datos!$C$6,0),0),IFERROR(MAX(Datos!$C$6-Stock!AE53,0),0)))</f>
        <v>0</v>
      </c>
      <c r="AF53">
        <f>IF($B53&gt;AF$2,0,IF(Datos!$C$4=1,IFERROR(MAX(Stock!AF53-Datos!$C$6,0),0),IFERROR(MAX(Datos!$C$6-Stock!AF53,0),0)))</f>
        <v>0</v>
      </c>
      <c r="AG53">
        <f>IF($B53&gt;AG$2,0,IF(Datos!$C$4=1,IFERROR(MAX(Stock!AG53-Datos!$C$6,0),0),IFERROR(MAX(Datos!$C$6-Stock!AG53,0),0)))</f>
        <v>0</v>
      </c>
      <c r="AH53">
        <f>IF($B53&gt;AH$2,0,IF(Datos!$C$4=1,IFERROR(MAX(Stock!AH53-Datos!$C$6,0),0),IFERROR(MAX(Datos!$C$6-Stock!AH53,0),0)))</f>
        <v>0</v>
      </c>
      <c r="AI53">
        <f>IF($B53&gt;AI$2,0,IF(Datos!$C$4=1,IFERROR(MAX(Stock!AI53-Datos!$C$6,0),0),IFERROR(MAX(Datos!$C$6-Stock!AI53,0),0)))</f>
        <v>0</v>
      </c>
      <c r="AJ53">
        <f>IF($B53&gt;AJ$2,0,IF(Datos!$C$4=1,IFERROR(MAX(Stock!AJ53-Datos!$C$6,0),0),IFERROR(MAX(Datos!$C$6-Stock!AJ53,0),0)))</f>
        <v>0</v>
      </c>
      <c r="AK53">
        <f>IF($B53&gt;AK$2,0,IF(Datos!$C$4=1,IFERROR(MAX(Stock!AK53-Datos!$C$6,0),0),IFERROR(MAX(Datos!$C$6-Stock!AK53,0),0)))</f>
        <v>0</v>
      </c>
      <c r="AL53">
        <f>IF($B53&gt;AL$2,0,IF(Datos!$C$4=1,IFERROR(MAX(Stock!AL53-Datos!$C$6,0),0),IFERROR(MAX(Datos!$C$6-Stock!AL53,0),0)))</f>
        <v>0</v>
      </c>
      <c r="AM53">
        <f>IF($B53&gt;AM$2,0,IF(Datos!$C$4=1,IFERROR(MAX(Stock!AM53-Datos!$C$6,0),0),IFERROR(MAX(Datos!$C$6-Stock!AM53,0),0)))</f>
        <v>0</v>
      </c>
      <c r="AN53">
        <f>IF($B53&gt;AN$2,0,IF(Datos!$C$4=1,IFERROR(MAX(Stock!AN53-Datos!$C$6,0),0),IFERROR(MAX(Datos!$C$6-Stock!AN53,0),0)))</f>
        <v>0</v>
      </c>
      <c r="AO53">
        <f>IF($B53&gt;AO$2,0,IF(Datos!$C$4=1,IFERROR(MAX(Stock!AO53-Datos!$C$6,0),0),IFERROR(MAX(Datos!$C$6-Stock!AO53,0),0)))</f>
        <v>0</v>
      </c>
      <c r="AP53">
        <f>IF($B53&gt;AP$2,0,IF(Datos!$C$4=1,IFERROR(MAX(Stock!AP53-Datos!$C$6,0),0),IFERROR(MAX(Datos!$C$6-Stock!AP53,0),0)))</f>
        <v>0</v>
      </c>
      <c r="AQ53">
        <f>IF($B53&gt;AQ$2,0,IF(Datos!$C$4=1,IFERROR(MAX(Stock!AQ53-Datos!$C$6,0),0),IFERROR(MAX(Datos!$C$6-Stock!AQ53,0),0)))</f>
        <v>0</v>
      </c>
      <c r="AR53">
        <f>IF($B53&gt;AR$2,0,IF(Datos!$C$4=1,IFERROR(MAX(Stock!AR53-Datos!$C$6,0),0),IFERROR(MAX(Datos!$C$6-Stock!AR53,0),0)))</f>
        <v>0</v>
      </c>
      <c r="AS53">
        <f>IF($B53&gt;AS$2,0,IF(Datos!$C$4=1,IFERROR(MAX(Stock!AS53-Datos!$C$6,0),0),IFERROR(MAX(Datos!$C$6-Stock!AS53,0),0)))</f>
        <v>0</v>
      </c>
      <c r="AT53">
        <f>IF($B53&gt;AT$2,0,IF(Datos!$C$4=1,IFERROR(MAX(Stock!AT53-Datos!$C$6,0),0),IFERROR(MAX(Datos!$C$6-Stock!AT53,0),0)))</f>
        <v>0</v>
      </c>
      <c r="AU53">
        <f>IF($B53&gt;AU$2,0,IF(Datos!$C$4=1,IFERROR(MAX(Stock!AU53-Datos!$C$6,0),0),IFERROR(MAX(Datos!$C$6-Stock!AU53,0),0)))</f>
        <v>0</v>
      </c>
      <c r="AV53">
        <f>IF($B53&gt;AV$2,0,IF(Datos!$C$4=1,IFERROR(MAX(Stock!AV53-Datos!$C$6,0),0),IFERROR(MAX(Datos!$C$6-Stock!AV53,0),0)))</f>
        <v>0</v>
      </c>
      <c r="AW53">
        <f>IF($B53&gt;AW$2,0,IF(Datos!$C$4=1,IFERROR(MAX(Stock!AW53-Datos!$C$6,0),0),IFERROR(MAX(Datos!$C$6-Stock!AW53,0),0)))</f>
        <v>0</v>
      </c>
      <c r="AX53">
        <f>IF($B53&gt;AX$2,0,IF(Datos!$C$4=1,IFERROR(MAX(Stock!AX53-Datos!$C$6,0),0),IFERROR(MAX(Datos!$C$6-Stock!AX53,0),0)))</f>
        <v>0</v>
      </c>
      <c r="AY53">
        <f>IF($B53&gt;AY$2,0,IF(Datos!$C$4=1,IFERROR(MAX(Stock!AY53-Datos!$C$6,0),0),IFERROR(MAX(Datos!$C$6-Stock!AY53,0),0)))</f>
        <v>0</v>
      </c>
      <c r="AZ53">
        <f>IF($B53&gt;AZ$2,0,IF(Datos!$C$4=1,IFERROR(MAX(Stock!AZ53-Datos!$C$6,0),0),IFERROR(MAX(Datos!$C$6-Stock!AZ53,0),0)))</f>
        <v>0</v>
      </c>
      <c r="BA53">
        <f>IF($B53&gt;BA$2,0,IF(Datos!$C$4=1,IFERROR(MAX(Stock!BA53-Datos!$C$6,0),0),IFERROR(MAX(Datos!$C$6-Stock!BA53,0),0)))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B2:CX102"/>
  <sheetViews>
    <sheetView zoomScale="120" zoomScaleNormal="120" workbookViewId="0"/>
  </sheetViews>
  <sheetFormatPr baseColWidth="10" defaultRowHeight="15" x14ac:dyDescent="0.25"/>
  <cols>
    <col min="1" max="1" width="11.42578125" style="6"/>
    <col min="2" max="2" width="3.140625" style="6" bestFit="1" customWidth="1"/>
    <col min="3" max="5" width="13.28515625" style="6" bestFit="1" customWidth="1"/>
    <col min="6" max="16384" width="11.42578125" style="6"/>
  </cols>
  <sheetData>
    <row r="2" spans="2:102" x14ac:dyDescent="0.25"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</row>
    <row r="3" spans="2:102" x14ac:dyDescent="0.25">
      <c r="B3" s="6">
        <v>0</v>
      </c>
      <c r="C3" s="29">
        <v>0.99998651630959767</v>
      </c>
      <c r="D3" s="29">
        <v>0.99999344698503734</v>
      </c>
      <c r="E3" s="29">
        <v>0.99999696523199499</v>
      </c>
      <c r="F3" s="32">
        <v>0.99999866704108542</v>
      </c>
      <c r="G3" s="22">
        <v>0.99999944776732463</v>
      </c>
      <c r="H3" s="22">
        <v>0.99999978560816827</v>
      </c>
      <c r="I3" s="22">
        <v>0.99999992261204018</v>
      </c>
      <c r="J3" s="22">
        <v>0.99999997427443599</v>
      </c>
      <c r="K3" s="22">
        <v>0.99999999221765801</v>
      </c>
      <c r="L3" s="22">
        <v>0.99999999788989413</v>
      </c>
      <c r="M3" s="22">
        <v>0.99999999949738083</v>
      </c>
      <c r="N3" s="22">
        <v>0.99999999989768329</v>
      </c>
      <c r="O3" s="22">
        <v>0.99999999998289879</v>
      </c>
      <c r="P3" s="22">
        <v>0.9999999999977961</v>
      </c>
      <c r="Q3" s="22">
        <v>0.99999999999980294</v>
      </c>
      <c r="R3" s="22">
        <v>0.99999999999998834</v>
      </c>
      <c r="S3" s="22">
        <v>0.999999999999997</v>
      </c>
      <c r="T3" s="22">
        <v>0.99999999999999734</v>
      </c>
      <c r="U3" s="22">
        <v>0.99999999999999745</v>
      </c>
      <c r="V3" s="22">
        <v>0.99999999999999667</v>
      </c>
      <c r="W3" s="22">
        <v>0.99999999999999667</v>
      </c>
      <c r="X3" s="22">
        <v>0.99999999999999689</v>
      </c>
      <c r="Y3" s="22">
        <v>0.99999999999999767</v>
      </c>
      <c r="Z3" s="22">
        <v>0.99999999999999734</v>
      </c>
      <c r="AA3" s="22">
        <v>0.99999999999999745</v>
      </c>
      <c r="AB3" s="22">
        <v>0.99999999999999778</v>
      </c>
      <c r="AC3" s="22">
        <v>0.99999999999999767</v>
      </c>
      <c r="AD3" s="22">
        <v>0.99999999999999845</v>
      </c>
      <c r="AE3" s="22">
        <v>0.99999999999999878</v>
      </c>
      <c r="AF3" s="22">
        <v>0.99999999999999856</v>
      </c>
      <c r="AG3" s="22">
        <v>0.99999999999999867</v>
      </c>
      <c r="AH3" s="22">
        <v>0.99999999999999889</v>
      </c>
      <c r="AI3" s="22">
        <v>0.99999999999999789</v>
      </c>
      <c r="AJ3" s="22">
        <v>0.99999999999999822</v>
      </c>
      <c r="AK3" s="22">
        <v>0.99999999999999867</v>
      </c>
      <c r="AL3" s="22">
        <v>0.99999999999999845</v>
      </c>
      <c r="AM3" s="22">
        <v>0.99999999999999845</v>
      </c>
      <c r="AN3" s="22">
        <v>0.99999999999999856</v>
      </c>
      <c r="AO3" s="22">
        <v>0.99999999999999889</v>
      </c>
      <c r="AP3" s="22">
        <v>0.99999999999999867</v>
      </c>
      <c r="AQ3" s="22">
        <v>0.999999999999999</v>
      </c>
      <c r="AR3" s="22">
        <v>0.99999999999999967</v>
      </c>
      <c r="AS3" s="22">
        <v>1.0000000000000002</v>
      </c>
      <c r="AT3" s="22">
        <v>1.0000000000000002</v>
      </c>
      <c r="AU3" s="22">
        <v>1.0000000000000002</v>
      </c>
      <c r="AV3" s="22">
        <v>0.99999999999999967</v>
      </c>
      <c r="AW3" s="22">
        <v>0.99999999999999978</v>
      </c>
      <c r="AX3" s="22">
        <v>0.99999999999999978</v>
      </c>
      <c r="AY3" s="22">
        <v>0.99999999999999978</v>
      </c>
      <c r="AZ3" s="22">
        <v>0.99999999999999978</v>
      </c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</row>
    <row r="4" spans="2:102" x14ac:dyDescent="0.25">
      <c r="B4" s="6">
        <v>1</v>
      </c>
      <c r="C4" s="33">
        <v>0</v>
      </c>
      <c r="D4" s="29">
        <v>0.99997592301365101</v>
      </c>
      <c r="E4" s="29">
        <v>0.99998806946713714</v>
      </c>
      <c r="F4" s="32">
        <v>0.99999436407609033</v>
      </c>
      <c r="G4" s="22">
        <v>0.99999747372822922</v>
      </c>
      <c r="H4" s="22">
        <v>0.9999989313893668</v>
      </c>
      <c r="I4" s="22">
        <v>0.99999957620252256</v>
      </c>
      <c r="J4" s="22">
        <v>0.99999984364786887</v>
      </c>
      <c r="K4" s="22">
        <v>0.99999994684884708</v>
      </c>
      <c r="L4" s="22">
        <v>0.99999998354784247</v>
      </c>
      <c r="M4" s="22">
        <v>0.99999999543290763</v>
      </c>
      <c r="N4" s="22">
        <v>0.99999999888553381</v>
      </c>
      <c r="O4" s="22">
        <v>0.99999999976743459</v>
      </c>
      <c r="P4" s="22">
        <v>0.999999999960129</v>
      </c>
      <c r="Q4" s="22">
        <v>0.99999999999472933</v>
      </c>
      <c r="R4" s="22">
        <v>0.99999999999951983</v>
      </c>
      <c r="S4" s="22">
        <v>0.99999999999997491</v>
      </c>
      <c r="T4" s="22">
        <v>0.99999999999999689</v>
      </c>
      <c r="U4" s="22">
        <v>0.99999999999999734</v>
      </c>
      <c r="V4" s="22">
        <v>0.99999999999999789</v>
      </c>
      <c r="W4" s="22">
        <v>0.99999999999999756</v>
      </c>
      <c r="X4" s="22">
        <v>0.99999999999999722</v>
      </c>
      <c r="Y4" s="22">
        <v>0.99999999999999756</v>
      </c>
      <c r="Z4" s="22">
        <v>0.99999999999999778</v>
      </c>
      <c r="AA4" s="22">
        <v>0.99999999999999734</v>
      </c>
      <c r="AB4" s="22">
        <v>0.99999999999999722</v>
      </c>
      <c r="AC4" s="22">
        <v>0.99999999999999745</v>
      </c>
      <c r="AD4" s="22">
        <v>0.99999999999999767</v>
      </c>
      <c r="AE4" s="22">
        <v>0.99999999999999778</v>
      </c>
      <c r="AF4" s="22">
        <v>0.99999999999999778</v>
      </c>
      <c r="AG4" s="22">
        <v>0.99999999999999822</v>
      </c>
      <c r="AH4" s="22">
        <v>0.99999999999999878</v>
      </c>
      <c r="AI4" s="22">
        <v>0.99999999999999944</v>
      </c>
      <c r="AJ4" s="22">
        <v>0.99999999999999889</v>
      </c>
      <c r="AK4" s="22">
        <v>0.99999999999999845</v>
      </c>
      <c r="AL4" s="22">
        <v>0.999999999999999</v>
      </c>
      <c r="AM4" s="22">
        <v>0.99999999999999856</v>
      </c>
      <c r="AN4" s="22">
        <v>0.99999999999999878</v>
      </c>
      <c r="AO4" s="22">
        <v>0.99999999999999867</v>
      </c>
      <c r="AP4" s="22">
        <v>0.99999999999999845</v>
      </c>
      <c r="AQ4" s="22">
        <v>0.99999999999999867</v>
      </c>
      <c r="AR4" s="22">
        <v>0.99999999999999878</v>
      </c>
      <c r="AS4" s="22">
        <v>0.999999999999999</v>
      </c>
      <c r="AT4" s="22">
        <v>0.99999999999999933</v>
      </c>
      <c r="AU4" s="22">
        <v>0.99999999999999978</v>
      </c>
      <c r="AV4" s="22">
        <v>1.0000000000000007</v>
      </c>
      <c r="AW4" s="22">
        <v>1.0000000000000002</v>
      </c>
      <c r="AX4" s="22">
        <v>1.0000000000000002</v>
      </c>
      <c r="AY4" s="22">
        <v>1.0000000000000002</v>
      </c>
      <c r="AZ4" s="22">
        <v>0.99999999999999989</v>
      </c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</row>
    <row r="5" spans="2:102" x14ac:dyDescent="0.25">
      <c r="B5" s="6">
        <v>2</v>
      </c>
      <c r="C5" s="33"/>
      <c r="D5" s="33">
        <v>0</v>
      </c>
      <c r="E5" s="29">
        <v>0.99995735758267679</v>
      </c>
      <c r="F5" s="32">
        <v>0.99997844837665517</v>
      </c>
      <c r="G5" s="22">
        <v>0.99998961108113593</v>
      </c>
      <c r="H5" s="22">
        <v>0.99999524574396548</v>
      </c>
      <c r="I5" s="22">
        <v>0.99999794581492418</v>
      </c>
      <c r="J5" s="22">
        <v>0.99999916742163031</v>
      </c>
      <c r="K5" s="22">
        <v>0.99999968590876953</v>
      </c>
      <c r="L5" s="22">
        <v>0.99999989075571172</v>
      </c>
      <c r="M5" s="22">
        <v>0.99999996538193514</v>
      </c>
      <c r="N5" s="22">
        <v>0.99999999015568874</v>
      </c>
      <c r="O5" s="22">
        <v>0.99999999753757862</v>
      </c>
      <c r="P5" s="22">
        <v>0.99999999947290863</v>
      </c>
      <c r="Q5" s="22">
        <v>0.99999999990724497</v>
      </c>
      <c r="R5" s="22">
        <v>0.99999999998740818</v>
      </c>
      <c r="S5" s="22">
        <v>0.99999999999882461</v>
      </c>
      <c r="T5" s="22">
        <v>0.9999999999999406</v>
      </c>
      <c r="U5" s="22">
        <v>0.99999999999999678</v>
      </c>
      <c r="V5" s="22">
        <v>0.99999999999999722</v>
      </c>
      <c r="W5" s="22">
        <v>0.99999999999999767</v>
      </c>
      <c r="X5" s="22">
        <v>0.99999999999999756</v>
      </c>
      <c r="Y5" s="22">
        <v>0.99999999999999767</v>
      </c>
      <c r="Z5" s="22">
        <v>0.99999999999999722</v>
      </c>
      <c r="AA5" s="22">
        <v>0.99999999999999767</v>
      </c>
      <c r="AB5" s="22">
        <v>0.99999999999999734</v>
      </c>
      <c r="AC5" s="22">
        <v>0.99999999999999767</v>
      </c>
      <c r="AD5" s="22">
        <v>0.99999999999999756</v>
      </c>
      <c r="AE5" s="22">
        <v>0.99999999999999767</v>
      </c>
      <c r="AF5" s="22">
        <v>0.99999999999999811</v>
      </c>
      <c r="AG5" s="22">
        <v>0.99999999999999833</v>
      </c>
      <c r="AH5" s="22">
        <v>0.99999999999999811</v>
      </c>
      <c r="AI5" s="22">
        <v>0.99999999999999833</v>
      </c>
      <c r="AJ5" s="22">
        <v>0.99999999999999944</v>
      </c>
      <c r="AK5" s="22">
        <v>0.99999999999999911</v>
      </c>
      <c r="AL5" s="22">
        <v>0.99999999999999889</v>
      </c>
      <c r="AM5" s="22">
        <v>0.99999999999999911</v>
      </c>
      <c r="AN5" s="22">
        <v>0.999999999999999</v>
      </c>
      <c r="AO5" s="22">
        <v>0.99999999999999911</v>
      </c>
      <c r="AP5" s="22">
        <v>0.999999999999999</v>
      </c>
      <c r="AQ5" s="22">
        <v>0.99999999999999856</v>
      </c>
      <c r="AR5" s="22">
        <v>0.99999999999999878</v>
      </c>
      <c r="AS5" s="22">
        <v>0.99999999999999878</v>
      </c>
      <c r="AT5" s="22">
        <v>0.999999999999999</v>
      </c>
      <c r="AU5" s="22">
        <v>0.99999999999999933</v>
      </c>
      <c r="AV5" s="22">
        <v>0.99999999999999956</v>
      </c>
      <c r="AW5" s="22">
        <v>1</v>
      </c>
      <c r="AX5" s="22">
        <v>1.0000000000000002</v>
      </c>
      <c r="AY5" s="22">
        <v>1.0000000000000002</v>
      </c>
      <c r="AZ5" s="22">
        <v>1.0000000000000004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</row>
    <row r="6" spans="2:102" x14ac:dyDescent="0.25">
      <c r="B6" s="6">
        <v>3</v>
      </c>
      <c r="C6" s="19"/>
      <c r="D6" s="19"/>
      <c r="E6" s="19">
        <v>0</v>
      </c>
      <c r="F6" s="32">
        <v>0.99992512103887743</v>
      </c>
      <c r="G6" s="22">
        <v>0.99996138657176159</v>
      </c>
      <c r="H6" s="22">
        <v>0.99998099869531121</v>
      </c>
      <c r="I6" s="22">
        <v>0.99999111877957458</v>
      </c>
      <c r="J6" s="22">
        <v>0.99999607863163376</v>
      </c>
      <c r="K6" s="22">
        <v>0.99999837493210297</v>
      </c>
      <c r="L6" s="22">
        <v>0.99999937280735574</v>
      </c>
      <c r="M6" s="22">
        <v>0.99999977669213003</v>
      </c>
      <c r="N6" s="22">
        <v>0.99999992751611599</v>
      </c>
      <c r="O6" s="22">
        <v>0.99999997887272762</v>
      </c>
      <c r="P6" s="22">
        <v>0.99999999457949529</v>
      </c>
      <c r="Q6" s="22">
        <v>0.99999999880904078</v>
      </c>
      <c r="R6" s="22">
        <v>0.9999999997847181</v>
      </c>
      <c r="S6" s="22">
        <v>0.99999999996995981</v>
      </c>
      <c r="T6" s="22">
        <v>0.9999999999971193</v>
      </c>
      <c r="U6" s="22">
        <v>0.99999999999985512</v>
      </c>
      <c r="V6" s="22">
        <v>0.99999999999999678</v>
      </c>
      <c r="W6" s="22">
        <v>0.99999999999999689</v>
      </c>
      <c r="X6" s="22">
        <v>0.999999999999997</v>
      </c>
      <c r="Y6" s="22">
        <v>0.99999999999999689</v>
      </c>
      <c r="Z6" s="22">
        <v>0.99999999999999756</v>
      </c>
      <c r="AA6" s="22">
        <v>0.99999999999999722</v>
      </c>
      <c r="AB6" s="22">
        <v>0.99999999999999756</v>
      </c>
      <c r="AC6" s="22">
        <v>0.99999999999999711</v>
      </c>
      <c r="AD6" s="22">
        <v>0.99999999999999778</v>
      </c>
      <c r="AE6" s="22">
        <v>0.99999999999999767</v>
      </c>
      <c r="AF6" s="22">
        <v>0.99999999999999778</v>
      </c>
      <c r="AG6" s="22">
        <v>0.999999999999998</v>
      </c>
      <c r="AH6" s="22">
        <v>0.99999999999999845</v>
      </c>
      <c r="AI6" s="22">
        <v>0.99999999999999822</v>
      </c>
      <c r="AJ6" s="22">
        <v>0.999999999999998</v>
      </c>
      <c r="AK6" s="22">
        <v>0.99999999999999878</v>
      </c>
      <c r="AL6" s="22">
        <v>0.99999999999999867</v>
      </c>
      <c r="AM6" s="22">
        <v>0.99999999999999856</v>
      </c>
      <c r="AN6" s="22">
        <v>0.99999999999999878</v>
      </c>
      <c r="AO6" s="22">
        <v>0.99999999999999878</v>
      </c>
      <c r="AP6" s="22">
        <v>0.99999999999999911</v>
      </c>
      <c r="AQ6" s="22">
        <v>0.99999999999999967</v>
      </c>
      <c r="AR6" s="22">
        <v>0.99999999999999967</v>
      </c>
      <c r="AS6" s="22">
        <v>0.99999999999999922</v>
      </c>
      <c r="AT6" s="22">
        <v>0.99999999999999911</v>
      </c>
      <c r="AU6" s="22">
        <v>0.99999999999999922</v>
      </c>
      <c r="AV6" s="22">
        <v>0.99999999999999911</v>
      </c>
      <c r="AW6" s="22">
        <v>0.99999999999999933</v>
      </c>
      <c r="AX6" s="22">
        <v>0.99999999999999944</v>
      </c>
      <c r="AY6" s="22">
        <v>0.99999999999999944</v>
      </c>
      <c r="AZ6" s="22">
        <v>0.99999999999999978</v>
      </c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</row>
    <row r="7" spans="2:102" x14ac:dyDescent="0.25">
      <c r="B7" s="6">
        <v>4</v>
      </c>
      <c r="F7" s="6">
        <v>0</v>
      </c>
      <c r="G7" s="22">
        <v>0.99986969043534246</v>
      </c>
      <c r="H7" s="22">
        <v>0.99993141012419673</v>
      </c>
      <c r="I7" s="22">
        <v>0.99996553049909487</v>
      </c>
      <c r="J7" s="22">
        <v>0.99998353781850213</v>
      </c>
      <c r="K7" s="22">
        <v>0.99999256881636933</v>
      </c>
      <c r="L7" s="22">
        <v>0.99999684971454528</v>
      </c>
      <c r="M7" s="22">
        <v>0.99999875548354955</v>
      </c>
      <c r="N7" s="22">
        <v>0.99999954616292219</v>
      </c>
      <c r="O7" s="22">
        <v>0.99999984901932537</v>
      </c>
      <c r="P7" s="22">
        <v>0.99999995486548054</v>
      </c>
      <c r="Q7" s="22">
        <v>0.99999998811478252</v>
      </c>
      <c r="R7" s="22">
        <v>0.99999999731775135</v>
      </c>
      <c r="S7" s="22">
        <v>0.99999999950158269</v>
      </c>
      <c r="T7" s="22">
        <v>0.99999999992844724</v>
      </c>
      <c r="U7" s="22">
        <v>0.99999999999293798</v>
      </c>
      <c r="V7" s="22">
        <v>0.9999999999996384</v>
      </c>
      <c r="W7" s="22">
        <v>0.99999999999999778</v>
      </c>
      <c r="X7" s="22">
        <v>0.99999999999999734</v>
      </c>
      <c r="Y7" s="22">
        <v>0.99999999999999722</v>
      </c>
      <c r="Z7" s="22">
        <v>0.99999999999999745</v>
      </c>
      <c r="AA7" s="22">
        <v>0.99999999999999722</v>
      </c>
      <c r="AB7" s="22">
        <v>0.999999999999997</v>
      </c>
      <c r="AC7" s="22">
        <v>0.99999999999999745</v>
      </c>
      <c r="AD7" s="22">
        <v>0.99999999999999689</v>
      </c>
      <c r="AE7" s="22">
        <v>0.99999999999999734</v>
      </c>
      <c r="AF7" s="22">
        <v>0.99999999999999756</v>
      </c>
      <c r="AG7" s="22">
        <v>0.99999999999999789</v>
      </c>
      <c r="AH7" s="22">
        <v>0.99999999999999789</v>
      </c>
      <c r="AI7" s="22">
        <v>0.99999999999999822</v>
      </c>
      <c r="AJ7" s="22">
        <v>0.99999999999999878</v>
      </c>
      <c r="AK7" s="22">
        <v>0.999999999999999</v>
      </c>
      <c r="AL7" s="22">
        <v>0.99999999999999911</v>
      </c>
      <c r="AM7" s="22">
        <v>0.99999999999999933</v>
      </c>
      <c r="AN7" s="22">
        <v>0.999999999999999</v>
      </c>
      <c r="AO7" s="22">
        <v>0.99999999999999922</v>
      </c>
      <c r="AP7" s="22">
        <v>0.999999999999999</v>
      </c>
      <c r="AQ7" s="22">
        <v>0.99999999999999922</v>
      </c>
      <c r="AR7" s="22">
        <v>0.99999999999999911</v>
      </c>
      <c r="AS7" s="22">
        <v>0.99999999999999978</v>
      </c>
      <c r="AT7" s="22">
        <v>0.99999999999999978</v>
      </c>
      <c r="AU7" s="22">
        <v>0.99999999999999956</v>
      </c>
      <c r="AV7" s="22">
        <v>1</v>
      </c>
      <c r="AW7" s="22">
        <v>1</v>
      </c>
      <c r="AX7" s="22">
        <v>1.0000000000000002</v>
      </c>
      <c r="AY7" s="22">
        <v>0.99999999999999989</v>
      </c>
      <c r="AZ7" s="22">
        <v>0.99999999999999989</v>
      </c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</row>
    <row r="8" spans="2:102" x14ac:dyDescent="0.25">
      <c r="B8" s="6">
        <v>5</v>
      </c>
      <c r="G8" s="6">
        <v>0</v>
      </c>
      <c r="H8" s="22">
        <v>0.99977535404122242</v>
      </c>
      <c r="I8" s="22">
        <v>0.9998792583199082</v>
      </c>
      <c r="J8" s="22">
        <v>0.99993800693875068</v>
      </c>
      <c r="K8" s="22">
        <v>0.99996973425289992</v>
      </c>
      <c r="L8" s="22">
        <v>0.99998602561265237</v>
      </c>
      <c r="M8" s="22">
        <v>0.99999393681301918</v>
      </c>
      <c r="N8" s="22">
        <v>0.99999754695767551</v>
      </c>
      <c r="O8" s="22">
        <v>0.99999908325746023</v>
      </c>
      <c r="P8" s="22">
        <v>0.99999968723716526</v>
      </c>
      <c r="Q8" s="22">
        <v>0.99999990404508055</v>
      </c>
      <c r="R8" s="22">
        <v>0.99999997404836627</v>
      </c>
      <c r="S8" s="22">
        <v>0.9999999939798413</v>
      </c>
      <c r="T8" s="22">
        <v>0.99999999884913571</v>
      </c>
      <c r="U8" s="22">
        <v>0.99999999982987575</v>
      </c>
      <c r="V8" s="22">
        <v>0.99999999998269706</v>
      </c>
      <c r="W8" s="22">
        <v>0.99999999999908895</v>
      </c>
      <c r="X8" s="22">
        <v>0.99999999999999767</v>
      </c>
      <c r="Y8" s="22">
        <v>0.99999999999999822</v>
      </c>
      <c r="Z8" s="22">
        <v>0.99999999999999778</v>
      </c>
      <c r="AA8" s="22">
        <v>0.99999999999999822</v>
      </c>
      <c r="AB8" s="22">
        <v>0.99999999999999789</v>
      </c>
      <c r="AC8" s="22">
        <v>0.99999999999999745</v>
      </c>
      <c r="AD8" s="22">
        <v>0.99999999999999778</v>
      </c>
      <c r="AE8" s="22">
        <v>0.99999999999999734</v>
      </c>
      <c r="AF8" s="22">
        <v>0.99999999999999756</v>
      </c>
      <c r="AG8" s="22">
        <v>0.99999999999999756</v>
      </c>
      <c r="AH8" s="22">
        <v>0.99999999999999767</v>
      </c>
      <c r="AI8" s="22">
        <v>0.99999999999999756</v>
      </c>
      <c r="AJ8" s="22">
        <v>0.99999999999999811</v>
      </c>
      <c r="AK8" s="22">
        <v>0.99999999999999845</v>
      </c>
      <c r="AL8" s="22">
        <v>0.99999999999999856</v>
      </c>
      <c r="AM8" s="22">
        <v>0.99999999999999856</v>
      </c>
      <c r="AN8" s="22">
        <v>0.99999999999999856</v>
      </c>
      <c r="AO8" s="22">
        <v>0.99999999999999878</v>
      </c>
      <c r="AP8" s="22">
        <v>0.999999999999999</v>
      </c>
      <c r="AQ8" s="22">
        <v>0.99999999999999911</v>
      </c>
      <c r="AR8" s="22">
        <v>0.99999999999999956</v>
      </c>
      <c r="AS8" s="22">
        <v>0.99999999999999967</v>
      </c>
      <c r="AT8" s="22">
        <v>1.0000000000000002</v>
      </c>
      <c r="AU8" s="22">
        <v>1</v>
      </c>
      <c r="AV8" s="22">
        <v>1</v>
      </c>
      <c r="AW8" s="22">
        <v>0.99999999999999978</v>
      </c>
      <c r="AX8" s="22">
        <v>0.99999999999999978</v>
      </c>
      <c r="AY8" s="22">
        <v>1</v>
      </c>
      <c r="AZ8" s="22">
        <v>1.0000000000000002</v>
      </c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</row>
    <row r="9" spans="2:102" x14ac:dyDescent="0.25">
      <c r="B9" s="6">
        <v>6</v>
      </c>
      <c r="H9" s="6">
        <v>0</v>
      </c>
      <c r="I9" s="22">
        <v>0.99961653997124311</v>
      </c>
      <c r="J9" s="22">
        <v>0.99978946310278993</v>
      </c>
      <c r="K9" s="22">
        <v>0.99988951284444283</v>
      </c>
      <c r="L9" s="22">
        <v>0.99994483347710383</v>
      </c>
      <c r="M9" s="22">
        <v>0.99997393361851528</v>
      </c>
      <c r="N9" s="22">
        <v>0.99998841883268808</v>
      </c>
      <c r="O9" s="22">
        <v>0.99999519877697995</v>
      </c>
      <c r="P9" s="22">
        <v>0.99999816009552389</v>
      </c>
      <c r="Q9" s="22">
        <v>0.99999935585382116</v>
      </c>
      <c r="R9" s="22">
        <v>0.9999997970474982</v>
      </c>
      <c r="S9" s="22">
        <v>0.99999994358380095</v>
      </c>
      <c r="T9" s="22">
        <v>0.99999998653729494</v>
      </c>
      <c r="U9" s="22">
        <v>0.99999999735010936</v>
      </c>
      <c r="V9" s="22">
        <v>0.99999999959629415</v>
      </c>
      <c r="W9" s="22">
        <v>0.99999999995764199</v>
      </c>
      <c r="X9" s="22">
        <v>0.99999999999769995</v>
      </c>
      <c r="Y9" s="22">
        <v>0.99999999999999767</v>
      </c>
      <c r="Z9" s="22">
        <v>0.99999999999999822</v>
      </c>
      <c r="AA9" s="22">
        <v>0.99999999999999767</v>
      </c>
      <c r="AB9" s="22">
        <v>0.99999999999999833</v>
      </c>
      <c r="AC9" s="22">
        <v>0.99999999999999878</v>
      </c>
      <c r="AD9" s="22">
        <v>0.99999999999999833</v>
      </c>
      <c r="AE9" s="22">
        <v>0.99999999999999845</v>
      </c>
      <c r="AF9" s="22">
        <v>0.99999999999999811</v>
      </c>
      <c r="AG9" s="22">
        <v>0.99999999999999789</v>
      </c>
      <c r="AH9" s="22">
        <v>0.999999999999998</v>
      </c>
      <c r="AI9" s="22">
        <v>0.999999999999998</v>
      </c>
      <c r="AJ9" s="22">
        <v>0.99999999999999822</v>
      </c>
      <c r="AK9" s="22">
        <v>0.99999999999999833</v>
      </c>
      <c r="AL9" s="22">
        <v>0.99999999999999878</v>
      </c>
      <c r="AM9" s="22">
        <v>0.99999999999999911</v>
      </c>
      <c r="AN9" s="22">
        <v>0.99999999999999944</v>
      </c>
      <c r="AO9" s="22">
        <v>0.99999999999999911</v>
      </c>
      <c r="AP9" s="22">
        <v>0.99999999999999922</v>
      </c>
      <c r="AQ9" s="22">
        <v>0.99999999999999922</v>
      </c>
      <c r="AR9" s="22">
        <v>0.999999999999999</v>
      </c>
      <c r="AS9" s="22">
        <v>0.99999999999999922</v>
      </c>
      <c r="AT9" s="22">
        <v>0.99999999999999922</v>
      </c>
      <c r="AU9" s="22">
        <v>0.99999999999999956</v>
      </c>
      <c r="AV9" s="22">
        <v>0.99999999999999967</v>
      </c>
      <c r="AW9" s="22">
        <v>1.0000000000000004</v>
      </c>
      <c r="AX9" s="22">
        <v>1.0000000000000002</v>
      </c>
      <c r="AY9" s="22">
        <v>0.99999999999999967</v>
      </c>
      <c r="AZ9" s="22">
        <v>0.99999999999999978</v>
      </c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</row>
    <row r="10" spans="2:102" x14ac:dyDescent="0.25">
      <c r="B10" s="6">
        <v>7</v>
      </c>
      <c r="I10" s="6">
        <v>0</v>
      </c>
      <c r="J10" s="22">
        <v>0.99935223298926046</v>
      </c>
      <c r="K10" s="22">
        <v>0.99963654055837381</v>
      </c>
      <c r="L10" s="22">
        <v>0.99980495718477325</v>
      </c>
      <c r="M10" s="22">
        <v>0.99990035492479623</v>
      </c>
      <c r="N10" s="22">
        <v>0.9999517934733122</v>
      </c>
      <c r="O10" s="22">
        <v>0.99997805592405087</v>
      </c>
      <c r="P10" s="22">
        <v>0.99999067250475726</v>
      </c>
      <c r="Q10" s="22">
        <v>0.99999633242062536</v>
      </c>
      <c r="R10" s="22">
        <v>0.99999868150465721</v>
      </c>
      <c r="S10" s="22">
        <v>0.99999957307186527</v>
      </c>
      <c r="T10" s="22">
        <v>0.9999998779308813</v>
      </c>
      <c r="U10" s="22">
        <v>0.9999999700102844</v>
      </c>
      <c r="V10" s="22">
        <v>0.99999999391689365</v>
      </c>
      <c r="W10" s="22">
        <v>0.99999999904398718</v>
      </c>
      <c r="X10" s="22">
        <v>0.99999999989641464</v>
      </c>
      <c r="Y10" s="22">
        <v>0.99999999999418754</v>
      </c>
      <c r="Z10" s="22">
        <v>0.99999999999999756</v>
      </c>
      <c r="AA10" s="22">
        <v>0.99999999999999833</v>
      </c>
      <c r="AB10" s="22">
        <v>0.99999999999999778</v>
      </c>
      <c r="AC10" s="22">
        <v>0.99999999999999756</v>
      </c>
      <c r="AD10" s="22">
        <v>0.99999999999999867</v>
      </c>
      <c r="AE10" s="22">
        <v>0.99999999999999889</v>
      </c>
      <c r="AF10" s="22">
        <v>0.99999999999999889</v>
      </c>
      <c r="AG10" s="22">
        <v>0.99999999999999833</v>
      </c>
      <c r="AH10" s="22">
        <v>0.99999999999999856</v>
      </c>
      <c r="AI10" s="22">
        <v>0.99999999999999856</v>
      </c>
      <c r="AJ10" s="22">
        <v>0.99999999999999856</v>
      </c>
      <c r="AK10" s="22">
        <v>0.99999999999999822</v>
      </c>
      <c r="AL10" s="22">
        <v>0.99999999999999789</v>
      </c>
      <c r="AM10" s="22">
        <v>0.99999999999999867</v>
      </c>
      <c r="AN10" s="22">
        <v>0.99999999999999867</v>
      </c>
      <c r="AO10" s="22">
        <v>0.999999999999999</v>
      </c>
      <c r="AP10" s="22">
        <v>0.99999999999999922</v>
      </c>
      <c r="AQ10" s="22">
        <v>0.99999999999999922</v>
      </c>
      <c r="AR10" s="22">
        <v>0.99999999999999944</v>
      </c>
      <c r="AS10" s="22">
        <v>0.999999999999999</v>
      </c>
      <c r="AT10" s="22">
        <v>0.99999999999999933</v>
      </c>
      <c r="AU10" s="22">
        <v>0.99999999999999922</v>
      </c>
      <c r="AV10" s="22">
        <v>0.99999999999999978</v>
      </c>
      <c r="AW10" s="22">
        <v>0.99999999999999922</v>
      </c>
      <c r="AX10" s="22">
        <v>0.99999999999999956</v>
      </c>
      <c r="AY10" s="22">
        <v>1.0000000000000002</v>
      </c>
      <c r="AZ10" s="22">
        <v>1.0000000000000002</v>
      </c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</row>
    <row r="11" spans="2:102" x14ac:dyDescent="0.25">
      <c r="B11" s="6">
        <v>8</v>
      </c>
      <c r="J11" s="6">
        <v>0</v>
      </c>
      <c r="K11" s="22">
        <v>0.99891767877505566</v>
      </c>
      <c r="L11" s="22">
        <v>0.99937912161250342</v>
      </c>
      <c r="M11" s="22">
        <v>0.99965914506277465</v>
      </c>
      <c r="N11" s="22">
        <v>0.99982173289549225</v>
      </c>
      <c r="O11" s="22">
        <v>0.9999116522323328</v>
      </c>
      <c r="P11" s="22">
        <v>0.99995877191999805</v>
      </c>
      <c r="Q11" s="22">
        <v>0.99998202152054294</v>
      </c>
      <c r="R11" s="22">
        <v>0.99999274192752374</v>
      </c>
      <c r="S11" s="22">
        <v>0.99999731877524178</v>
      </c>
      <c r="T11" s="22">
        <v>0.99999910710548168</v>
      </c>
      <c r="U11" s="22">
        <v>0.99999973719072355</v>
      </c>
      <c r="V11" s="22">
        <v>0.9999999334698646</v>
      </c>
      <c r="W11" s="22">
        <v>0.99999998608030993</v>
      </c>
      <c r="X11" s="22">
        <v>0.99999999774108295</v>
      </c>
      <c r="Y11" s="22">
        <v>0.99999999974697196</v>
      </c>
      <c r="Z11" s="22">
        <v>0.99999999998530753</v>
      </c>
      <c r="AA11" s="22">
        <v>0.99999999999999734</v>
      </c>
      <c r="AB11" s="22">
        <v>0.99999999999999778</v>
      </c>
      <c r="AC11" s="22">
        <v>0.99999999999999767</v>
      </c>
      <c r="AD11" s="22">
        <v>0.99999999999999745</v>
      </c>
      <c r="AE11" s="22">
        <v>0.99999999999999822</v>
      </c>
      <c r="AF11" s="22">
        <v>0.99999999999999867</v>
      </c>
      <c r="AG11" s="22">
        <v>0.99999999999999944</v>
      </c>
      <c r="AH11" s="22">
        <v>0.99999999999999889</v>
      </c>
      <c r="AI11" s="22">
        <v>0.99999999999999878</v>
      </c>
      <c r="AJ11" s="22">
        <v>0.99999999999999856</v>
      </c>
      <c r="AK11" s="22">
        <v>0.99999999999999889</v>
      </c>
      <c r="AL11" s="22">
        <v>0.99999999999999933</v>
      </c>
      <c r="AM11" s="22">
        <v>0.99999999999999867</v>
      </c>
      <c r="AN11" s="22">
        <v>0.999999999999999</v>
      </c>
      <c r="AO11" s="22">
        <v>0.99999999999999889</v>
      </c>
      <c r="AP11" s="22">
        <v>0.99999999999999933</v>
      </c>
      <c r="AQ11" s="22">
        <v>0.99999999999999933</v>
      </c>
      <c r="AR11" s="22">
        <v>0.99999999999999922</v>
      </c>
      <c r="AS11" s="22">
        <v>0.99999999999999956</v>
      </c>
      <c r="AT11" s="22">
        <v>0.99999999999999933</v>
      </c>
      <c r="AU11" s="22">
        <v>1</v>
      </c>
      <c r="AV11" s="22">
        <v>0.99999999999999956</v>
      </c>
      <c r="AW11" s="22">
        <v>0.99999999999999944</v>
      </c>
      <c r="AX11" s="22">
        <v>0.99999999999999922</v>
      </c>
      <c r="AY11" s="22">
        <v>0.99999999999999956</v>
      </c>
      <c r="AZ11" s="22">
        <v>0.99999999999999978</v>
      </c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</row>
    <row r="12" spans="2:102" x14ac:dyDescent="0.25">
      <c r="B12" s="6">
        <v>9</v>
      </c>
      <c r="K12" s="6">
        <v>0</v>
      </c>
      <c r="L12" s="22">
        <v>0.99821237947453767</v>
      </c>
      <c r="M12" s="22">
        <v>0.99895111552469051</v>
      </c>
      <c r="N12" s="22">
        <v>0.99941063522497364</v>
      </c>
      <c r="O12" s="22">
        <v>0.99968429432189343</v>
      </c>
      <c r="P12" s="22">
        <v>0.99983963143137133</v>
      </c>
      <c r="Q12" s="22">
        <v>0.99992323571557407</v>
      </c>
      <c r="R12" s="22">
        <v>0.99996563575196806</v>
      </c>
      <c r="S12" s="22">
        <v>0.99998574637524251</v>
      </c>
      <c r="T12" s="22">
        <v>0.99999458537477526</v>
      </c>
      <c r="U12" s="22">
        <v>0.99999814404214082</v>
      </c>
      <c r="V12" s="22">
        <v>0.99999943718489526</v>
      </c>
      <c r="W12" s="22">
        <v>0.99999985305663108</v>
      </c>
      <c r="X12" s="22">
        <v>0.99999996825722515</v>
      </c>
      <c r="Y12" s="22">
        <v>0.99999999467515144</v>
      </c>
      <c r="Z12" s="22">
        <v>0.99999999938268425</v>
      </c>
      <c r="AA12" s="22">
        <v>0.99999999996285538</v>
      </c>
      <c r="AB12" s="22">
        <v>0.99999999999999722</v>
      </c>
      <c r="AC12" s="22">
        <v>0.99999999999999778</v>
      </c>
      <c r="AD12" s="22">
        <v>0.99999999999999822</v>
      </c>
      <c r="AE12" s="22">
        <v>0.99999999999999756</v>
      </c>
      <c r="AF12" s="22">
        <v>0.99999999999999811</v>
      </c>
      <c r="AG12" s="22">
        <v>0.99999999999999889</v>
      </c>
      <c r="AH12" s="22">
        <v>0.99999999999999956</v>
      </c>
      <c r="AI12" s="22">
        <v>0.99999999999999911</v>
      </c>
      <c r="AJ12" s="22">
        <v>0.999999999999999</v>
      </c>
      <c r="AK12" s="22">
        <v>0.99999999999999889</v>
      </c>
      <c r="AL12" s="22">
        <v>0.999999999999999</v>
      </c>
      <c r="AM12" s="22">
        <v>0.99999999999999944</v>
      </c>
      <c r="AN12" s="22">
        <v>0.999999999999999</v>
      </c>
      <c r="AO12" s="22">
        <v>0.999999999999999</v>
      </c>
      <c r="AP12" s="22">
        <v>0.99999999999999911</v>
      </c>
      <c r="AQ12" s="22">
        <v>0.99999999999999922</v>
      </c>
      <c r="AR12" s="22">
        <v>0.999999999999999</v>
      </c>
      <c r="AS12" s="22">
        <v>0.99999999999999922</v>
      </c>
      <c r="AT12" s="22">
        <v>0.99999999999999944</v>
      </c>
      <c r="AU12" s="22">
        <v>0.99999999999999967</v>
      </c>
      <c r="AV12" s="22">
        <v>0.99999999999999967</v>
      </c>
      <c r="AW12" s="22">
        <v>1</v>
      </c>
      <c r="AX12" s="22">
        <v>0.99999999999999989</v>
      </c>
      <c r="AY12" s="22">
        <v>0.99999999999999989</v>
      </c>
      <c r="AZ12" s="22">
        <v>0.99999999999999989</v>
      </c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</row>
    <row r="13" spans="2:102" x14ac:dyDescent="0.25">
      <c r="B13" s="6">
        <v>10</v>
      </c>
      <c r="C13" s="30"/>
      <c r="E13" s="31"/>
      <c r="L13" s="6">
        <v>0</v>
      </c>
      <c r="M13" s="22">
        <v>0.99708324715920482</v>
      </c>
      <c r="N13" s="22">
        <v>0.99824875567232563</v>
      </c>
      <c r="O13" s="22">
        <v>0.99899235682952603</v>
      </c>
      <c r="P13" s="22">
        <v>0.99944686696195117</v>
      </c>
      <c r="Q13" s="22">
        <v>0.99971184519571432</v>
      </c>
      <c r="R13" s="22">
        <v>0.99985842873714958</v>
      </c>
      <c r="S13" s="22">
        <v>0.99993489736494123</v>
      </c>
      <c r="T13" s="22">
        <v>0.9999722362724035</v>
      </c>
      <c r="U13" s="22">
        <v>0.99998914607569012</v>
      </c>
      <c r="V13" s="22">
        <v>0.99999616751849385</v>
      </c>
      <c r="W13" s="22">
        <v>0.99999880153943665</v>
      </c>
      <c r="X13" s="22">
        <v>0.99999967697653713</v>
      </c>
      <c r="Y13" s="22">
        <v>0.9999999278783458</v>
      </c>
      <c r="Z13" s="22">
        <v>0.99999998747985208</v>
      </c>
      <c r="AA13" s="22">
        <v>0.99999999849591326</v>
      </c>
      <c r="AB13" s="22">
        <v>0.99999999990608601</v>
      </c>
      <c r="AC13" s="22">
        <v>0.99999999999999767</v>
      </c>
      <c r="AD13" s="22">
        <v>0.99999999999999778</v>
      </c>
      <c r="AE13" s="22">
        <v>0.999999999999998</v>
      </c>
      <c r="AF13" s="22">
        <v>0.99999999999999767</v>
      </c>
      <c r="AG13" s="22">
        <v>0.99999999999999756</v>
      </c>
      <c r="AH13" s="22">
        <v>0.99999999999999778</v>
      </c>
      <c r="AI13" s="22">
        <v>0.99999999999999878</v>
      </c>
      <c r="AJ13" s="22">
        <v>0.99999999999999867</v>
      </c>
      <c r="AK13" s="22">
        <v>0.99999999999999911</v>
      </c>
      <c r="AL13" s="22">
        <v>0.99999999999999878</v>
      </c>
      <c r="AM13" s="22">
        <v>0.99999999999999878</v>
      </c>
      <c r="AN13" s="22">
        <v>0.99999999999999911</v>
      </c>
      <c r="AO13" s="22">
        <v>0.999999999999999</v>
      </c>
      <c r="AP13" s="22">
        <v>0.99999999999999889</v>
      </c>
      <c r="AQ13" s="22">
        <v>0.99999999999999922</v>
      </c>
      <c r="AR13" s="22">
        <v>0.99999999999999933</v>
      </c>
      <c r="AS13" s="22">
        <v>0.99999999999999889</v>
      </c>
      <c r="AT13" s="22">
        <v>0.99999999999999911</v>
      </c>
      <c r="AU13" s="22">
        <v>0.99999999999999944</v>
      </c>
      <c r="AV13" s="22">
        <v>0.99999999999999978</v>
      </c>
      <c r="AW13" s="22">
        <v>0.99999999999999989</v>
      </c>
      <c r="AX13" s="22">
        <v>1.0000000000000002</v>
      </c>
      <c r="AY13" s="22">
        <v>1.0000000000000002</v>
      </c>
      <c r="AZ13" s="22">
        <v>1</v>
      </c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</row>
    <row r="14" spans="2:102" x14ac:dyDescent="0.25">
      <c r="B14" s="6">
        <v>11</v>
      </c>
      <c r="M14" s="6">
        <v>0</v>
      </c>
      <c r="N14" s="22">
        <v>0.99530180800283974</v>
      </c>
      <c r="O14" s="22">
        <v>0.99711218721036865</v>
      </c>
      <c r="P14" s="22">
        <v>0.99829765392710168</v>
      </c>
      <c r="Q14" s="22">
        <v>0.99904185696340042</v>
      </c>
      <c r="R14" s="22">
        <v>0.99948779735955418</v>
      </c>
      <c r="S14" s="22">
        <v>0.9997415491037126</v>
      </c>
      <c r="T14" s="22">
        <v>0.99987782614576226</v>
      </c>
      <c r="U14" s="22">
        <v>0.99994639022721166</v>
      </c>
      <c r="V14" s="22">
        <v>0.99997841404498911</v>
      </c>
      <c r="W14" s="22">
        <v>0.99999214150925164</v>
      </c>
      <c r="X14" s="22">
        <v>0.99999746346432949</v>
      </c>
      <c r="Y14" s="22">
        <v>0.99999929348186478</v>
      </c>
      <c r="Z14" s="22">
        <v>0.99999983677952009</v>
      </c>
      <c r="AA14" s="22">
        <v>0.9999999706421866</v>
      </c>
      <c r="AB14" s="22">
        <v>0.99999999634051273</v>
      </c>
      <c r="AC14" s="22">
        <v>0.99999999976254528</v>
      </c>
      <c r="AD14" s="22">
        <v>0.99999999999999767</v>
      </c>
      <c r="AE14" s="22">
        <v>0.99999999999999811</v>
      </c>
      <c r="AF14" s="22">
        <v>0.99999999999999845</v>
      </c>
      <c r="AG14" s="22">
        <v>0.99999999999999867</v>
      </c>
      <c r="AH14" s="22">
        <v>0.99999999999999856</v>
      </c>
      <c r="AI14" s="22">
        <v>0.99999999999999767</v>
      </c>
      <c r="AJ14" s="22">
        <v>0.99999999999999867</v>
      </c>
      <c r="AK14" s="22">
        <v>0.99999999999999878</v>
      </c>
      <c r="AL14" s="22">
        <v>0.99999999999999956</v>
      </c>
      <c r="AM14" s="22">
        <v>0.99999999999999911</v>
      </c>
      <c r="AN14" s="22">
        <v>0.99999999999999878</v>
      </c>
      <c r="AO14" s="22">
        <v>0.99999999999999889</v>
      </c>
      <c r="AP14" s="22">
        <v>0.99999999999999922</v>
      </c>
      <c r="AQ14" s="22">
        <v>0.99999999999999944</v>
      </c>
      <c r="AR14" s="22">
        <v>0.99999999999999956</v>
      </c>
      <c r="AS14" s="22">
        <v>0.99999999999999944</v>
      </c>
      <c r="AT14" s="22">
        <v>0.999999999999999</v>
      </c>
      <c r="AU14" s="22">
        <v>0.99999999999999911</v>
      </c>
      <c r="AV14" s="22">
        <v>0.99999999999999956</v>
      </c>
      <c r="AW14" s="22">
        <v>0.99999999999999944</v>
      </c>
      <c r="AX14" s="22">
        <v>0.99999999999999967</v>
      </c>
      <c r="AY14" s="22">
        <v>1</v>
      </c>
      <c r="AZ14" s="22">
        <v>1.0000000000000002</v>
      </c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</row>
    <row r="15" spans="2:102" x14ac:dyDescent="0.25">
      <c r="B15" s="6">
        <v>12</v>
      </c>
      <c r="N15" s="6">
        <v>0</v>
      </c>
      <c r="O15" s="22">
        <v>0.99253470645715902</v>
      </c>
      <c r="P15" s="22">
        <v>0.99530024263511963</v>
      </c>
      <c r="Q15" s="22">
        <v>0.99716016551391262</v>
      </c>
      <c r="R15" s="22">
        <v>0.99836025260429917</v>
      </c>
      <c r="S15" s="22">
        <v>0.99909994665923607</v>
      </c>
      <c r="T15" s="22">
        <v>0.99953325439278617</v>
      </c>
      <c r="U15" s="22">
        <v>0.99977302833601767</v>
      </c>
      <c r="V15" s="22">
        <v>0.99989744293743821</v>
      </c>
      <c r="W15" s="22">
        <v>0.99995743209412413</v>
      </c>
      <c r="X15" s="22">
        <v>0.99998400708633028</v>
      </c>
      <c r="Y15" s="22">
        <v>0.99999466634628376</v>
      </c>
      <c r="Z15" s="22">
        <v>0.99999846307032658</v>
      </c>
      <c r="AA15" s="22">
        <v>0.99999963217509791</v>
      </c>
      <c r="AB15" s="22">
        <v>0.99999993136319165</v>
      </c>
      <c r="AC15" s="22">
        <v>0.99999999111005466</v>
      </c>
      <c r="AD15" s="22">
        <v>0.99999999939960715</v>
      </c>
      <c r="AE15" s="22">
        <v>0.99999999999999789</v>
      </c>
      <c r="AF15" s="22">
        <v>0.99999999999999778</v>
      </c>
      <c r="AG15" s="22">
        <v>0.99999999999999778</v>
      </c>
      <c r="AH15" s="22">
        <v>0.99999999999999822</v>
      </c>
      <c r="AI15" s="22">
        <v>0.99999999999999889</v>
      </c>
      <c r="AJ15" s="22">
        <v>0.99999999999999833</v>
      </c>
      <c r="AK15" s="22">
        <v>0.99999999999999822</v>
      </c>
      <c r="AL15" s="22">
        <v>0.99999999999999745</v>
      </c>
      <c r="AM15" s="22">
        <v>0.99999999999999845</v>
      </c>
      <c r="AN15" s="22">
        <v>0.99999999999999911</v>
      </c>
      <c r="AO15" s="22">
        <v>0.99999999999999911</v>
      </c>
      <c r="AP15" s="22">
        <v>0.99999999999999878</v>
      </c>
      <c r="AQ15" s="22">
        <v>0.999999999999999</v>
      </c>
      <c r="AR15" s="22">
        <v>0.99999999999999922</v>
      </c>
      <c r="AS15" s="22">
        <v>0.99999999999999922</v>
      </c>
      <c r="AT15" s="22">
        <v>0.99999999999999978</v>
      </c>
      <c r="AU15" s="22">
        <v>0.99999999999999967</v>
      </c>
      <c r="AV15" s="22">
        <v>0.99999999999999956</v>
      </c>
      <c r="AW15" s="22">
        <v>0.99999999999999967</v>
      </c>
      <c r="AX15" s="22">
        <v>0.99999999999999967</v>
      </c>
      <c r="AY15" s="22">
        <v>0.99999999999999978</v>
      </c>
      <c r="AZ15" s="22">
        <v>1.0000000000000002</v>
      </c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</row>
    <row r="16" spans="2:102" x14ac:dyDescent="0.25">
      <c r="B16" s="6">
        <v>13</v>
      </c>
      <c r="O16" s="6">
        <v>0</v>
      </c>
      <c r="P16" s="22">
        <v>0.98830768075953379</v>
      </c>
      <c r="Q16" s="22">
        <v>0.99245741531399712</v>
      </c>
      <c r="R16" s="22">
        <v>0.99532587420690266</v>
      </c>
      <c r="S16" s="22">
        <v>0.99722965601203095</v>
      </c>
      <c r="T16" s="22">
        <v>0.99843765088480729</v>
      </c>
      <c r="U16" s="22">
        <v>0.99916676827420414</v>
      </c>
      <c r="V16" s="22">
        <v>0.99958286495231219</v>
      </c>
      <c r="W16" s="22">
        <v>0.99980575160144702</v>
      </c>
      <c r="X16" s="22">
        <v>0.99991681314440217</v>
      </c>
      <c r="Y16" s="22">
        <v>0.99996771477885771</v>
      </c>
      <c r="Z16" s="22">
        <v>0.99998886318586144</v>
      </c>
      <c r="AA16" s="22">
        <v>0.99999667613441456</v>
      </c>
      <c r="AB16" s="22">
        <v>0.99999917487652079</v>
      </c>
      <c r="AC16" s="22">
        <v>0.99999984004219422</v>
      </c>
      <c r="AD16" s="22">
        <v>0.99999997843976207</v>
      </c>
      <c r="AE16" s="22">
        <v>0.99999999848192977</v>
      </c>
      <c r="AF16" s="22">
        <v>0.999999999999998</v>
      </c>
      <c r="AG16" s="22">
        <v>0.99999999999999789</v>
      </c>
      <c r="AH16" s="22">
        <v>0.999999999999998</v>
      </c>
      <c r="AI16" s="22">
        <v>0.99999999999999756</v>
      </c>
      <c r="AJ16" s="22">
        <v>0.99999999999999767</v>
      </c>
      <c r="AK16" s="22">
        <v>0.999999999999998</v>
      </c>
      <c r="AL16" s="22">
        <v>0.99999999999999922</v>
      </c>
      <c r="AM16" s="22">
        <v>0.99999999999999867</v>
      </c>
      <c r="AN16" s="22">
        <v>0.99999999999999889</v>
      </c>
      <c r="AO16" s="22">
        <v>0.99999999999999911</v>
      </c>
      <c r="AP16" s="22">
        <v>0.99999999999999911</v>
      </c>
      <c r="AQ16" s="22">
        <v>0.99999999999999922</v>
      </c>
      <c r="AR16" s="22">
        <v>0.99999999999999956</v>
      </c>
      <c r="AS16" s="22">
        <v>0.99999999999999978</v>
      </c>
      <c r="AT16" s="22">
        <v>0.99999999999999956</v>
      </c>
      <c r="AU16" s="22">
        <v>0.99999999999999967</v>
      </c>
      <c r="AV16" s="22">
        <v>0.99999999999999978</v>
      </c>
      <c r="AW16" s="22">
        <v>0.99999999999999978</v>
      </c>
      <c r="AX16" s="22">
        <v>0.99999999999999978</v>
      </c>
      <c r="AY16" s="22">
        <v>0.99999999999999978</v>
      </c>
      <c r="AZ16" s="22">
        <v>0.99999999999999967</v>
      </c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</row>
    <row r="17" spans="2:102" x14ac:dyDescent="0.25">
      <c r="B17" s="6">
        <v>14</v>
      </c>
      <c r="P17" s="6">
        <v>0</v>
      </c>
      <c r="Q17" s="22">
        <v>0.98196495606844747</v>
      </c>
      <c r="R17" s="22">
        <v>0.98807307583237181</v>
      </c>
      <c r="S17" s="22">
        <v>0.99241601004490709</v>
      </c>
      <c r="T17" s="22">
        <v>0.99538327793514392</v>
      </c>
      <c r="U17" s="22">
        <v>0.99732322035733034</v>
      </c>
      <c r="V17" s="22">
        <v>0.99853077899838971</v>
      </c>
      <c r="W17" s="22">
        <v>0.99924219047440777</v>
      </c>
      <c r="X17" s="22">
        <v>0.99963599790238811</v>
      </c>
      <c r="Y17" s="22">
        <v>0.99983901176953272</v>
      </c>
      <c r="Z17" s="22">
        <v>0.99993539017555677</v>
      </c>
      <c r="AA17" s="22">
        <v>0.99997692136619909</v>
      </c>
      <c r="AB17" s="22">
        <v>0.9999928568941604</v>
      </c>
      <c r="AC17" s="22">
        <v>0.99999815819396398</v>
      </c>
      <c r="AD17" s="22">
        <v>0.99999962850633517</v>
      </c>
      <c r="AE17" s="22">
        <v>0.99999994780600798</v>
      </c>
      <c r="AF17" s="22">
        <v>0.99999999616161572</v>
      </c>
      <c r="AG17" s="22">
        <v>0.99999999999999789</v>
      </c>
      <c r="AH17" s="22">
        <v>0.99999999999999778</v>
      </c>
      <c r="AI17" s="22">
        <v>0.99999999999999811</v>
      </c>
      <c r="AJ17" s="22">
        <v>0.99999999999999856</v>
      </c>
      <c r="AK17" s="22">
        <v>0.99999999999999811</v>
      </c>
      <c r="AL17" s="22">
        <v>0.99999999999999778</v>
      </c>
      <c r="AM17" s="22">
        <v>0.99999999999999878</v>
      </c>
      <c r="AN17" s="22">
        <v>0.99999999999999867</v>
      </c>
      <c r="AO17" s="22">
        <v>0.99999999999999889</v>
      </c>
      <c r="AP17" s="22">
        <v>0.99999999999999944</v>
      </c>
      <c r="AQ17" s="22">
        <v>0.99999999999999922</v>
      </c>
      <c r="AR17" s="22">
        <v>0.99999999999999922</v>
      </c>
      <c r="AS17" s="22">
        <v>0.99999999999999967</v>
      </c>
      <c r="AT17" s="22">
        <v>1.0000000000000002</v>
      </c>
      <c r="AU17" s="22">
        <v>1</v>
      </c>
      <c r="AV17" s="22">
        <v>0.99999999999999956</v>
      </c>
      <c r="AW17" s="22">
        <v>0.99999999999999956</v>
      </c>
      <c r="AX17" s="22">
        <v>0.99999999999999967</v>
      </c>
      <c r="AY17" s="22">
        <v>0.99999999999999978</v>
      </c>
      <c r="AZ17" s="22">
        <v>0.99999999999999967</v>
      </c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</row>
    <row r="18" spans="2:102" x14ac:dyDescent="0.25">
      <c r="B18" s="6">
        <v>15</v>
      </c>
      <c r="Q18" s="6">
        <v>0</v>
      </c>
      <c r="R18" s="22">
        <v>0.97262890781420785</v>
      </c>
      <c r="S18" s="22">
        <v>0.98143505219493576</v>
      </c>
      <c r="T18" s="22">
        <v>0.98788064445333468</v>
      </c>
      <c r="U18" s="22">
        <v>0.99241814352979874</v>
      </c>
      <c r="V18" s="22">
        <v>0.9954775090454232</v>
      </c>
      <c r="W18" s="22">
        <v>0.99744341134264292</v>
      </c>
      <c r="X18" s="22">
        <v>0.99864026954086382</v>
      </c>
      <c r="Y18" s="22">
        <v>0.99932569827939521</v>
      </c>
      <c r="Z18" s="22">
        <v>0.99969170073371727</v>
      </c>
      <c r="AA18" s="22">
        <v>0.99987191119759378</v>
      </c>
      <c r="AB18" s="22">
        <v>0.99995256446689906</v>
      </c>
      <c r="AC18" s="22">
        <v>0.99998475404210529</v>
      </c>
      <c r="AD18" s="22">
        <v>0.99999591087272999</v>
      </c>
      <c r="AE18" s="22">
        <v>0.99999914046791005</v>
      </c>
      <c r="AF18" s="22">
        <v>0.99999987389614686</v>
      </c>
      <c r="AG18" s="22">
        <v>0.9999999902947827</v>
      </c>
      <c r="AH18" s="22">
        <v>0.99999999999999778</v>
      </c>
      <c r="AI18" s="22">
        <v>0.99999999999999778</v>
      </c>
      <c r="AJ18" s="22">
        <v>0.99999999999999845</v>
      </c>
      <c r="AK18" s="22">
        <v>0.99999999999999889</v>
      </c>
      <c r="AL18" s="22">
        <v>0.99999999999999867</v>
      </c>
      <c r="AM18" s="22">
        <v>0.999999999999998</v>
      </c>
      <c r="AN18" s="22">
        <v>0.99999999999999845</v>
      </c>
      <c r="AO18" s="22">
        <v>0.99999999999999856</v>
      </c>
      <c r="AP18" s="22">
        <v>0.999999999999999</v>
      </c>
      <c r="AQ18" s="22">
        <v>0.99999999999999978</v>
      </c>
      <c r="AR18" s="22">
        <v>0.99999999999999967</v>
      </c>
      <c r="AS18" s="22">
        <v>0.99999999999999967</v>
      </c>
      <c r="AT18" s="22">
        <v>0.99999999999999967</v>
      </c>
      <c r="AU18" s="22">
        <v>1.0000000000000004</v>
      </c>
      <c r="AV18" s="22">
        <v>1.0000000000000007</v>
      </c>
      <c r="AW18" s="22">
        <v>1.0000000000000002</v>
      </c>
      <c r="AX18" s="22">
        <v>0.99999999999999989</v>
      </c>
      <c r="AY18" s="22">
        <v>0.99999999999999989</v>
      </c>
      <c r="AZ18" s="22">
        <v>1</v>
      </c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</row>
    <row r="19" spans="2:102" x14ac:dyDescent="0.25">
      <c r="B19" s="6">
        <v>16</v>
      </c>
      <c r="R19" s="6">
        <v>0</v>
      </c>
      <c r="S19" s="22">
        <v>0.95916902293149042</v>
      </c>
      <c r="T19" s="22">
        <v>0.97158318899032436</v>
      </c>
      <c r="U19" s="22">
        <v>0.98094523519996024</v>
      </c>
      <c r="V19" s="22">
        <v>0.9877420099264731</v>
      </c>
      <c r="W19" s="22">
        <v>0.99247269587552356</v>
      </c>
      <c r="X19" s="22">
        <v>0.99561405528481484</v>
      </c>
      <c r="Y19" s="22">
        <v>0.99759261559413503</v>
      </c>
      <c r="Z19" s="22">
        <v>0.99876627627937076</v>
      </c>
      <c r="AA19" s="22">
        <v>0.99941625531815681</v>
      </c>
      <c r="AB19" s="22">
        <v>0.99974863548539472</v>
      </c>
      <c r="AC19" s="22">
        <v>0.99990336382267153</v>
      </c>
      <c r="AD19" s="22">
        <v>0.99996770121519507</v>
      </c>
      <c r="AE19" s="22">
        <v>0.9999909745490162</v>
      </c>
      <c r="AF19" s="22">
        <v>0.99999801944840228</v>
      </c>
      <c r="AG19" s="22">
        <v>0.99999969598488769</v>
      </c>
      <c r="AH19" s="22">
        <v>0.99999997546070019</v>
      </c>
      <c r="AI19" s="22">
        <v>0.99999999999999778</v>
      </c>
      <c r="AJ19" s="22">
        <v>0.99999999999999811</v>
      </c>
      <c r="AK19" s="22">
        <v>0.99999999999999822</v>
      </c>
      <c r="AL19" s="22">
        <v>0.999999999999998</v>
      </c>
      <c r="AM19" s="22">
        <v>0.99999999999999822</v>
      </c>
      <c r="AN19" s="22">
        <v>0.99999999999999811</v>
      </c>
      <c r="AO19" s="22">
        <v>0.99999999999999878</v>
      </c>
      <c r="AP19" s="22">
        <v>0.99999999999999845</v>
      </c>
      <c r="AQ19" s="22">
        <v>0.99999999999999845</v>
      </c>
      <c r="AR19" s="22">
        <v>0.99999999999999911</v>
      </c>
      <c r="AS19" s="22">
        <v>0.99999999999999944</v>
      </c>
      <c r="AT19" s="22">
        <v>0.99999999999999978</v>
      </c>
      <c r="AU19" s="22">
        <v>0.99999999999999933</v>
      </c>
      <c r="AV19" s="22">
        <v>0.99999999999999956</v>
      </c>
      <c r="AW19" s="22">
        <v>1</v>
      </c>
      <c r="AX19" s="22">
        <v>1</v>
      </c>
      <c r="AY19" s="22">
        <v>0.99999999999999978</v>
      </c>
      <c r="AZ19" s="22">
        <v>1</v>
      </c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</row>
    <row r="20" spans="2:102" x14ac:dyDescent="0.25">
      <c r="B20" s="6">
        <v>17</v>
      </c>
      <c r="S20" s="6">
        <v>0</v>
      </c>
      <c r="T20" s="22">
        <v>0.94019440261609644</v>
      </c>
      <c r="U20" s="22">
        <v>0.95727362752956169</v>
      </c>
      <c r="V20" s="22">
        <v>0.97055660182792036</v>
      </c>
      <c r="W20" s="22">
        <v>0.98051132126891882</v>
      </c>
      <c r="X20" s="22">
        <v>0.98767123746236862</v>
      </c>
      <c r="Y20" s="22">
        <v>0.99258989478442083</v>
      </c>
      <c r="Z20" s="22">
        <v>0.99579871612671211</v>
      </c>
      <c r="AA20" s="22">
        <v>0.99777280596364604</v>
      </c>
      <c r="AB20" s="22">
        <v>0.99890822381255051</v>
      </c>
      <c r="AC20" s="22">
        <v>0.99951213861255195</v>
      </c>
      <c r="AD20" s="22">
        <v>0.99980502635969426</v>
      </c>
      <c r="AE20" s="22">
        <v>0.9999321287352837</v>
      </c>
      <c r="AF20" s="22">
        <v>0.99998020666574705</v>
      </c>
      <c r="AG20" s="22">
        <v>0.99999545692079495</v>
      </c>
      <c r="AH20" s="22">
        <v>0.99999926881584422</v>
      </c>
      <c r="AI20" s="22">
        <v>0.99999993795323971</v>
      </c>
      <c r="AJ20" s="22">
        <v>0.999999999999998</v>
      </c>
      <c r="AK20" s="22">
        <v>0.99999999999999789</v>
      </c>
      <c r="AL20" s="22">
        <v>0.99999999999999856</v>
      </c>
      <c r="AM20" s="22">
        <v>0.999999999999999</v>
      </c>
      <c r="AN20" s="22">
        <v>0.999999999999999</v>
      </c>
      <c r="AO20" s="22">
        <v>0.99999999999999856</v>
      </c>
      <c r="AP20" s="22">
        <v>0.99999999999999867</v>
      </c>
      <c r="AQ20" s="22">
        <v>0.99999999999999856</v>
      </c>
      <c r="AR20" s="22">
        <v>0.99999999999999856</v>
      </c>
      <c r="AS20" s="22">
        <v>0.99999999999999922</v>
      </c>
      <c r="AT20" s="22">
        <v>0.999999999999999</v>
      </c>
      <c r="AU20" s="22">
        <v>0.99999999999999956</v>
      </c>
      <c r="AV20" s="22">
        <v>0.99999999999999933</v>
      </c>
      <c r="AW20" s="22">
        <v>0.99999999999999978</v>
      </c>
      <c r="AX20" s="22">
        <v>1.0000000000000002</v>
      </c>
      <c r="AY20" s="22">
        <v>1.0000000000000002</v>
      </c>
      <c r="AZ20" s="22">
        <v>1</v>
      </c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</row>
    <row r="21" spans="2:102" x14ac:dyDescent="0.25">
      <c r="B21" s="6">
        <v>18</v>
      </c>
      <c r="T21" s="6">
        <v>0</v>
      </c>
      <c r="U21" s="22">
        <v>0.91408940237054126</v>
      </c>
      <c r="V21" s="22">
        <v>0.93697106408905251</v>
      </c>
      <c r="W21" s="22">
        <v>0.95534115998156244</v>
      </c>
      <c r="X21" s="22">
        <v>0.96956763881639929</v>
      </c>
      <c r="Y21" s="22">
        <v>0.98015324111004454</v>
      </c>
      <c r="Z21" s="22">
        <v>0.9876853231570264</v>
      </c>
      <c r="AA21" s="22">
        <v>0.99278138858761034</v>
      </c>
      <c r="AB21" s="22">
        <v>0.99603735933918636</v>
      </c>
      <c r="AC21" s="22">
        <v>0.99798516108094504</v>
      </c>
      <c r="AD21" s="22">
        <v>0.9990644698951594</v>
      </c>
      <c r="AE21" s="22">
        <v>0.99961075480681327</v>
      </c>
      <c r="AF21" s="22">
        <v>0.99985864329359075</v>
      </c>
      <c r="AG21" s="22">
        <v>0.99995689718222092</v>
      </c>
      <c r="AH21" s="22">
        <v>0.99998963057201751</v>
      </c>
      <c r="AI21" s="22">
        <v>0.99999824606264831</v>
      </c>
      <c r="AJ21" s="22">
        <v>0.99999984311693046</v>
      </c>
      <c r="AK21" s="22">
        <v>0.999999999999998</v>
      </c>
      <c r="AL21" s="22">
        <v>0.99999999999999811</v>
      </c>
      <c r="AM21" s="22">
        <v>0.99999999999999811</v>
      </c>
      <c r="AN21" s="22">
        <v>0.99999999999999878</v>
      </c>
      <c r="AO21" s="22">
        <v>0.99999999999999878</v>
      </c>
      <c r="AP21" s="22">
        <v>0.999999999999999</v>
      </c>
      <c r="AQ21" s="22">
        <v>0.99999999999999933</v>
      </c>
      <c r="AR21" s="22">
        <v>0.99999999999999878</v>
      </c>
      <c r="AS21" s="22">
        <v>0.99999999999999878</v>
      </c>
      <c r="AT21" s="22">
        <v>0.99999999999999911</v>
      </c>
      <c r="AU21" s="22">
        <v>0.999999999999999</v>
      </c>
      <c r="AV21" s="22">
        <v>0.99999999999999967</v>
      </c>
      <c r="AW21" s="22">
        <v>0.99999999999999956</v>
      </c>
      <c r="AX21" s="22">
        <v>0.99999999999999978</v>
      </c>
      <c r="AY21" s="22">
        <v>1.0000000000000002</v>
      </c>
      <c r="AZ21" s="22">
        <v>1.0000000000000007</v>
      </c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</row>
    <row r="22" spans="2:102" x14ac:dyDescent="0.25">
      <c r="B22" s="6">
        <v>19</v>
      </c>
      <c r="U22" s="6">
        <v>0</v>
      </c>
      <c r="V22" s="22">
        <v>0.87911557962349685</v>
      </c>
      <c r="W22" s="22">
        <v>0.90889301252555554</v>
      </c>
      <c r="X22" s="22">
        <v>0.93359648272843909</v>
      </c>
      <c r="Y22" s="22">
        <v>0.9533879145095252</v>
      </c>
      <c r="Z22" s="22">
        <v>0.96864071611653768</v>
      </c>
      <c r="AA22" s="22">
        <v>0.97989616469165053</v>
      </c>
      <c r="AB22" s="22">
        <v>0.98780475073079599</v>
      </c>
      <c r="AC22" s="22">
        <v>0.99306021223769181</v>
      </c>
      <c r="AD22" s="22">
        <v>0.99633547516118925</v>
      </c>
      <c r="AE22" s="22">
        <v>0.99822949244008563</v>
      </c>
      <c r="AF22" s="22">
        <v>0.99923186589112822</v>
      </c>
      <c r="AG22" s="22">
        <v>0.99970846564795168</v>
      </c>
      <c r="AH22" s="22">
        <v>0.99990686533633766</v>
      </c>
      <c r="AI22" s="22">
        <v>0.99997646209474944</v>
      </c>
      <c r="AJ22" s="22">
        <v>0.99999580502081897</v>
      </c>
      <c r="AK22" s="22">
        <v>0.99999960332662763</v>
      </c>
      <c r="AL22" s="22">
        <v>0.99999999999999833</v>
      </c>
      <c r="AM22" s="22">
        <v>0.99999999999999845</v>
      </c>
      <c r="AN22" s="22">
        <v>0.999999999999998</v>
      </c>
      <c r="AO22" s="22">
        <v>0.99999999999999867</v>
      </c>
      <c r="AP22" s="22">
        <v>0.99999999999999867</v>
      </c>
      <c r="AQ22" s="22">
        <v>0.99999999999999867</v>
      </c>
      <c r="AR22" s="22">
        <v>0.99999999999999933</v>
      </c>
      <c r="AS22" s="22">
        <v>0.99999999999999911</v>
      </c>
      <c r="AT22" s="22">
        <v>0.999999999999999</v>
      </c>
      <c r="AU22" s="22">
        <v>0.99999999999999922</v>
      </c>
      <c r="AV22" s="22">
        <v>0.99999999999999889</v>
      </c>
      <c r="AW22" s="22">
        <v>0.99999999999999922</v>
      </c>
      <c r="AX22" s="22">
        <v>0.99999999999999933</v>
      </c>
      <c r="AY22" s="22">
        <v>0.99999999999999922</v>
      </c>
      <c r="AZ22" s="22">
        <v>0.99999999999999989</v>
      </c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</row>
    <row r="23" spans="2:102" x14ac:dyDescent="0.25">
      <c r="B23" s="6">
        <v>20</v>
      </c>
      <c r="V23" s="6">
        <v>0</v>
      </c>
      <c r="W23" s="22">
        <v>0.83360181086883922</v>
      </c>
      <c r="X23" s="22">
        <v>0.87113461898136579</v>
      </c>
      <c r="Y23" s="22">
        <v>0.90334596877813622</v>
      </c>
      <c r="Z23" s="22">
        <v>0.93007453865588463</v>
      </c>
      <c r="AA23" s="22">
        <v>0.95143715510566984</v>
      </c>
      <c r="AB23" s="22">
        <v>0.96780816646339995</v>
      </c>
      <c r="AC23" s="22">
        <v>0.97977196091608565</v>
      </c>
      <c r="AD23" s="22">
        <v>0.98805408696822761</v>
      </c>
      <c r="AE23" s="22">
        <v>0.99344053573734714</v>
      </c>
      <c r="AF23" s="22">
        <v>0.99669739954253456</v>
      </c>
      <c r="AG23" s="22">
        <v>0.99850339976740621</v>
      </c>
      <c r="AH23" s="22">
        <v>0.9994052186364355</v>
      </c>
      <c r="AI23" s="22">
        <v>0.99980048911583441</v>
      </c>
      <c r="AJ23" s="22">
        <v>0.99994689710615392</v>
      </c>
      <c r="AK23" s="22">
        <v>0.99998999944272293</v>
      </c>
      <c r="AL23" s="22">
        <v>0.99999899702520045</v>
      </c>
      <c r="AM23" s="22">
        <v>0.99999999999999833</v>
      </c>
      <c r="AN23" s="22">
        <v>0.99999999999999878</v>
      </c>
      <c r="AO23" s="22">
        <v>0.99999999999999878</v>
      </c>
      <c r="AP23" s="22">
        <v>0.99999999999999911</v>
      </c>
      <c r="AQ23" s="22">
        <v>0.99999999999999933</v>
      </c>
      <c r="AR23" s="22">
        <v>0.999999999999999</v>
      </c>
      <c r="AS23" s="22">
        <v>0.99999999999999933</v>
      </c>
      <c r="AT23" s="22">
        <v>0.99999999999999922</v>
      </c>
      <c r="AU23" s="22">
        <v>0.99999999999999933</v>
      </c>
      <c r="AV23" s="22">
        <v>0.99999999999999933</v>
      </c>
      <c r="AW23" s="22">
        <v>0.99999999999999944</v>
      </c>
      <c r="AX23" s="22">
        <v>0.99999999999999956</v>
      </c>
      <c r="AY23" s="22">
        <v>0.99999999999999967</v>
      </c>
      <c r="AZ23" s="22">
        <v>0.99999999999999967</v>
      </c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</row>
    <row r="24" spans="2:102" x14ac:dyDescent="0.25">
      <c r="B24" s="6">
        <v>21</v>
      </c>
      <c r="W24" s="6">
        <v>0</v>
      </c>
      <c r="X24" s="22">
        <v>0.77623422129974784</v>
      </c>
      <c r="Y24" s="22">
        <v>0.82190069305001989</v>
      </c>
      <c r="Z24" s="22">
        <v>0.86249228093473518</v>
      </c>
      <c r="AA24" s="22">
        <v>0.89742252367904163</v>
      </c>
      <c r="AB24" s="22">
        <v>0.92641463460612428</v>
      </c>
      <c r="AC24" s="22">
        <v>0.9495219234572031</v>
      </c>
      <c r="AD24" s="22">
        <v>0.96711301979198183</v>
      </c>
      <c r="AE24" s="22">
        <v>0.97982108768676202</v>
      </c>
      <c r="AF24" s="22">
        <v>0.98846253287920005</v>
      </c>
      <c r="AG24" s="22">
        <v>0.9939369911192818</v>
      </c>
      <c r="AH24" s="22">
        <v>0.99712500104517332</v>
      </c>
      <c r="AI24" s="22">
        <v>0.99880106147976988</v>
      </c>
      <c r="AJ24" s="22">
        <v>0.99957670960343847</v>
      </c>
      <c r="AK24" s="22">
        <v>0.99988101668637941</v>
      </c>
      <c r="AL24" s="22">
        <v>0.99997624695137888</v>
      </c>
      <c r="AM24" s="22">
        <v>0.99999746401316592</v>
      </c>
      <c r="AN24" s="22">
        <v>0.99999999999999845</v>
      </c>
      <c r="AO24" s="22">
        <v>0.99999999999999867</v>
      </c>
      <c r="AP24" s="22">
        <v>0.99999999999999845</v>
      </c>
      <c r="AQ24" s="22">
        <v>0.99999999999999878</v>
      </c>
      <c r="AR24" s="22">
        <v>0.99999999999999922</v>
      </c>
      <c r="AS24" s="22">
        <v>0.99999999999999911</v>
      </c>
      <c r="AT24" s="22">
        <v>0.99999999999999911</v>
      </c>
      <c r="AU24" s="22">
        <v>0.99999999999999922</v>
      </c>
      <c r="AV24" s="22">
        <v>0.99999999999999989</v>
      </c>
      <c r="AW24" s="22">
        <v>0.99999999999999989</v>
      </c>
      <c r="AX24" s="22">
        <v>0.99999999999999978</v>
      </c>
      <c r="AY24" s="22">
        <v>0.99999999999999978</v>
      </c>
      <c r="AZ24" s="22">
        <v>0.99999999999999989</v>
      </c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</row>
    <row r="25" spans="2:102" x14ac:dyDescent="0.25">
      <c r="B25" s="6">
        <v>22</v>
      </c>
      <c r="X25" s="6">
        <v>0</v>
      </c>
      <c r="Y25" s="22">
        <v>0.70643461023457477</v>
      </c>
      <c r="Z25" s="22">
        <v>0.75985786516603671</v>
      </c>
      <c r="AA25" s="22">
        <v>0.80910262185843174</v>
      </c>
      <c r="AB25" s="22">
        <v>0.85310909220277187</v>
      </c>
      <c r="AC25" s="22">
        <v>0.89109594864772612</v>
      </c>
      <c r="AD25" s="22">
        <v>0.92263454557760505</v>
      </c>
      <c r="AE25" s="22">
        <v>0.94768918075978936</v>
      </c>
      <c r="AF25" s="22">
        <v>0.96661293977527918</v>
      </c>
      <c r="AG25" s="22">
        <v>0.98009501418759215</v>
      </c>
      <c r="AH25" s="22">
        <v>0.98906422901679203</v>
      </c>
      <c r="AI25" s="22">
        <v>0.99456320106429652</v>
      </c>
      <c r="AJ25" s="22">
        <v>0.99761551034607221</v>
      </c>
      <c r="AK25" s="22">
        <v>0.99911158682912427</v>
      </c>
      <c r="AL25" s="22">
        <v>0.99973546054411944</v>
      </c>
      <c r="AM25" s="22">
        <v>0.99994381741163219</v>
      </c>
      <c r="AN25" s="22">
        <v>0.99999358784564574</v>
      </c>
      <c r="AO25" s="22">
        <v>0.99999999999999889</v>
      </c>
      <c r="AP25" s="22">
        <v>0.99999999999999911</v>
      </c>
      <c r="AQ25" s="22">
        <v>0.99999999999999845</v>
      </c>
      <c r="AR25" s="22">
        <v>0.99999999999999889</v>
      </c>
      <c r="AS25" s="22">
        <v>0.99999999999999911</v>
      </c>
      <c r="AT25" s="22">
        <v>0.99999999999999944</v>
      </c>
      <c r="AU25" s="22">
        <v>0.99999999999999967</v>
      </c>
      <c r="AV25" s="22">
        <v>0.99999999999999944</v>
      </c>
      <c r="AW25" s="22">
        <v>0.99999999999999922</v>
      </c>
      <c r="AX25" s="22">
        <v>0.99999999999999956</v>
      </c>
      <c r="AY25" s="22">
        <v>0.99999999999999989</v>
      </c>
      <c r="AZ25" s="22">
        <v>0.99999999999999989</v>
      </c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</row>
    <row r="26" spans="2:102" x14ac:dyDescent="0.25">
      <c r="B26" s="6">
        <v>23</v>
      </c>
      <c r="Y26" s="6">
        <v>0</v>
      </c>
      <c r="Z26" s="22">
        <v>0.62477902632077209</v>
      </c>
      <c r="AA26" s="22">
        <v>0.68458897023311915</v>
      </c>
      <c r="AB26" s="22">
        <v>0.74184026510831225</v>
      </c>
      <c r="AC26" s="22">
        <v>0.79504750557646187</v>
      </c>
      <c r="AD26" s="22">
        <v>0.84289030203493065</v>
      </c>
      <c r="AE26" s="22">
        <v>0.88433940859702864</v>
      </c>
      <c r="AF26" s="22">
        <v>0.91876487440226107</v>
      </c>
      <c r="AG26" s="22">
        <v>0.94600605874717492</v>
      </c>
      <c r="AH26" s="22">
        <v>0.9663858818057065</v>
      </c>
      <c r="AI26" s="22">
        <v>0.98065924182459019</v>
      </c>
      <c r="AJ26" s="22">
        <v>0.98989785266857133</v>
      </c>
      <c r="AK26" s="22">
        <v>0.99532880956454861</v>
      </c>
      <c r="AL26" s="22">
        <v>0.9981580175913134</v>
      </c>
      <c r="AM26" s="22">
        <v>0.99941699433121223</v>
      </c>
      <c r="AN26" s="22">
        <v>0.99986774503722886</v>
      </c>
      <c r="AO26" s="22">
        <v>0.9999837870911148</v>
      </c>
      <c r="AP26" s="22">
        <v>0.999999999999999</v>
      </c>
      <c r="AQ26" s="22">
        <v>0.99999999999999922</v>
      </c>
      <c r="AR26" s="22">
        <v>0.99999999999999889</v>
      </c>
      <c r="AS26" s="22">
        <v>0.99999999999999889</v>
      </c>
      <c r="AT26" s="22">
        <v>0.99999999999999889</v>
      </c>
      <c r="AU26" s="22">
        <v>0.99999999999999889</v>
      </c>
      <c r="AV26" s="22">
        <v>0.999999999999999</v>
      </c>
      <c r="AW26" s="22">
        <v>0.99999999999999889</v>
      </c>
      <c r="AX26" s="22">
        <v>0.99999999999999933</v>
      </c>
      <c r="AY26" s="22">
        <v>0.99999999999999978</v>
      </c>
      <c r="AZ26" s="22">
        <v>1</v>
      </c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</row>
    <row r="27" spans="2:102" x14ac:dyDescent="0.25">
      <c r="B27" s="6">
        <v>24</v>
      </c>
      <c r="Z27" s="6">
        <v>0</v>
      </c>
      <c r="AA27" s="22">
        <v>0.53336161080986599</v>
      </c>
      <c r="AB27" s="22">
        <v>0.59708236063299791</v>
      </c>
      <c r="AC27" s="22">
        <v>0.66051485177580804</v>
      </c>
      <c r="AD27" s="22">
        <v>0.7219214580172596</v>
      </c>
      <c r="AE27" s="22">
        <v>0.77953678672824223</v>
      </c>
      <c r="AF27" s="22">
        <v>0.83172128348583474</v>
      </c>
      <c r="AG27" s="22">
        <v>0.87712767320511908</v>
      </c>
      <c r="AH27" s="22">
        <v>0.91485620922865818</v>
      </c>
      <c r="AI27" s="22">
        <v>0.94456954829609341</v>
      </c>
      <c r="AJ27" s="22">
        <v>0.96653834701978147</v>
      </c>
      <c r="AK27" s="22">
        <v>0.98159682426585326</v>
      </c>
      <c r="AL27" s="22">
        <v>0.99100446366433259</v>
      </c>
      <c r="AM27" s="22">
        <v>0.99623371550672146</v>
      </c>
      <c r="AN27" s="22">
        <v>0.99872803758107398</v>
      </c>
      <c r="AO27" s="22">
        <v>0.99969037880073175</v>
      </c>
      <c r="AP27" s="22">
        <v>0.9999590062247381</v>
      </c>
      <c r="AQ27" s="22">
        <v>0.99999999999999933</v>
      </c>
      <c r="AR27" s="22">
        <v>0.99999999999999956</v>
      </c>
      <c r="AS27" s="22">
        <v>0.99999999999999956</v>
      </c>
      <c r="AT27" s="22">
        <v>0.99999999999999967</v>
      </c>
      <c r="AU27" s="22">
        <v>0.99999999999999956</v>
      </c>
      <c r="AV27" s="22">
        <v>0.99999999999999944</v>
      </c>
      <c r="AW27" s="22">
        <v>0.99999999999999989</v>
      </c>
      <c r="AX27" s="22">
        <v>0.99999999999999956</v>
      </c>
      <c r="AY27" s="22">
        <v>0.99999999999999989</v>
      </c>
      <c r="AZ27" s="22">
        <v>1</v>
      </c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</row>
    <row r="28" spans="2:102" x14ac:dyDescent="0.25">
      <c r="B28" s="6">
        <v>25</v>
      </c>
      <c r="AA28" s="6">
        <v>0</v>
      </c>
      <c r="AB28" s="22">
        <v>0.43596666471553963</v>
      </c>
      <c r="AC28" s="22">
        <v>0.50012800788870404</v>
      </c>
      <c r="AD28" s="22">
        <v>0.56665699352206467</v>
      </c>
      <c r="AE28" s="22">
        <v>0.63385843538195463</v>
      </c>
      <c r="AF28" s="22">
        <v>0.69977460152526361</v>
      </c>
      <c r="AG28" s="22">
        <v>0.76231919874385246</v>
      </c>
      <c r="AH28" s="22">
        <v>0.81946092034314189</v>
      </c>
      <c r="AI28" s="22">
        <v>0.86944040566721414</v>
      </c>
      <c r="AJ28" s="22">
        <v>0.91099100483278406</v>
      </c>
      <c r="AK28" s="22">
        <v>0.94352198918164054</v>
      </c>
      <c r="AL28" s="22">
        <v>0.96721757520439344</v>
      </c>
      <c r="AM28" s="22">
        <v>0.98301173440868517</v>
      </c>
      <c r="AN28" s="22">
        <v>0.99242123111744951</v>
      </c>
      <c r="AO28" s="22">
        <v>0.99725713255448345</v>
      </c>
      <c r="AP28" s="22">
        <v>0.99927979114203036</v>
      </c>
      <c r="AQ28" s="22">
        <v>0.99989634866746224</v>
      </c>
      <c r="AR28" s="22">
        <v>0.99999999999999944</v>
      </c>
      <c r="AS28" s="22">
        <v>0.99999999999999978</v>
      </c>
      <c r="AT28" s="22">
        <v>1</v>
      </c>
      <c r="AU28" s="22">
        <v>0.99999999999999978</v>
      </c>
      <c r="AV28" s="22">
        <v>0.99999999999999978</v>
      </c>
      <c r="AW28" s="22">
        <v>0.99999999999999967</v>
      </c>
      <c r="AX28" s="22">
        <v>1</v>
      </c>
      <c r="AY28" s="22">
        <v>0.99999999999999967</v>
      </c>
      <c r="AZ28" s="22">
        <v>0.99999999999999956</v>
      </c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</row>
    <row r="29" spans="2:102" x14ac:dyDescent="0.25">
      <c r="B29" s="6">
        <v>26</v>
      </c>
      <c r="AB29" s="6">
        <v>0</v>
      </c>
      <c r="AC29" s="22">
        <v>0.33789828703581876</v>
      </c>
      <c r="AD29" s="22">
        <v>0.3984407711964712</v>
      </c>
      <c r="AE29" s="22">
        <v>0.46394193091573949</v>
      </c>
      <c r="AF29" s="22">
        <v>0.53310787192983278</v>
      </c>
      <c r="AG29" s="22">
        <v>0.60417736371020492</v>
      </c>
      <c r="AH29" s="22">
        <v>0.67498006807845223</v>
      </c>
      <c r="AI29" s="22">
        <v>0.74306901829441441</v>
      </c>
      <c r="AJ29" s="22">
        <v>0.8059317624520872</v>
      </c>
      <c r="AK29" s="22">
        <v>0.86126852862453929</v>
      </c>
      <c r="AL29" s="22">
        <v>0.90730411149242207</v>
      </c>
      <c r="AM29" s="22">
        <v>0.94307675312403672</v>
      </c>
      <c r="AN29" s="22">
        <v>0.96862964651316386</v>
      </c>
      <c r="AO29" s="22">
        <v>0.98502972425218727</v>
      </c>
      <c r="AP29" s="22">
        <v>0.99416556937218981</v>
      </c>
      <c r="AQ29" s="22">
        <v>0.99833740444507246</v>
      </c>
      <c r="AR29" s="22">
        <v>0.99973792121685856</v>
      </c>
      <c r="AS29" s="22">
        <v>0.99999999999999933</v>
      </c>
      <c r="AT29" s="22">
        <v>0.99999999999999944</v>
      </c>
      <c r="AU29" s="22">
        <v>1</v>
      </c>
      <c r="AV29" s="22">
        <v>1</v>
      </c>
      <c r="AW29" s="22">
        <v>1</v>
      </c>
      <c r="AX29" s="22">
        <v>0.99999999999999978</v>
      </c>
      <c r="AY29" s="22">
        <v>1</v>
      </c>
      <c r="AZ29" s="22">
        <v>0.99999999999999989</v>
      </c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</row>
    <row r="30" spans="2:102" x14ac:dyDescent="0.25">
      <c r="B30" s="6">
        <v>27</v>
      </c>
      <c r="AC30" s="6">
        <v>0</v>
      </c>
      <c r="AD30" s="22">
        <v>0.24536120927684441</v>
      </c>
      <c r="AE30" s="22">
        <v>0.2983245306048059</v>
      </c>
      <c r="AF30" s="22">
        <v>0.35822419979472991</v>
      </c>
      <c r="AG30" s="22">
        <v>0.42448062978165974</v>
      </c>
      <c r="AH30" s="22">
        <v>0.49595789682667762</v>
      </c>
      <c r="AI30" s="22">
        <v>0.57090847987037474</v>
      </c>
      <c r="AJ30" s="22">
        <v>0.64698550396710175</v>
      </c>
      <c r="AK30" s="22">
        <v>0.72135144327254419</v>
      </c>
      <c r="AL30" s="22">
        <v>0.79090474407581002</v>
      </c>
      <c r="AM30" s="22">
        <v>0.85262687506577362</v>
      </c>
      <c r="AN30" s="22">
        <v>0.90402004583330375</v>
      </c>
      <c r="AO30" s="22">
        <v>0.9435626990624747</v>
      </c>
      <c r="AP30" s="22">
        <v>0.97106590327615616</v>
      </c>
      <c r="AQ30" s="22">
        <v>0.98778906480867457</v>
      </c>
      <c r="AR30" s="22">
        <v>0.99619676335294838</v>
      </c>
      <c r="AS30" s="22">
        <v>0.99933734292756837</v>
      </c>
      <c r="AT30" s="22">
        <v>0.99999999999999944</v>
      </c>
      <c r="AU30" s="22">
        <v>0.99999999999999933</v>
      </c>
      <c r="AV30" s="22">
        <v>0.99999999999999944</v>
      </c>
      <c r="AW30" s="22">
        <v>0.99999999999999978</v>
      </c>
      <c r="AX30" s="22">
        <v>1.0000000000000004</v>
      </c>
      <c r="AY30" s="22">
        <v>0.99999999999999989</v>
      </c>
      <c r="AZ30" s="22">
        <v>1.0000000000000004</v>
      </c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</row>
    <row r="31" spans="2:102" x14ac:dyDescent="0.25">
      <c r="B31" s="6">
        <v>28</v>
      </c>
      <c r="AD31" s="6">
        <v>0</v>
      </c>
      <c r="AE31" s="22">
        <v>0.16440861785205377</v>
      </c>
      <c r="AF31" s="22">
        <v>0.20676997313312342</v>
      </c>
      <c r="AG31" s="22">
        <v>0.25695355491231547</v>
      </c>
      <c r="AH31" s="22">
        <v>0.31523011734823375</v>
      </c>
      <c r="AI31" s="22">
        <v>0.38139854189847733</v>
      </c>
      <c r="AJ31" s="22">
        <v>0.45462739903746058</v>
      </c>
      <c r="AK31" s="22">
        <v>0.5333197566240242</v>
      </c>
      <c r="AL31" s="22">
        <v>0.61504164620927393</v>
      </c>
      <c r="AM31" s="22">
        <v>0.69656461723674734</v>
      </c>
      <c r="AN31" s="22">
        <v>0.77407420406906424</v>
      </c>
      <c r="AO31" s="22">
        <v>0.84358047802577463</v>
      </c>
      <c r="AP31" s="22">
        <v>0.9015250096246088</v>
      </c>
      <c r="AQ31" s="22">
        <v>0.94550513350324594</v>
      </c>
      <c r="AR31" s="22">
        <v>0.97493819050525199</v>
      </c>
      <c r="AS31" s="22">
        <v>0.99139649688991871</v>
      </c>
      <c r="AT31" s="22">
        <v>0.99832449467911577</v>
      </c>
      <c r="AU31" s="22">
        <v>0.99999999999999944</v>
      </c>
      <c r="AV31" s="22">
        <v>0.99999999999999956</v>
      </c>
      <c r="AW31" s="22">
        <v>0.99999999999999956</v>
      </c>
      <c r="AX31" s="22">
        <v>0.99999999999999956</v>
      </c>
      <c r="AY31" s="22">
        <v>0.99999999999999967</v>
      </c>
      <c r="AZ31" s="22">
        <v>0.99999999999999956</v>
      </c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</row>
    <row r="32" spans="2:102" x14ac:dyDescent="0.25">
      <c r="B32" s="6">
        <v>29</v>
      </c>
      <c r="AE32" s="6">
        <v>0</v>
      </c>
      <c r="AF32" s="22">
        <v>9.9660762160866376E-2</v>
      </c>
      <c r="AG32" s="22">
        <v>0.13006611676339952</v>
      </c>
      <c r="AH32" s="22">
        <v>0.16787985956561613</v>
      </c>
      <c r="AI32" s="22">
        <v>0.21409398570971352</v>
      </c>
      <c r="AJ32" s="22">
        <v>0.26947078503125865</v>
      </c>
      <c r="AK32" s="22">
        <v>0.33434887208270503</v>
      </c>
      <c r="AL32" s="22">
        <v>0.40841069555719284</v>
      </c>
      <c r="AM32" s="22">
        <v>0.49043662522774512</v>
      </c>
      <c r="AN32" s="22">
        <v>0.57809391417250711</v>
      </c>
      <c r="AO32" s="22">
        <v>0.66783628590235478</v>
      </c>
      <c r="AP32" s="22">
        <v>0.75501428024571215</v>
      </c>
      <c r="AQ32" s="22">
        <v>0.83430292252941485</v>
      </c>
      <c r="AR32" s="22">
        <v>0.90051773131387414</v>
      </c>
      <c r="AS32" s="22">
        <v>0.94978224259836497</v>
      </c>
      <c r="AT32" s="22">
        <v>0.98080729363833508</v>
      </c>
      <c r="AU32" s="22">
        <v>0.99576354317020943</v>
      </c>
      <c r="AV32" s="22">
        <v>0.99999999999999944</v>
      </c>
      <c r="AW32" s="22">
        <v>0.99999999999999944</v>
      </c>
      <c r="AX32" s="22">
        <v>0.99999999999999956</v>
      </c>
      <c r="AY32" s="22">
        <v>0.99999999999999978</v>
      </c>
      <c r="AZ32" s="22">
        <v>1.0000000000000002</v>
      </c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</row>
    <row r="33" spans="2:102" x14ac:dyDescent="0.25">
      <c r="B33" s="6">
        <v>30</v>
      </c>
      <c r="AF33" s="6">
        <v>0</v>
      </c>
      <c r="AG33" s="22">
        <v>5.3187236963622563E-2</v>
      </c>
      <c r="AH33" s="22">
        <v>7.2269128308790093E-2</v>
      </c>
      <c r="AI33" s="22">
        <v>9.7243177839582626E-2</v>
      </c>
      <c r="AJ33" s="22">
        <v>0.12945247725652348</v>
      </c>
      <c r="AK33" s="22">
        <v>0.1703068893047085</v>
      </c>
      <c r="AL33" s="22">
        <v>0.22114795519194522</v>
      </c>
      <c r="AM33" s="22">
        <v>0.28303691981263474</v>
      </c>
      <c r="AN33" s="22">
        <v>0.35645551302729467</v>
      </c>
      <c r="AO33" s="22">
        <v>0.44092582557866311</v>
      </c>
      <c r="AP33" s="22">
        <v>0.53458775880168219</v>
      </c>
      <c r="AQ33" s="22">
        <v>0.63382435290574524</v>
      </c>
      <c r="AR33" s="22">
        <v>0.73309589420490728</v>
      </c>
      <c r="AS33" s="22">
        <v>0.82521864217518204</v>
      </c>
      <c r="AT33" s="22">
        <v>0.90236153298652266</v>
      </c>
      <c r="AU33" s="22">
        <v>0.9579471872997648</v>
      </c>
      <c r="AV33" s="22">
        <v>0.98928826650266244</v>
      </c>
      <c r="AW33" s="22">
        <v>0.99999999999999956</v>
      </c>
      <c r="AX33" s="22">
        <v>0.99999999999999944</v>
      </c>
      <c r="AY33" s="22">
        <v>0.99999999999999978</v>
      </c>
      <c r="AZ33" s="22">
        <v>0.99999999999999956</v>
      </c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</row>
    <row r="34" spans="2:102" x14ac:dyDescent="0.25">
      <c r="B34" s="6">
        <v>31</v>
      </c>
      <c r="AG34" s="6">
        <v>0</v>
      </c>
      <c r="AH34" s="22">
        <v>2.4021230849461707E-2</v>
      </c>
      <c r="AI34" s="22">
        <v>3.4097163688788436E-2</v>
      </c>
      <c r="AJ34" s="22">
        <v>4.8012385842370914E-2</v>
      </c>
      <c r="AK34" s="22">
        <v>6.7007931795385223E-2</v>
      </c>
      <c r="AL34" s="22">
        <v>9.2598091382372183E-2</v>
      </c>
      <c r="AM34" s="22">
        <v>0.12655282896074735</v>
      </c>
      <c r="AN34" s="22">
        <v>0.17081915796408767</v>
      </c>
      <c r="AO34" s="22">
        <v>0.22734558321091861</v>
      </c>
      <c r="AP34" s="22">
        <v>0.29776682379876307</v>
      </c>
      <c r="AQ34" s="22">
        <v>0.38290808208448979</v>
      </c>
      <c r="AR34" s="22">
        <v>0.48209126061839286</v>
      </c>
      <c r="AS34" s="22">
        <v>0.59228948345910992</v>
      </c>
      <c r="AT34" s="22">
        <v>0.70730842120343418</v>
      </c>
      <c r="AU34" s="22">
        <v>0.81740079695496459</v>
      </c>
      <c r="AV34" s="22">
        <v>0.9100434396512066</v>
      </c>
      <c r="AW34" s="22">
        <v>0.97291575504531658</v>
      </c>
      <c r="AX34" s="22">
        <v>1</v>
      </c>
      <c r="AY34" s="22">
        <v>1</v>
      </c>
      <c r="AZ34" s="22">
        <v>1</v>
      </c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</row>
    <row r="35" spans="2:102" x14ac:dyDescent="0.25">
      <c r="B35" s="6">
        <v>32</v>
      </c>
      <c r="AH35" s="6">
        <v>0</v>
      </c>
      <c r="AI35" s="22">
        <v>8.6205185467946137E-3</v>
      </c>
      <c r="AJ35" s="22">
        <v>1.2828231428880394E-2</v>
      </c>
      <c r="AK35" s="22">
        <v>1.8978355651870629E-2</v>
      </c>
      <c r="AL35" s="22">
        <v>2.7894264419565475E-2</v>
      </c>
      <c r="AM35" s="22">
        <v>4.0699457965909583E-2</v>
      </c>
      <c r="AN35" s="22">
        <v>5.8893287303738336E-2</v>
      </c>
      <c r="AO35" s="22">
        <v>8.442048633669412E-2</v>
      </c>
      <c r="AP35" s="22">
        <v>0.11970917042566172</v>
      </c>
      <c r="AQ35" s="22">
        <v>0.16763137680295262</v>
      </c>
      <c r="AR35" s="22">
        <v>0.23131004920530518</v>
      </c>
      <c r="AS35" s="22">
        <v>0.31365711627682746</v>
      </c>
      <c r="AT35" s="22">
        <v>0.41648704433952916</v>
      </c>
      <c r="AU35" s="22">
        <v>0.53903606045001173</v>
      </c>
      <c r="AV35" s="22">
        <v>0.67579974523349007</v>
      </c>
      <c r="AW35" s="22">
        <v>0.81394529602245858</v>
      </c>
      <c r="AX35" s="22">
        <v>0.93151843023842429</v>
      </c>
      <c r="AY35" s="22">
        <v>0.99999999999999989</v>
      </c>
      <c r="AZ35" s="22">
        <v>1</v>
      </c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</row>
    <row r="36" spans="2:102" x14ac:dyDescent="0.25">
      <c r="B36" s="6">
        <v>33</v>
      </c>
      <c r="AI36" s="6">
        <v>0</v>
      </c>
      <c r="AJ36" s="22">
        <v>2.1891760018834727E-3</v>
      </c>
      <c r="AK36" s="22">
        <v>3.4279808223801711E-3</v>
      </c>
      <c r="AL36" s="22">
        <v>5.350699727829083E-3</v>
      </c>
      <c r="AM36" s="22">
        <v>8.3219722127833157E-3</v>
      </c>
      <c r="AN36" s="22">
        <v>1.2890823690172627E-2</v>
      </c>
      <c r="AO36" s="22">
        <v>1.9875852941229885E-2</v>
      </c>
      <c r="AP36" s="22">
        <v>3.0482962153056386E-2</v>
      </c>
      <c r="AQ36" s="22">
        <v>4.6461747572155369E-2</v>
      </c>
      <c r="AR36" s="22">
        <v>7.0300744580323912E-2</v>
      </c>
      <c r="AS36" s="22">
        <v>0.10544542613168727</v>
      </c>
      <c r="AT36" s="22">
        <v>0.15648515379444958</v>
      </c>
      <c r="AU36" s="22">
        <v>0.2291751427827729</v>
      </c>
      <c r="AV36" s="22">
        <v>0.3299975330610439</v>
      </c>
      <c r="AW36" s="22">
        <v>0.46464908379889591</v>
      </c>
      <c r="AX36" s="22">
        <v>0.63423885658335422</v>
      </c>
      <c r="AY36" s="22">
        <v>0.82684673673361508</v>
      </c>
      <c r="AZ36" s="22">
        <v>0.99999999999999967</v>
      </c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</row>
    <row r="37" spans="2:102" x14ac:dyDescent="0.25">
      <c r="B37" s="6">
        <v>34</v>
      </c>
      <c r="AJ37" s="6">
        <v>0</v>
      </c>
      <c r="AK37" s="22">
        <v>2.9570599331386259E-4</v>
      </c>
      <c r="AL37" s="22">
        <v>4.8917196230679571E-4</v>
      </c>
      <c r="AM37" s="22">
        <v>8.0921325274966422E-4</v>
      </c>
      <c r="AN37" s="22">
        <v>1.3386419069026736E-3</v>
      </c>
      <c r="AO37" s="22">
        <v>2.2144498360933086E-3</v>
      </c>
      <c r="AP37" s="22">
        <v>3.6632560592100238E-3</v>
      </c>
      <c r="AQ37" s="22">
        <v>6.0599453356835996E-3</v>
      </c>
      <c r="AR37" s="22">
        <v>1.0024671188121273E-2</v>
      </c>
      <c r="AS37" s="22">
        <v>1.6583323258412264E-2</v>
      </c>
      <c r="AT37" s="22">
        <v>2.7432980606772035E-2</v>
      </c>
      <c r="AU37" s="22">
        <v>4.5381038121522076E-2</v>
      </c>
      <c r="AV37" s="22">
        <v>7.5071631861929444E-2</v>
      </c>
      <c r="AW37" s="22">
        <v>0.12418732897474839</v>
      </c>
      <c r="AX37" s="22">
        <v>0.20543702455072754</v>
      </c>
      <c r="AY37" s="22">
        <v>0.33984442216997734</v>
      </c>
      <c r="AZ37" s="22">
        <v>0.56218800643467881</v>
      </c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</row>
    <row r="38" spans="2:102" x14ac:dyDescent="0.25">
      <c r="B38" s="6">
        <v>35</v>
      </c>
      <c r="AK38" s="6">
        <v>0</v>
      </c>
      <c r="AL38" s="22">
        <v>0</v>
      </c>
      <c r="AM38" s="22">
        <v>0</v>
      </c>
      <c r="AN38" s="22">
        <v>0</v>
      </c>
      <c r="AO38" s="22">
        <v>0</v>
      </c>
      <c r="AP38" s="22">
        <v>0</v>
      </c>
      <c r="AQ38" s="22">
        <v>0</v>
      </c>
      <c r="AR38" s="22">
        <v>0</v>
      </c>
      <c r="AS38" s="22">
        <v>0</v>
      </c>
      <c r="AT38" s="22">
        <v>0</v>
      </c>
      <c r="AU38" s="22">
        <v>0</v>
      </c>
      <c r="AV38" s="22">
        <v>0</v>
      </c>
      <c r="AW38" s="22">
        <v>0</v>
      </c>
      <c r="AX38" s="22">
        <v>0</v>
      </c>
      <c r="AY38" s="22">
        <v>0</v>
      </c>
      <c r="AZ38" s="22">
        <v>0</v>
      </c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</row>
    <row r="39" spans="2:102" x14ac:dyDescent="0.25">
      <c r="B39" s="6">
        <v>36</v>
      </c>
      <c r="AL39" s="6">
        <v>0</v>
      </c>
      <c r="AM39" s="22">
        <v>0</v>
      </c>
      <c r="AN39" s="22">
        <v>0</v>
      </c>
      <c r="AO39" s="22">
        <v>0</v>
      </c>
      <c r="AP39" s="22">
        <v>0</v>
      </c>
      <c r="AQ39" s="22">
        <v>0</v>
      </c>
      <c r="AR39" s="22">
        <v>0</v>
      </c>
      <c r="AS39" s="22">
        <v>0</v>
      </c>
      <c r="AT39" s="22">
        <v>0</v>
      </c>
      <c r="AU39" s="22">
        <v>0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</row>
    <row r="40" spans="2:102" x14ac:dyDescent="0.25">
      <c r="B40" s="6">
        <v>37</v>
      </c>
      <c r="AM40" s="6">
        <v>0</v>
      </c>
      <c r="AN40" s="22">
        <v>0</v>
      </c>
      <c r="AO40" s="22">
        <v>0</v>
      </c>
      <c r="AP40" s="22">
        <v>0</v>
      </c>
      <c r="AQ40" s="22">
        <v>0</v>
      </c>
      <c r="AR40" s="22">
        <v>0</v>
      </c>
      <c r="AS40" s="22">
        <v>0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</row>
    <row r="41" spans="2:102" x14ac:dyDescent="0.25">
      <c r="B41" s="6">
        <v>38</v>
      </c>
      <c r="AN41" s="6">
        <v>0</v>
      </c>
      <c r="AO41" s="22">
        <v>0</v>
      </c>
      <c r="AP41" s="22">
        <v>0</v>
      </c>
      <c r="AQ41" s="22">
        <v>0</v>
      </c>
      <c r="AR41" s="22">
        <v>0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2">
        <v>0</v>
      </c>
      <c r="AY41" s="22">
        <v>0</v>
      </c>
      <c r="AZ41" s="22">
        <v>0</v>
      </c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</row>
    <row r="42" spans="2:102" x14ac:dyDescent="0.25">
      <c r="B42" s="6">
        <v>39</v>
      </c>
      <c r="AO42" s="6">
        <v>0</v>
      </c>
      <c r="AP42" s="22">
        <v>0</v>
      </c>
      <c r="AQ42" s="22">
        <v>0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2">
        <v>0</v>
      </c>
      <c r="AX42" s="22">
        <v>0</v>
      </c>
      <c r="AY42" s="22">
        <v>0</v>
      </c>
      <c r="AZ42" s="22">
        <v>0</v>
      </c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</row>
    <row r="43" spans="2:102" x14ac:dyDescent="0.25">
      <c r="B43" s="6">
        <v>40</v>
      </c>
      <c r="AP43" s="6">
        <v>0</v>
      </c>
      <c r="AQ43" s="22">
        <v>0</v>
      </c>
      <c r="AR43" s="22">
        <v>0</v>
      </c>
      <c r="AS43" s="22">
        <v>0</v>
      </c>
      <c r="AT43" s="22">
        <v>0</v>
      </c>
      <c r="AU43" s="22">
        <v>0</v>
      </c>
      <c r="AV43" s="22">
        <v>0</v>
      </c>
      <c r="AW43" s="22">
        <v>0</v>
      </c>
      <c r="AX43" s="22">
        <v>0</v>
      </c>
      <c r="AY43" s="22">
        <v>0</v>
      </c>
      <c r="AZ43" s="22">
        <v>0</v>
      </c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</row>
    <row r="44" spans="2:102" x14ac:dyDescent="0.25">
      <c r="B44" s="6">
        <v>41</v>
      </c>
      <c r="AQ44" s="6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0</v>
      </c>
      <c r="AW44" s="22">
        <v>0</v>
      </c>
      <c r="AX44" s="22">
        <v>0</v>
      </c>
      <c r="AY44" s="22">
        <v>0</v>
      </c>
      <c r="AZ44" s="22">
        <v>0</v>
      </c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</row>
    <row r="45" spans="2:102" x14ac:dyDescent="0.25">
      <c r="B45" s="6">
        <v>42</v>
      </c>
      <c r="AR45" s="6">
        <v>0</v>
      </c>
      <c r="AS45" s="22">
        <v>0</v>
      </c>
      <c r="AT45" s="22">
        <v>0</v>
      </c>
      <c r="AU45" s="22">
        <v>0</v>
      </c>
      <c r="AV45" s="22">
        <v>0</v>
      </c>
      <c r="AW45" s="22">
        <v>0</v>
      </c>
      <c r="AX45" s="22">
        <v>0</v>
      </c>
      <c r="AY45" s="22">
        <v>0</v>
      </c>
      <c r="AZ45" s="22">
        <v>0</v>
      </c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</row>
    <row r="46" spans="2:102" x14ac:dyDescent="0.25">
      <c r="B46" s="6">
        <v>43</v>
      </c>
      <c r="AS46" s="6">
        <v>0</v>
      </c>
      <c r="AT46" s="22">
        <v>0</v>
      </c>
      <c r="AU46" s="22">
        <v>0</v>
      </c>
      <c r="AV46" s="22">
        <v>0</v>
      </c>
      <c r="AW46" s="22">
        <v>0</v>
      </c>
      <c r="AX46" s="22">
        <v>0</v>
      </c>
      <c r="AY46" s="22">
        <v>0</v>
      </c>
      <c r="AZ46" s="22">
        <v>0</v>
      </c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</row>
    <row r="47" spans="2:102" x14ac:dyDescent="0.25">
      <c r="B47" s="6">
        <v>44</v>
      </c>
      <c r="AT47" s="6">
        <v>0</v>
      </c>
      <c r="AU47" s="22">
        <v>0</v>
      </c>
      <c r="AV47" s="22">
        <v>0</v>
      </c>
      <c r="AW47" s="22">
        <v>0</v>
      </c>
      <c r="AX47" s="22">
        <v>0</v>
      </c>
      <c r="AY47" s="22">
        <v>0</v>
      </c>
      <c r="AZ47" s="22">
        <v>0</v>
      </c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</row>
    <row r="48" spans="2:102" x14ac:dyDescent="0.25">
      <c r="B48" s="6">
        <v>45</v>
      </c>
      <c r="AU48" s="6">
        <v>0</v>
      </c>
      <c r="AV48" s="22">
        <v>0</v>
      </c>
      <c r="AW48" s="22">
        <v>0</v>
      </c>
      <c r="AX48" s="22">
        <v>0</v>
      </c>
      <c r="AY48" s="22">
        <v>0</v>
      </c>
      <c r="AZ48" s="22">
        <v>0</v>
      </c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</row>
    <row r="49" spans="2:102" x14ac:dyDescent="0.25">
      <c r="B49" s="6">
        <v>46</v>
      </c>
      <c r="AV49" s="6">
        <v>0</v>
      </c>
      <c r="AW49" s="22">
        <v>0</v>
      </c>
      <c r="AX49" s="22">
        <v>0</v>
      </c>
      <c r="AY49" s="22">
        <v>0</v>
      </c>
      <c r="AZ49" s="22">
        <v>0</v>
      </c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</row>
    <row r="50" spans="2:102" x14ac:dyDescent="0.25">
      <c r="B50" s="6">
        <v>47</v>
      </c>
      <c r="AW50" s="6">
        <v>0</v>
      </c>
      <c r="AX50" s="22">
        <v>0</v>
      </c>
      <c r="AY50" s="22">
        <v>0</v>
      </c>
      <c r="AZ50" s="22">
        <v>0</v>
      </c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</row>
    <row r="51" spans="2:102" x14ac:dyDescent="0.25">
      <c r="B51" s="6">
        <v>48</v>
      </c>
      <c r="AX51" s="6">
        <v>0</v>
      </c>
      <c r="AY51" s="22">
        <v>0</v>
      </c>
      <c r="AZ51" s="22">
        <v>0</v>
      </c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</row>
    <row r="52" spans="2:102" x14ac:dyDescent="0.25">
      <c r="B52" s="6">
        <v>49</v>
      </c>
      <c r="AY52" s="6">
        <v>0</v>
      </c>
      <c r="AZ52" s="22">
        <v>0</v>
      </c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</row>
    <row r="53" spans="2:102" x14ac:dyDescent="0.25">
      <c r="B53" s="6">
        <v>50</v>
      </c>
      <c r="AZ53" s="6">
        <v>0</v>
      </c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</row>
    <row r="54" spans="2:102" x14ac:dyDescent="0.25"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</row>
    <row r="55" spans="2:102" x14ac:dyDescent="0.25"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</row>
    <row r="56" spans="2:102" x14ac:dyDescent="0.25"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</row>
    <row r="57" spans="2:102" x14ac:dyDescent="0.25"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</row>
    <row r="58" spans="2:102" x14ac:dyDescent="0.25"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</row>
    <row r="59" spans="2:102" x14ac:dyDescent="0.25"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</row>
    <row r="60" spans="2:102" x14ac:dyDescent="0.25"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</row>
    <row r="61" spans="2:102" x14ac:dyDescent="0.25"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</row>
    <row r="62" spans="2:102" x14ac:dyDescent="0.25"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</row>
    <row r="63" spans="2:102" x14ac:dyDescent="0.25"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</row>
    <row r="64" spans="2:102" x14ac:dyDescent="0.25"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</row>
    <row r="65" spans="65:102" x14ac:dyDescent="0.25"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</row>
    <row r="66" spans="65:102" x14ac:dyDescent="0.25"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</row>
    <row r="67" spans="65:102" x14ac:dyDescent="0.25"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</row>
    <row r="68" spans="65:102" x14ac:dyDescent="0.25"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</row>
    <row r="69" spans="65:102" x14ac:dyDescent="0.25"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</row>
    <row r="70" spans="65:102" x14ac:dyDescent="0.25"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</row>
    <row r="71" spans="65:102" x14ac:dyDescent="0.25"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</row>
    <row r="72" spans="65:102" x14ac:dyDescent="0.25"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</row>
    <row r="73" spans="65:102" x14ac:dyDescent="0.25"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</row>
    <row r="74" spans="65:102" x14ac:dyDescent="0.25"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</row>
    <row r="75" spans="65:102" x14ac:dyDescent="0.25"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</row>
    <row r="76" spans="65:102" x14ac:dyDescent="0.25"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</row>
    <row r="77" spans="65:102" x14ac:dyDescent="0.25"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</row>
    <row r="78" spans="65:102" x14ac:dyDescent="0.25"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</row>
    <row r="79" spans="65:102" x14ac:dyDescent="0.25"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</row>
    <row r="80" spans="65:102" x14ac:dyDescent="0.25"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</row>
    <row r="81" spans="81:102" x14ac:dyDescent="0.25"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</row>
    <row r="82" spans="81:102" x14ac:dyDescent="0.25"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</row>
    <row r="83" spans="81:102" x14ac:dyDescent="0.25"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</row>
    <row r="84" spans="81:102" x14ac:dyDescent="0.25"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</row>
    <row r="85" spans="81:102" x14ac:dyDescent="0.25"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</row>
    <row r="86" spans="81:102" x14ac:dyDescent="0.25"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</row>
    <row r="87" spans="81:102" x14ac:dyDescent="0.25"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</row>
    <row r="88" spans="81:102" x14ac:dyDescent="0.25"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</row>
    <row r="89" spans="81:102" x14ac:dyDescent="0.25"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</row>
    <row r="90" spans="81:102" x14ac:dyDescent="0.25"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</row>
    <row r="91" spans="81:102" x14ac:dyDescent="0.25"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</row>
    <row r="92" spans="81:102" x14ac:dyDescent="0.25"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</row>
    <row r="93" spans="81:102" x14ac:dyDescent="0.25">
      <c r="CO93" s="22"/>
      <c r="CP93" s="22"/>
      <c r="CQ93" s="22"/>
      <c r="CR93" s="22"/>
      <c r="CS93" s="22"/>
      <c r="CT93" s="22"/>
      <c r="CU93" s="22"/>
      <c r="CV93" s="22"/>
      <c r="CW93" s="22"/>
      <c r="CX93" s="22"/>
    </row>
    <row r="94" spans="81:102" x14ac:dyDescent="0.25">
      <c r="CP94" s="22"/>
      <c r="CQ94" s="22"/>
      <c r="CR94" s="22"/>
      <c r="CS94" s="22"/>
      <c r="CT94" s="22"/>
      <c r="CU94" s="22"/>
      <c r="CV94" s="22"/>
      <c r="CW94" s="22"/>
      <c r="CX94" s="22"/>
    </row>
    <row r="95" spans="81:102" x14ac:dyDescent="0.25">
      <c r="CQ95" s="22"/>
      <c r="CR95" s="22"/>
      <c r="CS95" s="22"/>
      <c r="CT95" s="22"/>
      <c r="CU95" s="22"/>
      <c r="CV95" s="22"/>
      <c r="CW95" s="22"/>
      <c r="CX95" s="22"/>
    </row>
    <row r="96" spans="81:102" x14ac:dyDescent="0.25">
      <c r="CR96" s="22"/>
      <c r="CS96" s="22"/>
      <c r="CT96" s="22"/>
      <c r="CU96" s="22"/>
      <c r="CV96" s="22"/>
      <c r="CW96" s="22"/>
      <c r="CX96" s="22"/>
    </row>
    <row r="97" spans="97:102" x14ac:dyDescent="0.25">
      <c r="CS97" s="22"/>
      <c r="CT97" s="22"/>
      <c r="CU97" s="22"/>
      <c r="CV97" s="22"/>
      <c r="CW97" s="22"/>
      <c r="CX97" s="22"/>
    </row>
    <row r="98" spans="97:102" x14ac:dyDescent="0.25">
      <c r="CT98" s="22"/>
      <c r="CU98" s="22"/>
      <c r="CV98" s="22"/>
      <c r="CW98" s="22"/>
      <c r="CX98" s="22"/>
    </row>
    <row r="99" spans="97:102" x14ac:dyDescent="0.25">
      <c r="CU99" s="22"/>
      <c r="CV99" s="22"/>
      <c r="CW99" s="22"/>
      <c r="CX99" s="22"/>
    </row>
    <row r="100" spans="97:102" x14ac:dyDescent="0.25">
      <c r="CV100" s="22"/>
      <c r="CW100" s="22"/>
      <c r="CX100" s="22"/>
    </row>
    <row r="101" spans="97:102" x14ac:dyDescent="0.25">
      <c r="CW101" s="22"/>
      <c r="CX101" s="22"/>
    </row>
    <row r="102" spans="97:102" x14ac:dyDescent="0.25">
      <c r="CX102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</sheetPr>
  <dimension ref="B1:CX102"/>
  <sheetViews>
    <sheetView zoomScale="120" zoomScaleNormal="120" workbookViewId="0"/>
  </sheetViews>
  <sheetFormatPr baseColWidth="10" defaultRowHeight="15" x14ac:dyDescent="0.25"/>
  <cols>
    <col min="1" max="1" width="11.42578125" style="6"/>
    <col min="2" max="2" width="3.28515625" style="6" bestFit="1" customWidth="1"/>
    <col min="3" max="16384" width="11.42578125" style="6"/>
  </cols>
  <sheetData>
    <row r="1" spans="2:102" x14ac:dyDescent="0.25">
      <c r="D1" s="5"/>
      <c r="E1" s="5"/>
    </row>
    <row r="2" spans="2:102" x14ac:dyDescent="0.25">
      <c r="C2" s="6">
        <v>0</v>
      </c>
      <c r="D2" s="5">
        <v>1</v>
      </c>
      <c r="E2" s="5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</row>
    <row r="3" spans="2:102" x14ac:dyDescent="0.25">
      <c r="B3" s="6">
        <v>0</v>
      </c>
      <c r="C3" s="24">
        <v>-1.1955286320183511E-2</v>
      </c>
      <c r="D3" s="24">
        <v>-1.4539343728627398E-2</v>
      </c>
      <c r="E3" s="24">
        <v>-1.7526160751238942E-2</v>
      </c>
      <c r="F3" s="22">
        <v>-2.0969785509986877E-2</v>
      </c>
      <c r="G3" s="22">
        <v>-2.4939595548736294E-2</v>
      </c>
      <c r="H3" s="22">
        <v>-2.95240499865045E-2</v>
      </c>
      <c r="I3" s="22">
        <v>-3.4833850054337152E-2</v>
      </c>
      <c r="J3" s="22">
        <v>-4.1004421088497577E-2</v>
      </c>
      <c r="K3" s="22">
        <v>-4.8197951935115391E-2</v>
      </c>
      <c r="L3" s="22">
        <v>-5.6605511763678715E-2</v>
      </c>
      <c r="M3" s="22">
        <v>-6.6449900769922091E-2</v>
      </c>
      <c r="N3" s="22">
        <v>-7.7989828010817455E-2</v>
      </c>
      <c r="O3" s="22">
        <v>-9.1525785486786068E-2</v>
      </c>
      <c r="P3" s="22">
        <v>-0.10740771914088222</v>
      </c>
      <c r="Q3" s="22">
        <v>-0.12604441957168339</v>
      </c>
      <c r="R3" s="22">
        <v>-0.14791454519208208</v>
      </c>
      <c r="S3" s="22">
        <v>-0.17357933089103991</v>
      </c>
      <c r="T3" s="22">
        <v>-0.20369723198772879</v>
      </c>
      <c r="U3" s="22">
        <v>-0.2390409161736308</v>
      </c>
      <c r="V3" s="22">
        <v>-0.28051711145835956</v>
      </c>
      <c r="W3" s="22">
        <v>-0.32918987971959252</v>
      </c>
      <c r="X3" s="22">
        <v>-0.3863079049180056</v>
      </c>
      <c r="Y3" s="22">
        <v>-0.45333652861066243</v>
      </c>
      <c r="Z3" s="22">
        <v>-0.53199533767817109</v>
      </c>
      <c r="AA3" s="22">
        <v>-0.62430232327060042</v>
      </c>
      <c r="AB3" s="22">
        <v>-0.73262559033091323</v>
      </c>
      <c r="AC3" s="22">
        <v>-0.85974407938498798</v>
      </c>
      <c r="AD3" s="22">
        <v>-1.0089191633911909</v>
      </c>
      <c r="AE3" s="22">
        <v>-1.1839777369704163</v>
      </c>
      <c r="AF3" s="22">
        <v>-1.3894105545459143</v>
      </c>
      <c r="AG3" s="22">
        <v>-1.630488688940857</v>
      </c>
      <c r="AH3" s="22">
        <v>-1.9133963652256176</v>
      </c>
      <c r="AI3" s="22">
        <v>-2.2453873115525509</v>
      </c>
      <c r="AJ3" s="22">
        <v>-2.6349878469090822</v>
      </c>
      <c r="AK3" s="22">
        <v>-3.0921905620758037</v>
      </c>
      <c r="AL3" s="22">
        <v>-3.62871137267719</v>
      </c>
      <c r="AM3" s="22">
        <v>-4.2583257873481042</v>
      </c>
      <c r="AN3" s="22">
        <v>-4.9971936897085127</v>
      </c>
      <c r="AO3" s="22">
        <v>-5.8642760098725066</v>
      </c>
      <c r="AP3" s="22">
        <v>-6.8818036779337497</v>
      </c>
      <c r="AQ3" s="22">
        <v>-8.0760380890770023</v>
      </c>
      <c r="AR3" s="22">
        <v>-9.477625987296836</v>
      </c>
      <c r="AS3" s="22">
        <v>-11.123069697946582</v>
      </c>
      <c r="AT3" s="22">
        <v>-13.053231546352334</v>
      </c>
      <c r="AU3" s="22">
        <v>-15.317186881044687</v>
      </c>
      <c r="AV3" s="22">
        <v>-17.970500352839277</v>
      </c>
      <c r="AW3" s="22">
        <v>-21.09023242637091</v>
      </c>
      <c r="AX3" s="22">
        <v>-24.743709612846857</v>
      </c>
      <c r="AY3" s="22">
        <v>-29.046117027826522</v>
      </c>
      <c r="AZ3" s="22">
        <v>-34.05585839187524</v>
      </c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</row>
    <row r="4" spans="2:102" x14ac:dyDescent="0.25">
      <c r="B4" s="6">
        <v>1</v>
      </c>
      <c r="C4" s="5">
        <v>0</v>
      </c>
      <c r="D4" s="24">
        <v>-1.3696196320710652E-2</v>
      </c>
      <c r="E4" s="24">
        <v>-1.6758451225278147E-2</v>
      </c>
      <c r="F4" s="22">
        <v>-2.0303709013883797E-2</v>
      </c>
      <c r="G4" s="22">
        <v>-2.4391501979623871E-2</v>
      </c>
      <c r="H4" s="22">
        <v>-2.909863699939164E-2</v>
      </c>
      <c r="I4" s="22">
        <v>-3.4524411734511977E-2</v>
      </c>
      <c r="J4" s="22">
        <v>-4.0795126280894538E-2</v>
      </c>
      <c r="K4" s="22">
        <v>-4.8067567124593799E-2</v>
      </c>
      <c r="L4" s="22">
        <v>-5.6531581281290107E-2</v>
      </c>
      <c r="M4" s="22">
        <v>-6.6412320559534915E-2</v>
      </c>
      <c r="N4" s="22">
        <v>-7.797304219893253E-2</v>
      </c>
      <c r="O4" s="22">
        <v>-9.1519376110493184E-2</v>
      </c>
      <c r="P4" s="22">
        <v>-0.10740570938488414</v>
      </c>
      <c r="Q4" s="22">
        <v>-0.12604393400197647</v>
      </c>
      <c r="R4" s="22">
        <v>-0.14791446476340467</v>
      </c>
      <c r="S4" s="22">
        <v>-0.17357932402547205</v>
      </c>
      <c r="T4" s="22">
        <v>-0.20369723164928527</v>
      </c>
      <c r="U4" s="22">
        <v>-0.23904091598023453</v>
      </c>
      <c r="V4" s="22">
        <v>-0.28051711397251117</v>
      </c>
      <c r="W4" s="22">
        <v>-0.32918988165355528</v>
      </c>
      <c r="X4" s="22">
        <v>-0.38630790414442051</v>
      </c>
      <c r="Y4" s="22">
        <v>-0.45333652861066243</v>
      </c>
      <c r="Z4" s="22">
        <v>-0.53199534386685199</v>
      </c>
      <c r="AA4" s="22">
        <v>-0.62430231708191963</v>
      </c>
      <c r="AB4" s="22">
        <v>-0.73262555319882761</v>
      </c>
      <c r="AC4" s="22">
        <v>-0.85974405463026438</v>
      </c>
      <c r="AD4" s="22">
        <v>-1.0089190148628491</v>
      </c>
      <c r="AE4" s="22">
        <v>-1.1839773904042847</v>
      </c>
      <c r="AF4" s="22">
        <v>-1.3894103565081251</v>
      </c>
      <c r="AG4" s="22">
        <v>-1.630488292865278</v>
      </c>
      <c r="AH4" s="22">
        <v>-1.9133959691500386</v>
      </c>
      <c r="AI4" s="22">
        <v>-2.2453924605350766</v>
      </c>
      <c r="AJ4" s="22">
        <v>-2.6349902233625557</v>
      </c>
      <c r="AK4" s="22">
        <v>-3.0921873934711721</v>
      </c>
      <c r="AL4" s="22">
        <v>-3.6287208784910843</v>
      </c>
      <c r="AM4" s="22">
        <v>-4.2583321245573673</v>
      </c>
      <c r="AN4" s="22">
        <v>-4.997200026917775</v>
      </c>
      <c r="AO4" s="22">
        <v>-5.8642379866169305</v>
      </c>
      <c r="AP4" s="22">
        <v>-6.8817529802596482</v>
      </c>
      <c r="AQ4" s="22">
        <v>-8.0758352983805963</v>
      </c>
      <c r="AR4" s="22">
        <v>-9.4771190105558158</v>
      </c>
      <c r="AS4" s="22">
        <v>-11.121447372375322</v>
      </c>
      <c r="AT4" s="22">
        <v>-13.051406430084667</v>
      </c>
      <c r="AU4" s="22">
        <v>-15.316781299651874</v>
      </c>
      <c r="AV4" s="22">
        <v>-17.976178492338683</v>
      </c>
      <c r="AW4" s="22">
        <v>-21.09347707751343</v>
      </c>
      <c r="AX4" s="22">
        <v>-24.753443566274409</v>
      </c>
      <c r="AY4" s="22">
        <v>-29.052606330111558</v>
      </c>
      <c r="AZ4" s="22">
        <v>-34.081815601015393</v>
      </c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</row>
    <row r="5" spans="2:102" x14ac:dyDescent="0.25">
      <c r="B5" s="6">
        <v>2</v>
      </c>
      <c r="C5" s="5"/>
      <c r="D5" s="5">
        <v>0</v>
      </c>
      <c r="E5" s="24">
        <v>-1.5623939438402904E-2</v>
      </c>
      <c r="F5" s="22">
        <v>-1.9249149881433572E-2</v>
      </c>
      <c r="G5" s="22">
        <v>-2.3457050723178371E-2</v>
      </c>
      <c r="H5" s="22">
        <v>-2.8312959928020753E-2</v>
      </c>
      <c r="I5" s="22">
        <v>-3.3901015672701734E-2</v>
      </c>
      <c r="J5" s="22">
        <v>-4.033135070838078E-2</v>
      </c>
      <c r="K5" s="22">
        <v>-4.7746571361560283E-2</v>
      </c>
      <c r="L5" s="22">
        <v>-5.6326836744205994E-2</v>
      </c>
      <c r="M5" s="22">
        <v>-6.6293387561969397E-2</v>
      </c>
      <c r="N5" s="22">
        <v>-7.7911070553728853E-2</v>
      </c>
      <c r="O5" s="22">
        <v>-9.1490983457759772E-2</v>
      </c>
      <c r="P5" s="22">
        <v>-0.10739458188577804</v>
      </c>
      <c r="Q5" s="22">
        <v>-0.12604035018762186</v>
      </c>
      <c r="R5" s="22">
        <v>-0.14791357481416612</v>
      </c>
      <c r="S5" s="22">
        <v>-0.17357917240278947</v>
      </c>
      <c r="T5" s="22">
        <v>-0.20369721837746566</v>
      </c>
      <c r="U5" s="22">
        <v>-0.23904091573848918</v>
      </c>
      <c r="V5" s="22">
        <v>-0.28051711339232233</v>
      </c>
      <c r="W5" s="22">
        <v>-0.32918988223374418</v>
      </c>
      <c r="X5" s="22">
        <v>-0.38630790530479814</v>
      </c>
      <c r="Y5" s="22">
        <v>-0.45333652667669966</v>
      </c>
      <c r="Z5" s="22">
        <v>-0.53199534077251154</v>
      </c>
      <c r="AA5" s="22">
        <v>-0.62430231553474935</v>
      </c>
      <c r="AB5" s="22">
        <v>-0.73262555629316817</v>
      </c>
      <c r="AC5" s="22">
        <v>-0.85974406081894517</v>
      </c>
      <c r="AD5" s="22">
        <v>-1.0089189901081252</v>
      </c>
      <c r="AE5" s="22">
        <v>-1.1839774151590083</v>
      </c>
      <c r="AF5" s="22">
        <v>-1.3894104060175723</v>
      </c>
      <c r="AG5" s="22">
        <v>-1.6304882433558305</v>
      </c>
      <c r="AH5" s="22">
        <v>-1.9133955730744598</v>
      </c>
      <c r="AI5" s="22">
        <v>-2.245390480157182</v>
      </c>
      <c r="AJ5" s="22">
        <v>-2.6349918076648713</v>
      </c>
      <c r="AK5" s="22">
        <v>-3.0921905620758037</v>
      </c>
      <c r="AL5" s="22">
        <v>-3.6287177098864527</v>
      </c>
      <c r="AM5" s="22">
        <v>-4.2583432146735767</v>
      </c>
      <c r="AN5" s="22">
        <v>-4.9972095327316692</v>
      </c>
      <c r="AO5" s="22">
        <v>-5.8642823470817689</v>
      </c>
      <c r="AP5" s="22">
        <v>-6.8817783290966998</v>
      </c>
      <c r="AQ5" s="22">
        <v>-8.0758099495435438</v>
      </c>
      <c r="AR5" s="22">
        <v>-9.4770683128817144</v>
      </c>
      <c r="AS5" s="22">
        <v>-11.12139667470122</v>
      </c>
      <c r="AT5" s="22">
        <v>-13.051000848691853</v>
      </c>
      <c r="AU5" s="22">
        <v>-15.315767346169837</v>
      </c>
      <c r="AV5" s="22">
        <v>-17.973339422588978</v>
      </c>
      <c r="AW5" s="22">
        <v>-21.0926659147278</v>
      </c>
      <c r="AX5" s="22">
        <v>-24.754254729060044</v>
      </c>
      <c r="AY5" s="22">
        <v>-29.04773935339778</v>
      </c>
      <c r="AZ5" s="22">
        <v>-34.094794205585465</v>
      </c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</row>
    <row r="6" spans="2:102" x14ac:dyDescent="0.25">
      <c r="B6" s="6">
        <v>3</v>
      </c>
      <c r="E6" s="6">
        <v>0</v>
      </c>
      <c r="F6" s="22">
        <v>-1.7736689443446082E-2</v>
      </c>
      <c r="G6" s="22">
        <v>-2.2021220196211552E-2</v>
      </c>
      <c r="H6" s="22">
        <v>-2.7012956942515935E-2</v>
      </c>
      <c r="I6" s="22">
        <v>-3.278365275331916E-2</v>
      </c>
      <c r="J6" s="22">
        <v>-3.9424589053622269E-2</v>
      </c>
      <c r="K6" s="22">
        <v>-4.7056264186717482E-2</v>
      </c>
      <c r="L6" s="22">
        <v>-5.5837647899307313E-2</v>
      </c>
      <c r="M6" s="22">
        <v>-6.5973732796079002E-2</v>
      </c>
      <c r="N6" s="22">
        <v>-7.7720733126068933E-2</v>
      </c>
      <c r="O6" s="22">
        <v>-9.138925496784589E-2</v>
      </c>
      <c r="P6" s="22">
        <v>-0.10734674392618856</v>
      </c>
      <c r="Q6" s="22">
        <v>-0.1260210932804704</v>
      </c>
      <c r="R6" s="22">
        <v>-0.14790719984427994</v>
      </c>
      <c r="S6" s="22">
        <v>-0.17357754401216588</v>
      </c>
      <c r="T6" s="22">
        <v>-0.20369693288829641</v>
      </c>
      <c r="U6" s="22">
        <v>-0.23904088999260956</v>
      </c>
      <c r="V6" s="22">
        <v>-0.28051711319892603</v>
      </c>
      <c r="W6" s="22">
        <v>-0.32918988184695164</v>
      </c>
      <c r="X6" s="22">
        <v>-0.38630790501470375</v>
      </c>
      <c r="Y6" s="22">
        <v>-0.45333652570971827</v>
      </c>
      <c r="Z6" s="22">
        <v>-0.53199534154609662</v>
      </c>
      <c r="AA6" s="22">
        <v>-0.62430231553474935</v>
      </c>
      <c r="AB6" s="22">
        <v>-0.73262555474599789</v>
      </c>
      <c r="AC6" s="22">
        <v>-0.85974405153592381</v>
      </c>
      <c r="AD6" s="22">
        <v>-1.008919002485487</v>
      </c>
      <c r="AE6" s="22">
        <v>-1.1839774027816468</v>
      </c>
      <c r="AF6" s="22">
        <v>-1.3894103565081251</v>
      </c>
      <c r="AG6" s="22">
        <v>-1.6304881690916597</v>
      </c>
      <c r="AH6" s="22">
        <v>-1.9133956720933545</v>
      </c>
      <c r="AI6" s="22">
        <v>-2.245390480157182</v>
      </c>
      <c r="AJ6" s="22">
        <v>-2.6349898272869772</v>
      </c>
      <c r="AK6" s="22">
        <v>-3.0921899679624354</v>
      </c>
      <c r="AL6" s="22">
        <v>-3.6287185020376107</v>
      </c>
      <c r="AM6" s="22">
        <v>-4.2583392539177876</v>
      </c>
      <c r="AN6" s="22">
        <v>-4.9972079484293532</v>
      </c>
      <c r="AO6" s="22">
        <v>-5.8642760098725066</v>
      </c>
      <c r="AP6" s="22">
        <v>-6.8817973407244875</v>
      </c>
      <c r="AQ6" s="22">
        <v>-8.0758733216361716</v>
      </c>
      <c r="AR6" s="22">
        <v>-9.4771190105558158</v>
      </c>
      <c r="AS6" s="22">
        <v>-11.121472721212372</v>
      </c>
      <c r="AT6" s="22">
        <v>-13.051102244040056</v>
      </c>
      <c r="AU6" s="22">
        <v>-15.315564555473429</v>
      </c>
      <c r="AV6" s="22">
        <v>-17.972731050499757</v>
      </c>
      <c r="AW6" s="22">
        <v>-21.091246379852947</v>
      </c>
      <c r="AX6" s="22">
        <v>-24.750604496524709</v>
      </c>
      <c r="AY6" s="22">
        <v>-29.045305865040891</v>
      </c>
      <c r="AZ6" s="22">
        <v>-34.085060252157909</v>
      </c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</row>
    <row r="7" spans="2:102" x14ac:dyDescent="0.25">
      <c r="B7" s="6">
        <v>4</v>
      </c>
      <c r="F7" s="6">
        <v>0</v>
      </c>
      <c r="G7" s="22">
        <v>-2.0024502207234101E-2</v>
      </c>
      <c r="H7" s="22">
        <v>-2.5076133875561363E-2</v>
      </c>
      <c r="I7" s="22">
        <v>-3.099101673608258E-2</v>
      </c>
      <c r="J7" s="22">
        <v>-3.7848722736182394E-2</v>
      </c>
      <c r="K7" s="22">
        <v>-4.5747618657361051E-2</v>
      </c>
      <c r="L7" s="22">
        <v>-5.4817619591279142E-2</v>
      </c>
      <c r="M7" s="22">
        <v>-6.5233213951888469E-2</v>
      </c>
      <c r="N7" s="22">
        <v>-7.7224721668494964E-2</v>
      </c>
      <c r="O7" s="22">
        <v>-9.108631239142774E-2</v>
      </c>
      <c r="P7" s="22">
        <v>-0.1071805583089344</v>
      </c>
      <c r="Q7" s="22">
        <v>-0.1259408251838956</v>
      </c>
      <c r="R7" s="22">
        <v>-0.1478739875961233</v>
      </c>
      <c r="S7" s="22">
        <v>-0.17356623373846722</v>
      </c>
      <c r="T7" s="22">
        <v>-0.20369395848374708</v>
      </c>
      <c r="U7" s="22">
        <v>-0.23904035259269993</v>
      </c>
      <c r="V7" s="22">
        <v>-0.28051706326642434</v>
      </c>
      <c r="W7" s="22">
        <v>-0.32918988199199878</v>
      </c>
      <c r="X7" s="22">
        <v>-0.38630790501470375</v>
      </c>
      <c r="Y7" s="22">
        <v>-0.45333652599981267</v>
      </c>
      <c r="Z7" s="22">
        <v>-0.53199534154609662</v>
      </c>
      <c r="AA7" s="22">
        <v>-0.62430231592154184</v>
      </c>
      <c r="AB7" s="22">
        <v>-0.7326255539724128</v>
      </c>
      <c r="AC7" s="22">
        <v>-0.85974405230950901</v>
      </c>
      <c r="AD7" s="22">
        <v>-1.0089189870137849</v>
      </c>
      <c r="AE7" s="22">
        <v>-1.1839774058759871</v>
      </c>
      <c r="AF7" s="22">
        <v>-1.3894103503194439</v>
      </c>
      <c r="AG7" s="22">
        <v>-1.6304881690916597</v>
      </c>
      <c r="AH7" s="22">
        <v>-1.9133955730744598</v>
      </c>
      <c r="AI7" s="22">
        <v>-2.2453905544213528</v>
      </c>
      <c r="AJ7" s="22">
        <v>-2.6349903223814501</v>
      </c>
      <c r="AK7" s="22">
        <v>-3.0921896709057508</v>
      </c>
      <c r="AL7" s="22">
        <v>-3.6287185020376107</v>
      </c>
      <c r="AM7" s="22">
        <v>-4.2583412342956821</v>
      </c>
      <c r="AN7" s="22">
        <v>-4.9972087405805112</v>
      </c>
      <c r="AO7" s="22">
        <v>-5.8642799706282958</v>
      </c>
      <c r="AP7" s="22">
        <v>-6.8817941721198563</v>
      </c>
      <c r="AQ7" s="22">
        <v>-8.0758606472176453</v>
      </c>
      <c r="AR7" s="22">
        <v>-9.4771063361372914</v>
      </c>
      <c r="AS7" s="22">
        <v>-11.121510744467948</v>
      </c>
      <c r="AT7" s="22">
        <v>-13.051203639388261</v>
      </c>
      <c r="AU7" s="22">
        <v>-15.315665950821634</v>
      </c>
      <c r="AV7" s="22">
        <v>-17.973238027240775</v>
      </c>
      <c r="AW7" s="22">
        <v>-21.091651961245759</v>
      </c>
      <c r="AX7" s="22">
        <v>-24.751618450006745</v>
      </c>
      <c r="AY7" s="22">
        <v>-29.045711446433707</v>
      </c>
      <c r="AZ7" s="22">
        <v>-34.08587141494354</v>
      </c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</row>
    <row r="8" spans="2:102" x14ac:dyDescent="0.25">
      <c r="B8" s="6">
        <v>5</v>
      </c>
      <c r="G8" s="6">
        <v>0</v>
      </c>
      <c r="H8" s="22">
        <v>-2.2467110510277215E-2</v>
      </c>
      <c r="I8" s="22">
        <v>-2.8403931748564749E-2</v>
      </c>
      <c r="J8" s="22">
        <v>-3.5399723608146E-2</v>
      </c>
      <c r="K8" s="22">
        <v>-4.354460107533429E-2</v>
      </c>
      <c r="L8" s="22">
        <v>-5.2944524686384643E-2</v>
      </c>
      <c r="M8" s="22">
        <v>-6.373753698817744E-2</v>
      </c>
      <c r="N8" s="22">
        <v>-7.6111682069806424E-2</v>
      </c>
      <c r="O8" s="22">
        <v>-9.0321614965517175E-2</v>
      </c>
      <c r="P8" s="22">
        <v>-0.10670118856979723</v>
      </c>
      <c r="Q8" s="22">
        <v>-0.12567072758514664</v>
      </c>
      <c r="R8" s="22">
        <v>-0.14773989376982019</v>
      </c>
      <c r="S8" s="22">
        <v>-0.1735091591695819</v>
      </c>
      <c r="T8" s="22">
        <v>-0.20367394807296446</v>
      </c>
      <c r="U8" s="22">
        <v>-0.23903493002394127</v>
      </c>
      <c r="V8" s="22">
        <v>-0.28051605272251873</v>
      </c>
      <c r="W8" s="22">
        <v>-0.32918978476201965</v>
      </c>
      <c r="X8" s="22">
        <v>-0.38630790513557639</v>
      </c>
      <c r="Y8" s="22">
        <v>-0.45333652628990712</v>
      </c>
      <c r="Z8" s="22">
        <v>-0.53199534164279483</v>
      </c>
      <c r="AA8" s="22">
        <v>-0.62430231698522143</v>
      </c>
      <c r="AB8" s="22">
        <v>-0.73262555532618678</v>
      </c>
      <c r="AC8" s="22">
        <v>-0.8597440530830941</v>
      </c>
      <c r="AD8" s="22">
        <v>-1.0089189916552956</v>
      </c>
      <c r="AE8" s="22">
        <v>-1.1839774027816468</v>
      </c>
      <c r="AF8" s="22">
        <v>-1.3894103534137845</v>
      </c>
      <c r="AG8" s="22">
        <v>-1.6304881474312765</v>
      </c>
      <c r="AH8" s="22">
        <v>-1.9133955668857789</v>
      </c>
      <c r="AI8" s="22">
        <v>-2.245390480157182</v>
      </c>
      <c r="AJ8" s="22">
        <v>-2.6349901738531085</v>
      </c>
      <c r="AK8" s="22">
        <v>-3.0921896213963036</v>
      </c>
      <c r="AL8" s="22">
        <v>-3.6287181059620317</v>
      </c>
      <c r="AM8" s="22">
        <v>-4.2583400460689456</v>
      </c>
      <c r="AN8" s="22">
        <v>-4.9972083445049327</v>
      </c>
      <c r="AO8" s="22">
        <v>-5.8642783863259798</v>
      </c>
      <c r="AP8" s="22">
        <v>-6.8817949642710134</v>
      </c>
      <c r="AQ8" s="22">
        <v>-8.0758590629153311</v>
      </c>
      <c r="AR8" s="22">
        <v>-9.4771158419511838</v>
      </c>
      <c r="AS8" s="22">
        <v>-11.121498070049423</v>
      </c>
      <c r="AT8" s="22">
        <v>-13.051216313806785</v>
      </c>
      <c r="AU8" s="22">
        <v>-15.315741997332786</v>
      </c>
      <c r="AV8" s="22">
        <v>-17.973212678403723</v>
      </c>
      <c r="AW8" s="22">
        <v>-21.091601263571661</v>
      </c>
      <c r="AX8" s="22">
        <v>-24.75121286861393</v>
      </c>
      <c r="AY8" s="22">
        <v>-29.046117027826522</v>
      </c>
      <c r="AZ8" s="22">
        <v>-34.08587141494354</v>
      </c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</row>
    <row r="9" spans="2:102" x14ac:dyDescent="0.25">
      <c r="B9" s="6">
        <v>6</v>
      </c>
      <c r="H9" s="6">
        <v>0</v>
      </c>
      <c r="I9" s="22">
        <v>-2.5031685769943277E-2</v>
      </c>
      <c r="J9" s="22">
        <v>-3.1979723375128055E-2</v>
      </c>
      <c r="K9" s="22">
        <v>-4.0231730690977359E-2</v>
      </c>
      <c r="L9" s="22">
        <v>-4.9893321489259193E-2</v>
      </c>
      <c r="M9" s="22">
        <v>-6.1079880526546643E-2</v>
      </c>
      <c r="N9" s="22">
        <v>-7.3936359214090308E-2</v>
      </c>
      <c r="O9" s="22">
        <v>-8.8661195755184302E-2</v>
      </c>
      <c r="P9" s="22">
        <v>-0.10553032367129801</v>
      </c>
      <c r="Q9" s="22">
        <v>-0.12491684756251825</v>
      </c>
      <c r="R9" s="22">
        <v>-0.14730328929200215</v>
      </c>
      <c r="S9" s="22">
        <v>-0.17328618638202217</v>
      </c>
      <c r="T9" s="22">
        <v>-0.20357624210099903</v>
      </c>
      <c r="U9" s="22">
        <v>-0.23899963190777448</v>
      </c>
      <c r="V9" s="22">
        <v>-0.28050618711600067</v>
      </c>
      <c r="W9" s="22">
        <v>-0.32918788665611076</v>
      </c>
      <c r="X9" s="22">
        <v>-0.38630771638080835</v>
      </c>
      <c r="Y9" s="22">
        <v>-0.45333652621738352</v>
      </c>
      <c r="Z9" s="22">
        <v>-0.53199534178784202</v>
      </c>
      <c r="AA9" s="22">
        <v>-0.62430231674347603</v>
      </c>
      <c r="AB9" s="22">
        <v>-0.73262555580967736</v>
      </c>
      <c r="AC9" s="22">
        <v>-0.85974405443686808</v>
      </c>
      <c r="AD9" s="22">
        <v>-1.0089189935892584</v>
      </c>
      <c r="AE9" s="22">
        <v>-1.1839774058759871</v>
      </c>
      <c r="AF9" s="22">
        <v>-1.3894103565081251</v>
      </c>
      <c r="AG9" s="22">
        <v>-1.6304881536199571</v>
      </c>
      <c r="AH9" s="22">
        <v>-1.9133955730744598</v>
      </c>
      <c r="AI9" s="22">
        <v>-2.2453905049119052</v>
      </c>
      <c r="AJ9" s="22">
        <v>-2.6349901614757467</v>
      </c>
      <c r="AK9" s="22">
        <v>-3.09218959664158</v>
      </c>
      <c r="AL9" s="22">
        <v>-3.628718180226203</v>
      </c>
      <c r="AM9" s="22">
        <v>-4.2583402936161825</v>
      </c>
      <c r="AN9" s="22">
        <v>-4.9972085425427215</v>
      </c>
      <c r="AO9" s="22">
        <v>-5.8642787824015592</v>
      </c>
      <c r="AP9" s="22">
        <v>-6.8817949642710134</v>
      </c>
      <c r="AQ9" s="22">
        <v>-8.0758606472176453</v>
      </c>
      <c r="AR9" s="22">
        <v>-9.4771079204396074</v>
      </c>
      <c r="AS9" s="22">
        <v>-11.121490148537845</v>
      </c>
      <c r="AT9" s="22">
        <v>-13.051187796365102</v>
      </c>
      <c r="AU9" s="22">
        <v>-15.315722985704996</v>
      </c>
      <c r="AV9" s="22">
        <v>-17.973161980729625</v>
      </c>
      <c r="AW9" s="22">
        <v>-21.091778705431015</v>
      </c>
      <c r="AX9" s="22">
        <v>-24.751364961636234</v>
      </c>
      <c r="AY9" s="22">
        <v>-29.045863539456011</v>
      </c>
      <c r="AZ9" s="22">
        <v>-34.085668624247127</v>
      </c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</row>
    <row r="10" spans="2:102" x14ac:dyDescent="0.25">
      <c r="B10" s="6">
        <v>7</v>
      </c>
      <c r="I10" s="6">
        <v>0</v>
      </c>
      <c r="J10" s="22">
        <v>-2.7670783059091316E-2</v>
      </c>
      <c r="K10" s="22">
        <v>-3.5759996097167089E-2</v>
      </c>
      <c r="L10" s="22">
        <v>-4.5458360060799577E-2</v>
      </c>
      <c r="M10" s="22">
        <v>-5.6895410422989762E-2</v>
      </c>
      <c r="N10" s="22">
        <v>-7.0200306874108845E-2</v>
      </c>
      <c r="O10" s="22">
        <v>-8.5524612516422974E-2</v>
      </c>
      <c r="P10" s="22">
        <v>-0.1030730219824309</v>
      </c>
      <c r="Q10" s="22">
        <v>-0.12313709585947742</v>
      </c>
      <c r="R10" s="22">
        <v>-0.146125444802258</v>
      </c>
      <c r="S10" s="22">
        <v>-0.17258449431783462</v>
      </c>
      <c r="T10" s="22">
        <v>-0.20320731335564524</v>
      </c>
      <c r="U10" s="22">
        <v>-0.23883305092733476</v>
      </c>
      <c r="V10" s="22">
        <v>-0.28044411810634701</v>
      </c>
      <c r="W10" s="22">
        <v>-0.32916997659237374</v>
      </c>
      <c r="X10" s="22">
        <v>-0.38630415511525112</v>
      </c>
      <c r="Y10" s="22">
        <v>-0.45333615979187158</v>
      </c>
      <c r="Z10" s="22">
        <v>-0.53199534171531837</v>
      </c>
      <c r="AA10" s="22">
        <v>-0.62430231688852333</v>
      </c>
      <c r="AB10" s="22">
        <v>-0.73262555551958308</v>
      </c>
      <c r="AC10" s="22">
        <v>-0.85974405375998109</v>
      </c>
      <c r="AD10" s="22">
        <v>-1.008918993976051</v>
      </c>
      <c r="AE10" s="22">
        <v>-1.1839774076165537</v>
      </c>
      <c r="AF10" s="22">
        <v>-1.3894103580552952</v>
      </c>
      <c r="AG10" s="22">
        <v>-1.6304881582614681</v>
      </c>
      <c r="AH10" s="22">
        <v>-1.9133955792631405</v>
      </c>
      <c r="AI10" s="22">
        <v>-2.2453905111005867</v>
      </c>
      <c r="AJ10" s="22">
        <v>-2.6349901738531085</v>
      </c>
      <c r="AK10" s="22">
        <v>-3.09218959664158</v>
      </c>
      <c r="AL10" s="22">
        <v>-3.6287180688299463</v>
      </c>
      <c r="AM10" s="22">
        <v>-4.2583401698425636</v>
      </c>
      <c r="AN10" s="22">
        <v>-4.9972084435238271</v>
      </c>
      <c r="AO10" s="22">
        <v>-5.8642784853448742</v>
      </c>
      <c r="AP10" s="22">
        <v>-6.8817947662332246</v>
      </c>
      <c r="AQ10" s="22">
        <v>-8.0758610432932247</v>
      </c>
      <c r="AR10" s="22">
        <v>-9.4771110890442394</v>
      </c>
      <c r="AS10" s="22">
        <v>-11.121490940689004</v>
      </c>
      <c r="AT10" s="22">
        <v>-13.05119254927205</v>
      </c>
      <c r="AU10" s="22">
        <v>-15.315710311286471</v>
      </c>
      <c r="AV10" s="22">
        <v>-17.973161980729625</v>
      </c>
      <c r="AW10" s="22">
        <v>-21.091677310082815</v>
      </c>
      <c r="AX10" s="22">
        <v>-24.75135228721771</v>
      </c>
      <c r="AY10" s="22">
        <v>-29.046040981315368</v>
      </c>
      <c r="AZ10" s="22">
        <v>-34.085770019595337</v>
      </c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</row>
    <row r="11" spans="2:102" x14ac:dyDescent="0.25">
      <c r="B11" s="6">
        <v>8</v>
      </c>
      <c r="J11" s="6">
        <v>0</v>
      </c>
      <c r="K11" s="22">
        <v>-3.0320766615837182E-2</v>
      </c>
      <c r="L11" s="22">
        <v>-3.9679042153383581E-2</v>
      </c>
      <c r="M11" s="22">
        <v>-5.1023595363487724E-2</v>
      </c>
      <c r="N11" s="22">
        <v>-6.4521388213112402E-2</v>
      </c>
      <c r="O11" s="22">
        <v>-8.0323995712550805E-2</v>
      </c>
      <c r="P11" s="22">
        <v>-9.8591722842772331E-2</v>
      </c>
      <c r="Q11" s="22">
        <v>-0.11953118570306581</v>
      </c>
      <c r="R11" s="22">
        <v>-0.14344105154110767</v>
      </c>
      <c r="S11" s="22">
        <v>-0.17075704923450394</v>
      </c>
      <c r="T11" s="22">
        <v>-0.20208650347135293</v>
      </c>
      <c r="U11" s="22">
        <v>-0.23822584211937342</v>
      </c>
      <c r="V11" s="22">
        <v>-0.2801613462273207</v>
      </c>
      <c r="W11" s="22">
        <v>-0.32906120083347146</v>
      </c>
      <c r="X11" s="22">
        <v>-0.38627171661689852</v>
      </c>
      <c r="Y11" s="22">
        <v>-0.4533294861123674</v>
      </c>
      <c r="Z11" s="22">
        <v>-0.53199463041589234</v>
      </c>
      <c r="AA11" s="22">
        <v>-0.62430231680391246</v>
      </c>
      <c r="AB11" s="22">
        <v>-0.73262555556793207</v>
      </c>
      <c r="AC11" s="22">
        <v>-0.85974405380833019</v>
      </c>
      <c r="AD11" s="22">
        <v>-1.008918993299164</v>
      </c>
      <c r="AE11" s="22">
        <v>-1.1839774069396665</v>
      </c>
      <c r="AF11" s="22">
        <v>-1.389410358635484</v>
      </c>
      <c r="AG11" s="22">
        <v>-1.6304881601954306</v>
      </c>
      <c r="AH11" s="22">
        <v>-1.9133955800367259</v>
      </c>
      <c r="AI11" s="22">
        <v>-2.2453905134213419</v>
      </c>
      <c r="AJ11" s="22">
        <v>-2.6349901738531085</v>
      </c>
      <c r="AK11" s="22">
        <v>-3.0921896213963036</v>
      </c>
      <c r="AL11" s="22">
        <v>-3.6287181430941171</v>
      </c>
      <c r="AM11" s="22">
        <v>-4.2583401450878409</v>
      </c>
      <c r="AN11" s="22">
        <v>-4.9972084930332743</v>
      </c>
      <c r="AO11" s="22">
        <v>-5.8642784358354278</v>
      </c>
      <c r="AP11" s="22">
        <v>-6.8817946177048821</v>
      </c>
      <c r="AQ11" s="22">
        <v>-8.0758608452554359</v>
      </c>
      <c r="AR11" s="22">
        <v>-9.4771104949308711</v>
      </c>
      <c r="AS11" s="22">
        <v>-11.121492524991318</v>
      </c>
      <c r="AT11" s="22">
        <v>-13.051191757120893</v>
      </c>
      <c r="AU11" s="22">
        <v>-15.315718232798051</v>
      </c>
      <c r="AV11" s="22">
        <v>-17.973154059218043</v>
      </c>
      <c r="AW11" s="22">
        <v>-21.09168998450134</v>
      </c>
      <c r="AX11" s="22">
        <v>-24.751320601171397</v>
      </c>
      <c r="AY11" s="22">
        <v>-29.04595226038569</v>
      </c>
      <c r="AZ11" s="22">
        <v>-34.085744670758281</v>
      </c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</row>
    <row r="12" spans="2:102" x14ac:dyDescent="0.25">
      <c r="B12" s="6">
        <v>9</v>
      </c>
      <c r="K12" s="6">
        <v>0</v>
      </c>
      <c r="L12" s="22">
        <v>-3.2901090878595544E-2</v>
      </c>
      <c r="M12" s="22">
        <v>-4.3645953034020794E-2</v>
      </c>
      <c r="N12" s="22">
        <v>-5.6837980181240845E-2</v>
      </c>
      <c r="O12" s="22">
        <v>-7.270212440526147E-2</v>
      </c>
      <c r="P12" s="22">
        <v>-9.14277557816848E-2</v>
      </c>
      <c r="Q12" s="22">
        <v>-0.11319089261836977</v>
      </c>
      <c r="R12" s="22">
        <v>-0.13819723158235833</v>
      </c>
      <c r="S12" s="22">
        <v>-0.16674149382408204</v>
      </c>
      <c r="T12" s="22">
        <v>-0.19927220897300577</v>
      </c>
      <c r="U12" s="22">
        <v>-0.23644730149319854</v>
      </c>
      <c r="V12" s="22">
        <v>-0.27916758673087366</v>
      </c>
      <c r="W12" s="22">
        <v>-0.32858342763349729</v>
      </c>
      <c r="X12" s="22">
        <v>-0.38608177514658898</v>
      </c>
      <c r="Y12" s="22">
        <v>-0.45327088012145039</v>
      </c>
      <c r="Z12" s="22">
        <v>-0.53198214028891144</v>
      </c>
      <c r="AA12" s="22">
        <v>-0.62430093600887471</v>
      </c>
      <c r="AB12" s="22">
        <v>-0.73262555553771391</v>
      </c>
      <c r="AC12" s="22">
        <v>-0.85974405380833019</v>
      </c>
      <c r="AD12" s="22">
        <v>-1.0089189934683858</v>
      </c>
      <c r="AE12" s="22">
        <v>-1.1839774066012232</v>
      </c>
      <c r="AF12" s="22">
        <v>-1.389410357861899</v>
      </c>
      <c r="AG12" s="22">
        <v>-1.6304881598086383</v>
      </c>
      <c r="AH12" s="22">
        <v>-1.9133955808103109</v>
      </c>
      <c r="AI12" s="22">
        <v>-2.2453905145817195</v>
      </c>
      <c r="AJ12" s="22">
        <v>-2.6349901784946193</v>
      </c>
      <c r="AK12" s="22">
        <v>-3.0921896167547933</v>
      </c>
      <c r="AL12" s="22">
        <v>-3.6287181338110961</v>
      </c>
      <c r="AM12" s="22">
        <v>-4.2583401884086065</v>
      </c>
      <c r="AN12" s="22">
        <v>-4.9972084868445927</v>
      </c>
      <c r="AO12" s="22">
        <v>-5.8642784853448742</v>
      </c>
      <c r="AP12" s="22">
        <v>-6.8817945186859877</v>
      </c>
      <c r="AQ12" s="22">
        <v>-8.0758606967270943</v>
      </c>
      <c r="AR12" s="22">
        <v>-9.4771102968930787</v>
      </c>
      <c r="AS12" s="22">
        <v>-11.12149212891574</v>
      </c>
      <c r="AT12" s="22">
        <v>-13.051192153196471</v>
      </c>
      <c r="AU12" s="22">
        <v>-15.315716252420156</v>
      </c>
      <c r="AV12" s="22">
        <v>-17.973158812124989</v>
      </c>
      <c r="AW12" s="22">
        <v>-21.0916963217106</v>
      </c>
      <c r="AX12" s="22">
        <v>-24.751333275589921</v>
      </c>
      <c r="AY12" s="22">
        <v>-29.045958597594954</v>
      </c>
      <c r="AZ12" s="22">
        <v>-34.085744670758281</v>
      </c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</row>
    <row r="13" spans="2:102" x14ac:dyDescent="0.25">
      <c r="B13" s="6">
        <v>10</v>
      </c>
      <c r="L13" s="6">
        <v>0</v>
      </c>
      <c r="M13" s="22">
        <v>-3.5314871219262113E-2</v>
      </c>
      <c r="N13" s="22">
        <v>-4.7542776677219067E-2</v>
      </c>
      <c r="O13" s="22">
        <v>-6.2773083087868067E-2</v>
      </c>
      <c r="P13" s="22">
        <v>-8.1318590224890408E-2</v>
      </c>
      <c r="Q13" s="22">
        <v>-0.10343175856906489</v>
      </c>
      <c r="R13" s="22">
        <v>-0.1293197119606331</v>
      </c>
      <c r="S13" s="22">
        <v>-0.15918894392825844</v>
      </c>
      <c r="T13" s="22">
        <v>-0.19331814023004179</v>
      </c>
      <c r="U13" s="22">
        <v>-0.23214757540222536</v>
      </c>
      <c r="V13" s="22">
        <v>-0.27636510670269443</v>
      </c>
      <c r="W13" s="22">
        <v>-0.3269668442094707</v>
      </c>
      <c r="X13" s="22">
        <v>-0.38527855222100971</v>
      </c>
      <c r="Y13" s="22">
        <v>-0.45294049326723318</v>
      </c>
      <c r="Z13" s="22">
        <v>-0.53187654123310968</v>
      </c>
      <c r="AA13" s="22">
        <v>-0.6242775925356111</v>
      </c>
      <c r="AB13" s="22">
        <v>-0.73262287505622481</v>
      </c>
      <c r="AC13" s="22">
        <v>-0.85974405379624286</v>
      </c>
      <c r="AD13" s="22">
        <v>-1.0089189934079492</v>
      </c>
      <c r="AE13" s="22">
        <v>-1.1839774067462703</v>
      </c>
      <c r="AF13" s="22">
        <v>-1.3894103577168515</v>
      </c>
      <c r="AG13" s="22">
        <v>-1.6304881589867042</v>
      </c>
      <c r="AH13" s="22">
        <v>-1.9133955797466313</v>
      </c>
      <c r="AI13" s="22">
        <v>-2.2453905140015307</v>
      </c>
      <c r="AJ13" s="22">
        <v>-2.6349901777210341</v>
      </c>
      <c r="AK13" s="22">
        <v>-3.0921896198491337</v>
      </c>
      <c r="AL13" s="22">
        <v>-3.6287181307167553</v>
      </c>
      <c r="AM13" s="22">
        <v>-4.2583401744840748</v>
      </c>
      <c r="AN13" s="22">
        <v>-4.9972084930332743</v>
      </c>
      <c r="AO13" s="22">
        <v>-5.8642784915335557</v>
      </c>
      <c r="AP13" s="22">
        <v>-6.8817945434407113</v>
      </c>
      <c r="AQ13" s="22">
        <v>-8.0758607214818188</v>
      </c>
      <c r="AR13" s="22">
        <v>-9.4771102968930787</v>
      </c>
      <c r="AS13" s="22">
        <v>-11.121491980387397</v>
      </c>
      <c r="AT13" s="22">
        <v>-13.051191757120893</v>
      </c>
      <c r="AU13" s="22">
        <v>-15.315715460268999</v>
      </c>
      <c r="AV13" s="22">
        <v>-17.97315920820057</v>
      </c>
      <c r="AW13" s="22">
        <v>-21.091697113861759</v>
      </c>
      <c r="AX13" s="22">
        <v>-24.751338028496871</v>
      </c>
      <c r="AY13" s="22">
        <v>-29.045961766199582</v>
      </c>
      <c r="AZ13" s="22">
        <v>-34.085751007967552</v>
      </c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</row>
    <row r="14" spans="2:102" x14ac:dyDescent="0.25">
      <c r="B14" s="6">
        <v>11</v>
      </c>
      <c r="M14" s="6">
        <v>0</v>
      </c>
      <c r="N14" s="22">
        <v>-3.745119755339877E-2</v>
      </c>
      <c r="O14" s="22">
        <v>-5.1224561311754624E-2</v>
      </c>
      <c r="P14" s="22">
        <v>-6.8657457219475151E-2</v>
      </c>
      <c r="Q14" s="22">
        <v>-9.0191945188861991E-2</v>
      </c>
      <c r="R14" s="22">
        <v>-0.11618261111741321</v>
      </c>
      <c r="S14" s="22">
        <v>-0.14689644209665742</v>
      </c>
      <c r="T14" s="22">
        <v>-0.18255196976115293</v>
      </c>
      <c r="U14" s="22">
        <v>-0.2234021515598261</v>
      </c>
      <c r="V14" s="22">
        <v>-0.26985165300485647</v>
      </c>
      <c r="W14" s="22">
        <v>-0.32258409265530852</v>
      </c>
      <c r="X14" s="22">
        <v>-0.3826658179768907</v>
      </c>
      <c r="Y14" s="22">
        <v>-0.45159736730965183</v>
      </c>
      <c r="Z14" s="22">
        <v>-0.53130425559541294</v>
      </c>
      <c r="AA14" s="22">
        <v>-0.62408786751502099</v>
      </c>
      <c r="AB14" s="22">
        <v>-0.73257931250061548</v>
      </c>
      <c r="AC14" s="22">
        <v>-0.85973885020948637</v>
      </c>
      <c r="AD14" s="22">
        <v>-1.0089189934079492</v>
      </c>
      <c r="AE14" s="22">
        <v>-1.1839774067281394</v>
      </c>
      <c r="AF14" s="22">
        <v>-1.3894103578256369</v>
      </c>
      <c r="AG14" s="22">
        <v>-1.630488159204275</v>
      </c>
      <c r="AH14" s="22">
        <v>-1.9133955797949804</v>
      </c>
      <c r="AI14" s="22">
        <v>-2.2453905131312473</v>
      </c>
      <c r="AJ14" s="22">
        <v>-2.6349901773342412</v>
      </c>
      <c r="AK14" s="22">
        <v>-3.0921896183019633</v>
      </c>
      <c r="AL14" s="22">
        <v>-3.6287181341978885</v>
      </c>
      <c r="AM14" s="22">
        <v>-4.2583401752576595</v>
      </c>
      <c r="AN14" s="22">
        <v>-4.9972084868445927</v>
      </c>
      <c r="AO14" s="22">
        <v>-5.8642784853448742</v>
      </c>
      <c r="AP14" s="22">
        <v>-6.8817945620067542</v>
      </c>
      <c r="AQ14" s="22">
        <v>-8.0758607338591801</v>
      </c>
      <c r="AR14" s="22">
        <v>-9.4771103464025277</v>
      </c>
      <c r="AS14" s="22">
        <v>-11.121492005142121</v>
      </c>
      <c r="AT14" s="22">
        <v>-13.051191658101997</v>
      </c>
      <c r="AU14" s="22">
        <v>-15.315715361250103</v>
      </c>
      <c r="AV14" s="22">
        <v>-17.973158614087204</v>
      </c>
      <c r="AW14" s="22">
        <v>-21.091696717786178</v>
      </c>
      <c r="AX14" s="22">
        <v>-24.751335652043394</v>
      </c>
      <c r="AY14" s="22">
        <v>-29.045961766199582</v>
      </c>
      <c r="AZ14" s="22">
        <v>-34.085752592269863</v>
      </c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</row>
    <row r="15" spans="2:102" x14ac:dyDescent="0.25">
      <c r="B15" s="6">
        <v>12</v>
      </c>
      <c r="N15" s="6">
        <v>0</v>
      </c>
      <c r="O15" s="22">
        <v>-3.9189597025025787E-2</v>
      </c>
      <c r="P15" s="22">
        <v>-5.4522084023409322E-2</v>
      </c>
      <c r="Q15" s="22">
        <v>-7.4275282508353691E-2</v>
      </c>
      <c r="R15" s="22">
        <v>-9.9075367060623573E-2</v>
      </c>
      <c r="S15" s="22">
        <v>-0.12943601217655182</v>
      </c>
      <c r="T15" s="22">
        <v>-0.1657325404344194</v>
      </c>
      <c r="U15" s="22">
        <v>-0.20822368559708007</v>
      </c>
      <c r="V15" s="22">
        <v>-0.25713575646224185</v>
      </c>
      <c r="W15" s="22">
        <v>-0.31280706457053797</v>
      </c>
      <c r="X15" s="22">
        <v>-0.37586704708525503</v>
      </c>
      <c r="Y15" s="22">
        <v>-0.44740405591573157</v>
      </c>
      <c r="Z15" s="22">
        <v>-0.52907128833818995</v>
      </c>
      <c r="AA15" s="22">
        <v>-0.62310102771495357</v>
      </c>
      <c r="AB15" s="22">
        <v>-0.73223950365997004</v>
      </c>
      <c r="AC15" s="22">
        <v>-0.85965768747532412</v>
      </c>
      <c r="AD15" s="22">
        <v>-1.008908891764295</v>
      </c>
      <c r="AE15" s="22">
        <v>-1.183977406719074</v>
      </c>
      <c r="AF15" s="22">
        <v>-1.3894103577833317</v>
      </c>
      <c r="AG15" s="22">
        <v>-1.6304881591438385</v>
      </c>
      <c r="AH15" s="22">
        <v>-1.9133955798191551</v>
      </c>
      <c r="AI15" s="22">
        <v>-2.2453905135180396</v>
      </c>
      <c r="AJ15" s="22">
        <v>-2.6349901771408453</v>
      </c>
      <c r="AK15" s="22">
        <v>-3.092189617721774</v>
      </c>
      <c r="AL15" s="22">
        <v>-3.6287181309101517</v>
      </c>
      <c r="AM15" s="22">
        <v>-4.2583401760312452</v>
      </c>
      <c r="AN15" s="22">
        <v>-4.9972084891653488</v>
      </c>
      <c r="AO15" s="22">
        <v>-5.8642784868920446</v>
      </c>
      <c r="AP15" s="22">
        <v>-6.8817945496293929</v>
      </c>
      <c r="AQ15" s="22">
        <v>-8.0758607183874762</v>
      </c>
      <c r="AR15" s="22">
        <v>-9.4771103464025277</v>
      </c>
      <c r="AS15" s="22">
        <v>-11.121492005142121</v>
      </c>
      <c r="AT15" s="22">
        <v>-13.051191806630341</v>
      </c>
      <c r="AU15" s="22">
        <v>-15.315715460268999</v>
      </c>
      <c r="AV15" s="22">
        <v>-17.973158614087204</v>
      </c>
      <c r="AW15" s="22">
        <v>-21.091697014842865</v>
      </c>
      <c r="AX15" s="22">
        <v>-24.751335652043394</v>
      </c>
      <c r="AY15" s="22">
        <v>-29.045961370124004</v>
      </c>
      <c r="AZ15" s="22">
        <v>-34.085752592269863</v>
      </c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</row>
    <row r="16" spans="2:102" x14ac:dyDescent="0.25">
      <c r="B16" s="6">
        <v>13</v>
      </c>
      <c r="O16" s="6">
        <v>0</v>
      </c>
      <c r="P16" s="22">
        <v>-4.0406912167144017E-2</v>
      </c>
      <c r="Q16" s="22">
        <v>-5.7248035990754141E-2</v>
      </c>
      <c r="R16" s="22">
        <v>-7.936907513736334E-2</v>
      </c>
      <c r="S16" s="22">
        <v>-0.10764953872374453</v>
      </c>
      <c r="T16" s="22">
        <v>-0.14284105841172406</v>
      </c>
      <c r="U16" s="22">
        <v>-0.18550296418460946</v>
      </c>
      <c r="V16" s="22">
        <v>-0.2359894683678615</v>
      </c>
      <c r="W16" s="22">
        <v>-0.29451855938042382</v>
      </c>
      <c r="X16" s="22">
        <v>-0.36133518525329839</v>
      </c>
      <c r="Y16" s="22">
        <v>-0.4369492053699392</v>
      </c>
      <c r="Z16" s="22">
        <v>-0.52239181118611366</v>
      </c>
      <c r="AA16" s="22">
        <v>-0.61941185039360847</v>
      </c>
      <c r="AB16" s="22">
        <v>-0.73054608997673887</v>
      </c>
      <c r="AC16" s="22">
        <v>-0.85905112362431058</v>
      </c>
      <c r="AD16" s="22">
        <v>-1.0087579410491971</v>
      </c>
      <c r="AE16" s="22">
        <v>-1.1839577965660648</v>
      </c>
      <c r="AF16" s="22">
        <v>-1.3894103577954189</v>
      </c>
      <c r="AG16" s="22">
        <v>-1.6304881591317513</v>
      </c>
      <c r="AH16" s="22">
        <v>-1.9133955797828932</v>
      </c>
      <c r="AI16" s="22">
        <v>-2.2453905133367309</v>
      </c>
      <c r="AJ16" s="22">
        <v>-2.6349901769957977</v>
      </c>
      <c r="AK16" s="22">
        <v>-3.092189617721774</v>
      </c>
      <c r="AL16" s="22">
        <v>-3.6287181319738311</v>
      </c>
      <c r="AM16" s="22">
        <v>-4.2583401752576595</v>
      </c>
      <c r="AN16" s="22">
        <v>-4.997208488391764</v>
      </c>
      <c r="AO16" s="22">
        <v>-5.8642784853448742</v>
      </c>
      <c r="AP16" s="22">
        <v>-6.8817945534973175</v>
      </c>
      <c r="AQ16" s="22">
        <v>-8.0758607199346475</v>
      </c>
      <c r="AR16" s="22">
        <v>-9.4771103494968667</v>
      </c>
      <c r="AS16" s="22">
        <v>-11.121492023708164</v>
      </c>
      <c r="AT16" s="22">
        <v>-13.051191769498255</v>
      </c>
      <c r="AU16" s="22">
        <v>-15.31571541075955</v>
      </c>
      <c r="AV16" s="22">
        <v>-17.973158589332478</v>
      </c>
      <c r="AW16" s="22">
        <v>-21.091696965333419</v>
      </c>
      <c r="AX16" s="22">
        <v>-24.751335652043394</v>
      </c>
      <c r="AY16" s="22">
        <v>-29.045961370124004</v>
      </c>
      <c r="AZ16" s="22">
        <v>-34.085751007967552</v>
      </c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</row>
    <row r="17" spans="2:102" x14ac:dyDescent="0.25">
      <c r="B17" s="6">
        <v>14</v>
      </c>
      <c r="P17" s="6">
        <v>0</v>
      </c>
      <c r="Q17" s="22">
        <v>-4.0986606651219136E-2</v>
      </c>
      <c r="R17" s="22">
        <v>-5.9207257106299253E-2</v>
      </c>
      <c r="S17" s="22">
        <v>-8.3647900071861486E-2</v>
      </c>
      <c r="T17" s="22">
        <v>-0.1155241546127765</v>
      </c>
      <c r="U17" s="22">
        <v>-0.15592920722163373</v>
      </c>
      <c r="V17" s="22">
        <v>-0.20571713112481174</v>
      </c>
      <c r="W17" s="22">
        <v>-0.26543293304521082</v>
      </c>
      <c r="X17" s="22">
        <v>-0.33533953238143693</v>
      </c>
      <c r="Y17" s="22">
        <v>-0.41557886619033829</v>
      </c>
      <c r="Z17" s="22">
        <v>-0.50646605699625435</v>
      </c>
      <c r="AA17" s="22">
        <v>-0.60885875232703368</v>
      </c>
      <c r="AB17" s="22">
        <v>-0.72449227552811335</v>
      </c>
      <c r="AC17" s="22">
        <v>-0.8561605757942049</v>
      </c>
      <c r="AD17" s="22">
        <v>-1.007679189459139</v>
      </c>
      <c r="AE17" s="22">
        <v>-1.1836775886895752</v>
      </c>
      <c r="AF17" s="22">
        <v>-1.3893722889602678</v>
      </c>
      <c r="AG17" s="22">
        <v>-1.6304881591377949</v>
      </c>
      <c r="AH17" s="22">
        <v>-1.9133955797647622</v>
      </c>
      <c r="AI17" s="22">
        <v>-2.245390513372993</v>
      </c>
      <c r="AJ17" s="22">
        <v>-2.6349901770683215</v>
      </c>
      <c r="AK17" s="22">
        <v>-3.0921896176734252</v>
      </c>
      <c r="AL17" s="22">
        <v>-3.6287181314903405</v>
      </c>
      <c r="AM17" s="22">
        <v>-4.2583401753543573</v>
      </c>
      <c r="AN17" s="22">
        <v>-4.9972084880049712</v>
      </c>
      <c r="AO17" s="22">
        <v>-5.8642784855382715</v>
      </c>
      <c r="AP17" s="22">
        <v>-6.8817945534973175</v>
      </c>
      <c r="AQ17" s="22">
        <v>-8.0758607199346475</v>
      </c>
      <c r="AR17" s="22">
        <v>-9.4771103464025277</v>
      </c>
      <c r="AS17" s="22">
        <v>-11.121492020613823</v>
      </c>
      <c r="AT17" s="22">
        <v>-13.051191794252977</v>
      </c>
      <c r="AU17" s="22">
        <v>-15.315715435514274</v>
      </c>
      <c r="AV17" s="22">
        <v>-17.973158527445669</v>
      </c>
      <c r="AW17" s="22">
        <v>-21.091696965333419</v>
      </c>
      <c r="AX17" s="22">
        <v>-24.751335652043394</v>
      </c>
      <c r="AY17" s="22">
        <v>-29.045961469142899</v>
      </c>
      <c r="AZ17" s="22">
        <v>-34.085751404043123</v>
      </c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</row>
    <row r="18" spans="2:102" x14ac:dyDescent="0.25">
      <c r="B18" s="6">
        <v>15</v>
      </c>
      <c r="Q18" s="6">
        <v>0</v>
      </c>
      <c r="R18" s="22">
        <v>-4.0830134355728583E-2</v>
      </c>
      <c r="S18" s="22">
        <v>-6.0211231200657314E-2</v>
      </c>
      <c r="T18" s="22">
        <v>-8.6802328313115823E-2</v>
      </c>
      <c r="U18" s="22">
        <v>-0.12224806620814486</v>
      </c>
      <c r="V18" s="22">
        <v>-0.16811184941164731</v>
      </c>
      <c r="W18" s="22">
        <v>-0.22569510335336426</v>
      </c>
      <c r="X18" s="22">
        <v>-0.2958838242743228</v>
      </c>
      <c r="Y18" s="22">
        <v>-0.37909555030136022</v>
      </c>
      <c r="Z18" s="22">
        <v>-0.47539965198122147</v>
      </c>
      <c r="AA18" s="22">
        <v>-0.58484675405338948</v>
      </c>
      <c r="AB18" s="22">
        <v>-0.70796645472285846</v>
      </c>
      <c r="AC18" s="22">
        <v>-0.84629956102830617</v>
      </c>
      <c r="AD18" s="22">
        <v>-1.0027735964312192</v>
      </c>
      <c r="AE18" s="22">
        <v>-1.1817667543430304</v>
      </c>
      <c r="AF18" s="22">
        <v>-1.3888532331333954</v>
      </c>
      <c r="AG18" s="22">
        <v>-1.6304142568142066</v>
      </c>
      <c r="AH18" s="22">
        <v>-1.913395579769295</v>
      </c>
      <c r="AI18" s="22">
        <v>-2.2453905133609058</v>
      </c>
      <c r="AJ18" s="22">
        <v>-2.6349901770683215</v>
      </c>
      <c r="AK18" s="22">
        <v>-3.0921896177580366</v>
      </c>
      <c r="AL18" s="22">
        <v>-3.6287181315870387</v>
      </c>
      <c r="AM18" s="22">
        <v>-4.2583401751126129</v>
      </c>
      <c r="AN18" s="22">
        <v>-4.9972084879566223</v>
      </c>
      <c r="AO18" s="22">
        <v>-5.8642784852481764</v>
      </c>
      <c r="AP18" s="22">
        <v>-6.8817945531105256</v>
      </c>
      <c r="AQ18" s="22">
        <v>-8.0758607210950242</v>
      </c>
      <c r="AR18" s="22">
        <v>-9.4771103487232846</v>
      </c>
      <c r="AS18" s="22">
        <v>-11.121492019066652</v>
      </c>
      <c r="AT18" s="22">
        <v>-13.051191786517126</v>
      </c>
      <c r="AU18" s="22">
        <v>-15.315715450985975</v>
      </c>
      <c r="AV18" s="22">
        <v>-17.973158583143796</v>
      </c>
      <c r="AW18" s="22">
        <v>-21.091696965333419</v>
      </c>
      <c r="AX18" s="22">
        <v>-24.751335676798117</v>
      </c>
      <c r="AY18" s="22">
        <v>-29.045961469142899</v>
      </c>
      <c r="AZ18" s="22">
        <v>-34.085751602080911</v>
      </c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</row>
    <row r="19" spans="2:102" x14ac:dyDescent="0.25">
      <c r="B19" s="6">
        <v>16</v>
      </c>
      <c r="R19" s="6">
        <v>0</v>
      </c>
      <c r="S19" s="22">
        <v>-3.986952641395515E-2</v>
      </c>
      <c r="T19" s="22">
        <v>-6.0096439555697469E-2</v>
      </c>
      <c r="U19" s="22">
        <v>-8.8526835438629603E-2</v>
      </c>
      <c r="V19" s="22">
        <v>-0.12733056538032778</v>
      </c>
      <c r="W19" s="22">
        <v>-0.17869117887388086</v>
      </c>
      <c r="X19" s="22">
        <v>-0.24455544520333328</v>
      </c>
      <c r="Y19" s="22">
        <v>-0.32637015782883189</v>
      </c>
      <c r="Z19" s="22">
        <v>-0.42490049009382713</v>
      </c>
      <c r="AA19" s="22">
        <v>-0.54024798847610622</v>
      </c>
      <c r="AB19" s="22">
        <v>-0.67216443964895822</v>
      </c>
      <c r="AC19" s="22">
        <v>-0.82066986819686805</v>
      </c>
      <c r="AD19" s="22">
        <v>-0.98684007911245719</v>
      </c>
      <c r="AE19" s="22">
        <v>-1.1734937821233031</v>
      </c>
      <c r="AF19" s="22">
        <v>-1.3854833583408033</v>
      </c>
      <c r="AG19" s="22">
        <v>-1.6294549739430044</v>
      </c>
      <c r="AH19" s="22">
        <v>-1.9132521145523544</v>
      </c>
      <c r="AI19" s="22">
        <v>-2.2453905133654382</v>
      </c>
      <c r="AJ19" s="22">
        <v>-2.6349901770562343</v>
      </c>
      <c r="AK19" s="22">
        <v>-3.0921896177368833</v>
      </c>
      <c r="AL19" s="22">
        <v>-3.6287181315689074</v>
      </c>
      <c r="AM19" s="22">
        <v>-4.2583401751488736</v>
      </c>
      <c r="AN19" s="22">
        <v>-4.9972084879082734</v>
      </c>
      <c r="AO19" s="22">
        <v>-5.8642784851998275</v>
      </c>
      <c r="AP19" s="22">
        <v>-6.8817945528204305</v>
      </c>
      <c r="AQ19" s="22">
        <v>-8.0758607196445542</v>
      </c>
      <c r="AR19" s="22">
        <v>-9.4771103477563017</v>
      </c>
      <c r="AS19" s="22">
        <v>-11.121492019066652</v>
      </c>
      <c r="AT19" s="22">
        <v>-13.051191786517126</v>
      </c>
      <c r="AU19" s="22">
        <v>-15.315715438608613</v>
      </c>
      <c r="AV19" s="22">
        <v>-17.973158567672094</v>
      </c>
      <c r="AW19" s="22">
        <v>-21.091696965333419</v>
      </c>
      <c r="AX19" s="22">
        <v>-24.751335670609439</v>
      </c>
      <c r="AY19" s="22">
        <v>-29.045961481520262</v>
      </c>
      <c r="AZ19" s="22">
        <v>-34.085751552571466</v>
      </c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</row>
    <row r="20" spans="2:102" x14ac:dyDescent="0.25">
      <c r="B20" s="6">
        <v>17</v>
      </c>
      <c r="S20" s="6">
        <v>0</v>
      </c>
      <c r="T20" s="22">
        <v>-3.8079818412749059E-2</v>
      </c>
      <c r="U20" s="22">
        <v>-5.8745335973179186E-2</v>
      </c>
      <c r="V20" s="22">
        <v>-8.8549358826076063E-2</v>
      </c>
      <c r="W20" s="22">
        <v>-0.13027558985503213</v>
      </c>
      <c r="X20" s="22">
        <v>-0.18688923767055293</v>
      </c>
      <c r="Y20" s="22">
        <v>-0.26122296353937635</v>
      </c>
      <c r="Z20" s="22">
        <v>-0.35558478554665279</v>
      </c>
      <c r="AA20" s="22">
        <v>-0.47139368376112972</v>
      </c>
      <c r="AB20" s="22">
        <v>-0.60900918233576506</v>
      </c>
      <c r="AC20" s="22">
        <v>-0.76793632819046587</v>
      </c>
      <c r="AD20" s="22">
        <v>-0.94751014809250977</v>
      </c>
      <c r="AE20" s="22">
        <v>-1.1479749386041653</v>
      </c>
      <c r="AF20" s="22">
        <v>-1.3716279335286456</v>
      </c>
      <c r="AG20" s="22">
        <v>-1.6235407097458767</v>
      </c>
      <c r="AH20" s="22">
        <v>-1.9114837385975678</v>
      </c>
      <c r="AI20" s="22">
        <v>-2.2451120069795887</v>
      </c>
      <c r="AJ20" s="22">
        <v>-2.6349901770547235</v>
      </c>
      <c r="AK20" s="22">
        <v>-3.0921896177293289</v>
      </c>
      <c r="AL20" s="22">
        <v>-3.6287181315840167</v>
      </c>
      <c r="AM20" s="22">
        <v>-4.2583401751851362</v>
      </c>
      <c r="AN20" s="22">
        <v>-4.9972084879566223</v>
      </c>
      <c r="AO20" s="22">
        <v>-5.8642784851998275</v>
      </c>
      <c r="AP20" s="22">
        <v>-6.8817945528687803</v>
      </c>
      <c r="AQ20" s="22">
        <v>-8.075860719741252</v>
      </c>
      <c r="AR20" s="22">
        <v>-9.4771103471761133</v>
      </c>
      <c r="AS20" s="22">
        <v>-11.121492018293068</v>
      </c>
      <c r="AT20" s="22">
        <v>-13.051191784969957</v>
      </c>
      <c r="AU20" s="22">
        <v>-15.315715440155785</v>
      </c>
      <c r="AV20" s="22">
        <v>-17.973158564577751</v>
      </c>
      <c r="AW20" s="22">
        <v>-21.091696965333419</v>
      </c>
      <c r="AX20" s="22">
        <v>-24.751335676798117</v>
      </c>
      <c r="AY20" s="22">
        <v>-29.045961487708944</v>
      </c>
      <c r="AZ20" s="22">
        <v>-34.085751564948829</v>
      </c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</row>
    <row r="21" spans="2:102" x14ac:dyDescent="0.25">
      <c r="B21" s="6">
        <v>18</v>
      </c>
      <c r="T21" s="6">
        <v>0</v>
      </c>
      <c r="U21" s="22">
        <v>-3.5489452123761214E-2</v>
      </c>
      <c r="V21" s="22">
        <v>-5.610772744435634E-2</v>
      </c>
      <c r="W21" s="22">
        <v>-8.6666297586480978E-2</v>
      </c>
      <c r="X21" s="22">
        <v>-0.13062912287727405</v>
      </c>
      <c r="Y21" s="22">
        <v>-0.19189923662338637</v>
      </c>
      <c r="Z21" s="22">
        <v>-0.27446560878103038</v>
      </c>
      <c r="AA21" s="22">
        <v>-0.38188038322358664</v>
      </c>
      <c r="AB21" s="22">
        <v>-0.51666298083588746</v>
      </c>
      <c r="AC21" s="22">
        <v>-0.6798351628481466</v>
      </c>
      <c r="AD21" s="22">
        <v>-0.87087114539706356</v>
      </c>
      <c r="AE21" s="22">
        <v>-1.0883201968626897</v>
      </c>
      <c r="AF21" s="22">
        <v>-1.3311535979515676</v>
      </c>
      <c r="AG21" s="22">
        <v>-1.6005128417569581</v>
      </c>
      <c r="AH21" s="22">
        <v>-1.90115944800005</v>
      </c>
      <c r="AI21" s="22">
        <v>-2.2418613043113167</v>
      </c>
      <c r="AJ21" s="22">
        <v>-2.6344495177208875</v>
      </c>
      <c r="AK21" s="22">
        <v>-3.0921896177308401</v>
      </c>
      <c r="AL21" s="22">
        <v>-3.6287181315749515</v>
      </c>
      <c r="AM21" s="22">
        <v>-4.2583401751670058</v>
      </c>
      <c r="AN21" s="22">
        <v>-4.9972084879505783</v>
      </c>
      <c r="AO21" s="22">
        <v>-5.8642784852119156</v>
      </c>
      <c r="AP21" s="22">
        <v>-6.8817945529413036</v>
      </c>
      <c r="AQ21" s="22">
        <v>-8.0758607198137735</v>
      </c>
      <c r="AR21" s="22">
        <v>-9.4771103472244622</v>
      </c>
      <c r="AS21" s="22">
        <v>-11.121492018002973</v>
      </c>
      <c r="AT21" s="22">
        <v>-13.051191784969957</v>
      </c>
      <c r="AU21" s="22">
        <v>-15.315715438995408</v>
      </c>
      <c r="AV21" s="22">
        <v>-17.973158565351341</v>
      </c>
      <c r="AW21" s="22">
        <v>-21.091696962239077</v>
      </c>
      <c r="AX21" s="22">
        <v>-24.751335673703778</v>
      </c>
      <c r="AY21" s="22">
        <v>-29.045961490803283</v>
      </c>
      <c r="AZ21" s="22">
        <v>-34.085751571137514</v>
      </c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</row>
    <row r="22" spans="2:102" x14ac:dyDescent="0.25">
      <c r="B22" s="6">
        <v>19</v>
      </c>
      <c r="U22" s="6">
        <v>0</v>
      </c>
      <c r="V22" s="22">
        <v>-3.2186479866871252E-2</v>
      </c>
      <c r="W22" s="22">
        <v>-5.221938130682742E-2</v>
      </c>
      <c r="X22" s="22">
        <v>-8.2779446009931729E-2</v>
      </c>
      <c r="Y22" s="22">
        <v>-0.12803763275728272</v>
      </c>
      <c r="Z22" s="22">
        <v>-0.1929610404967656</v>
      </c>
      <c r="AA22" s="22">
        <v>-0.28296938935785887</v>
      </c>
      <c r="AB22" s="22">
        <v>-0.40331005715860058</v>
      </c>
      <c r="AC22" s="22">
        <v>-0.55820546100473245</v>
      </c>
      <c r="AD22" s="22">
        <v>-0.74998312187922511</v>
      </c>
      <c r="AE22" s="22">
        <v>-0.97857148796811111</v>
      </c>
      <c r="AF22" s="22">
        <v>-1.2418273213346005</v>
      </c>
      <c r="AG22" s="22">
        <v>-1.5370067649991388</v>
      </c>
      <c r="AH22" s="22">
        <v>-1.8632105490694333</v>
      </c>
      <c r="AI22" s="22">
        <v>-2.2239457243010552</v>
      </c>
      <c r="AJ22" s="22">
        <v>-2.6284927152777544</v>
      </c>
      <c r="AK22" s="22">
        <v>-3.0911400456916223</v>
      </c>
      <c r="AL22" s="22">
        <v>-3.6287181315764623</v>
      </c>
      <c r="AM22" s="22">
        <v>-4.2583401751700274</v>
      </c>
      <c r="AN22" s="22">
        <v>-4.9972084879400027</v>
      </c>
      <c r="AO22" s="22">
        <v>-5.8642784852149363</v>
      </c>
      <c r="AP22" s="22">
        <v>-6.8817945529171292</v>
      </c>
      <c r="AQ22" s="22">
        <v>-8.0758607197775127</v>
      </c>
      <c r="AR22" s="22">
        <v>-9.4771103472969855</v>
      </c>
      <c r="AS22" s="22">
        <v>-11.12149201814802</v>
      </c>
      <c r="AT22" s="22">
        <v>-13.051191784873257</v>
      </c>
      <c r="AU22" s="22">
        <v>-15.315715438995408</v>
      </c>
      <c r="AV22" s="22">
        <v>-17.973158564384356</v>
      </c>
      <c r="AW22" s="22">
        <v>-21.091696961465491</v>
      </c>
      <c r="AX22" s="22">
        <v>-24.75133567215661</v>
      </c>
      <c r="AY22" s="22">
        <v>-29.045961481520262</v>
      </c>
      <c r="AZ22" s="22">
        <v>-34.085751558760151</v>
      </c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</row>
    <row r="23" spans="2:102" x14ac:dyDescent="0.25">
      <c r="B23" s="6">
        <v>20</v>
      </c>
      <c r="V23" s="6">
        <v>0</v>
      </c>
      <c r="W23" s="22">
        <v>-2.8318435174312463E-2</v>
      </c>
      <c r="X23" s="22">
        <v>-4.7213983229306956E-2</v>
      </c>
      <c r="Y23" s="22">
        <v>-7.6929457648904173E-2</v>
      </c>
      <c r="Z23" s="22">
        <v>-0.12231213422454558</v>
      </c>
      <c r="AA23" s="22">
        <v>-0.18945869313379057</v>
      </c>
      <c r="AB23" s="22">
        <v>-0.28545723488915564</v>
      </c>
      <c r="AC23" s="22">
        <v>-0.41773187670335493</v>
      </c>
      <c r="AD23" s="22">
        <v>-0.59295673623426703</v>
      </c>
      <c r="AE23" s="22">
        <v>-0.81569700008442014</v>
      </c>
      <c r="AF23" s="22">
        <v>-1.0872159817912546</v>
      </c>
      <c r="AG23" s="22">
        <v>-1.4051482243236266</v>
      </c>
      <c r="AH23" s="22">
        <v>-1.7647554768139526</v>
      </c>
      <c r="AI23" s="22">
        <v>-2.1619975113454788</v>
      </c>
      <c r="AJ23" s="22">
        <v>-2.5976107732424114</v>
      </c>
      <c r="AK23" s="22">
        <v>-3.0802628981314668</v>
      </c>
      <c r="AL23" s="22">
        <v>-3.6266806166442755</v>
      </c>
      <c r="AM23" s="22">
        <v>-4.2583401751700274</v>
      </c>
      <c r="AN23" s="22">
        <v>-4.9972084879437793</v>
      </c>
      <c r="AO23" s="22">
        <v>-5.8642784852134255</v>
      </c>
      <c r="AP23" s="22">
        <v>-6.8817945529261939</v>
      </c>
      <c r="AQ23" s="22">
        <v>-8.0758607197896009</v>
      </c>
      <c r="AR23" s="22">
        <v>-9.4771103472848992</v>
      </c>
      <c r="AS23" s="22">
        <v>-11.121492018123847</v>
      </c>
      <c r="AT23" s="22">
        <v>-13.051191784945782</v>
      </c>
      <c r="AU23" s="22">
        <v>-15.315715438995408</v>
      </c>
      <c r="AV23" s="22">
        <v>-17.973158564674453</v>
      </c>
      <c r="AW23" s="22">
        <v>-21.09169696165889</v>
      </c>
      <c r="AX23" s="22">
        <v>-24.75133567215661</v>
      </c>
      <c r="AY23" s="22">
        <v>-29.045961483067433</v>
      </c>
      <c r="AZ23" s="22">
        <v>-34.08575155721298</v>
      </c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</row>
    <row r="24" spans="2:102" x14ac:dyDescent="0.25">
      <c r="B24" s="6">
        <v>21</v>
      </c>
      <c r="W24" s="6">
        <v>0</v>
      </c>
      <c r="X24" s="22">
        <v>-2.4084258188719364E-2</v>
      </c>
      <c r="Y24" s="22">
        <v>-4.1324457114859492E-2</v>
      </c>
      <c r="Z24" s="22">
        <v>-6.9318896317982923E-2</v>
      </c>
      <c r="AA24" s="22">
        <v>-0.11348874363143703</v>
      </c>
      <c r="AB24" s="22">
        <v>-0.18103197484719463</v>
      </c>
      <c r="AC24" s="22">
        <v>-0.28085135255766469</v>
      </c>
      <c r="AD24" s="22">
        <v>-0.42299263043358792</v>
      </c>
      <c r="AE24" s="22">
        <v>-0.61742537222579086</v>
      </c>
      <c r="AF24" s="22">
        <v>-0.87218536660604407</v>
      </c>
      <c r="AG24" s="22">
        <v>-1.1912726637950741</v>
      </c>
      <c r="AH24" s="22">
        <v>-1.5731952512926046</v>
      </c>
      <c r="AI24" s="22">
        <v>-2.0113981732110262</v>
      </c>
      <c r="AJ24" s="22">
        <v>-2.4975563891185337</v>
      </c>
      <c r="AK24" s="22">
        <v>-3.0274287367285253</v>
      </c>
      <c r="AL24" s="22">
        <v>-3.6068980561639763</v>
      </c>
      <c r="AM24" s="22">
        <v>-4.2543847848423386</v>
      </c>
      <c r="AN24" s="22">
        <v>-4.9972084879430234</v>
      </c>
      <c r="AO24" s="22">
        <v>-5.8642784852134255</v>
      </c>
      <c r="AP24" s="22">
        <v>-6.8817945529201516</v>
      </c>
      <c r="AQ24" s="22">
        <v>-8.0758607197865793</v>
      </c>
      <c r="AR24" s="22">
        <v>-9.477110347287919</v>
      </c>
      <c r="AS24" s="22">
        <v>-11.12149201812989</v>
      </c>
      <c r="AT24" s="22">
        <v>-13.05119178490952</v>
      </c>
      <c r="AU24" s="22">
        <v>-15.315715439019581</v>
      </c>
      <c r="AV24" s="22">
        <v>-17.97315856477115</v>
      </c>
      <c r="AW24" s="22">
        <v>-21.091696961803933</v>
      </c>
      <c r="AX24" s="22">
        <v>-24.751335672350006</v>
      </c>
      <c r="AY24" s="22">
        <v>-29.045961482874038</v>
      </c>
      <c r="AZ24" s="22">
        <v>-34.085751558760151</v>
      </c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</row>
    <row r="25" spans="2:102" x14ac:dyDescent="0.25">
      <c r="B25" s="6">
        <v>22</v>
      </c>
      <c r="X25" s="6">
        <v>0</v>
      </c>
      <c r="Y25" s="22">
        <v>-1.9717757038476592E-2</v>
      </c>
      <c r="Z25" s="22">
        <v>-3.4870446263073882E-2</v>
      </c>
      <c r="AA25" s="22">
        <v>-6.0317366268301267E-2</v>
      </c>
      <c r="AB25" s="22">
        <v>-0.10187324711341125</v>
      </c>
      <c r="AC25" s="22">
        <v>-0.16768674489933807</v>
      </c>
      <c r="AD25" s="22">
        <v>-0.26846818388122912</v>
      </c>
      <c r="AE25" s="22">
        <v>-0.41719660324715857</v>
      </c>
      <c r="AF25" s="22">
        <v>-0.62796831054941149</v>
      </c>
      <c r="AG25" s="22">
        <v>-0.91376599757214494</v>
      </c>
      <c r="AH25" s="22">
        <v>-1.2833310391738235</v>
      </c>
      <c r="AI25" s="22">
        <v>-1.7380556059281329</v>
      </c>
      <c r="AJ25" s="22">
        <v>-2.2706613491139378</v>
      </c>
      <c r="AK25" s="22">
        <v>-2.8677618056486001</v>
      </c>
      <c r="AL25" s="22">
        <v>-3.5172748304804706</v>
      </c>
      <c r="AM25" s="22">
        <v>-4.2185690818367654</v>
      </c>
      <c r="AN25" s="22">
        <v>-4.9895299613229707</v>
      </c>
      <c r="AO25" s="22">
        <v>-5.8642784852139922</v>
      </c>
      <c r="AP25" s="22">
        <v>-6.881794552922039</v>
      </c>
      <c r="AQ25" s="22">
        <v>-8.0758607197835559</v>
      </c>
      <c r="AR25" s="22">
        <v>-9.4771103472848992</v>
      </c>
      <c r="AS25" s="22">
        <v>-11.121492018126869</v>
      </c>
      <c r="AT25" s="22">
        <v>-13.051191784927651</v>
      </c>
      <c r="AU25" s="22">
        <v>-15.315715439007494</v>
      </c>
      <c r="AV25" s="22">
        <v>-17.973158564698625</v>
      </c>
      <c r="AW25" s="22">
        <v>-21.091696961707235</v>
      </c>
      <c r="AX25" s="22">
        <v>-24.751335672253308</v>
      </c>
      <c r="AY25" s="22">
        <v>-29.045961483067433</v>
      </c>
      <c r="AZ25" s="22">
        <v>-34.085751558566749</v>
      </c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</row>
    <row r="26" spans="2:102" x14ac:dyDescent="0.25">
      <c r="B26" s="6">
        <v>23</v>
      </c>
      <c r="Y26" s="6">
        <v>0</v>
      </c>
      <c r="Z26" s="22">
        <v>-1.5463692172656493E-2</v>
      </c>
      <c r="AA26" s="22">
        <v>-2.8230654357819032E-2</v>
      </c>
      <c r="AB26" s="22">
        <v>-5.0442312533522778E-2</v>
      </c>
      <c r="AC26" s="22">
        <v>-8.8055428252085122E-2</v>
      </c>
      <c r="AD26" s="22">
        <v>-0.14988159665195577</v>
      </c>
      <c r="AE26" s="22">
        <v>-0.24822102300423934</v>
      </c>
      <c r="AF26" s="22">
        <v>-0.39904715317772926</v>
      </c>
      <c r="AG26" s="22">
        <v>-0.62123094993541661</v>
      </c>
      <c r="AH26" s="22">
        <v>-0.93425642042551804</v>
      </c>
      <c r="AI26" s="22">
        <v>-1.354182206048099</v>
      </c>
      <c r="AJ26" s="22">
        <v>-1.8884727695748271</v>
      </c>
      <c r="AK26" s="22">
        <v>-2.5317568943542708</v>
      </c>
      <c r="AL26" s="22">
        <v>-3.2659524419764403</v>
      </c>
      <c r="AM26" s="22">
        <v>-4.0680176221290116</v>
      </c>
      <c r="AN26" s="22">
        <v>-4.92502527909223</v>
      </c>
      <c r="AO26" s="22">
        <v>-5.8493723024668336</v>
      </c>
      <c r="AP26" s="22">
        <v>-6.881794552922039</v>
      </c>
      <c r="AQ26" s="22">
        <v>-8.0758607197865793</v>
      </c>
      <c r="AR26" s="22">
        <v>-9.4771103472841443</v>
      </c>
      <c r="AS26" s="22">
        <v>-11.121492018126869</v>
      </c>
      <c r="AT26" s="22">
        <v>-13.051191784917075</v>
      </c>
      <c r="AU26" s="22">
        <v>-15.31571543899843</v>
      </c>
      <c r="AV26" s="22">
        <v>-17.973158564674453</v>
      </c>
      <c r="AW26" s="22">
        <v>-21.091696961707235</v>
      </c>
      <c r="AX26" s="22">
        <v>-24.751335672253308</v>
      </c>
      <c r="AY26" s="22">
        <v>-29.045961482970736</v>
      </c>
      <c r="AZ26" s="22">
        <v>-34.085751558760151</v>
      </c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</row>
    <row r="27" spans="2:102" x14ac:dyDescent="0.25">
      <c r="B27" s="6">
        <v>24</v>
      </c>
      <c r="Z27" s="6">
        <v>0</v>
      </c>
      <c r="AA27" s="22">
        <v>-1.154944525849306E-2</v>
      </c>
      <c r="AB27" s="22">
        <v>-2.1801712929205356E-2</v>
      </c>
      <c r="AC27" s="22">
        <v>-4.0312375104791735E-2</v>
      </c>
      <c r="AD27" s="22">
        <v>-7.2880187878180805E-2</v>
      </c>
      <c r="AE27" s="22">
        <v>-0.128563516378947</v>
      </c>
      <c r="AF27" s="22">
        <v>-0.22078987886337043</v>
      </c>
      <c r="AG27" s="22">
        <v>-0.36822188452631088</v>
      </c>
      <c r="AH27" s="22">
        <v>-0.59474595395149477</v>
      </c>
      <c r="AI27" s="22">
        <v>-0.92767964881268927</v>
      </c>
      <c r="AJ27" s="22">
        <v>-1.39331368189893</v>
      </c>
      <c r="AK27" s="22">
        <v>-2.0096528020973881</v>
      </c>
      <c r="AL27" s="22">
        <v>-2.7781002239379688</v>
      </c>
      <c r="AM27" s="22">
        <v>-3.6786285405898242</v>
      </c>
      <c r="AN27" s="22">
        <v>-4.6749647533194238</v>
      </c>
      <c r="AO27" s="22">
        <v>-5.7339029335190368</v>
      </c>
      <c r="AP27" s="22">
        <v>-6.8528574540377987</v>
      </c>
      <c r="AQ27" s="22">
        <v>-8.075860719786391</v>
      </c>
      <c r="AR27" s="22">
        <v>-9.4771103472850875</v>
      </c>
      <c r="AS27" s="22">
        <v>-11.121492018127624</v>
      </c>
      <c r="AT27" s="22">
        <v>-13.051191784921606</v>
      </c>
      <c r="AU27" s="22">
        <v>-15.315715439002963</v>
      </c>
      <c r="AV27" s="22">
        <v>-17.973158564686539</v>
      </c>
      <c r="AW27" s="22">
        <v>-21.091696961719325</v>
      </c>
      <c r="AX27" s="22">
        <v>-24.751335672241218</v>
      </c>
      <c r="AY27" s="22">
        <v>-29.045961482958646</v>
      </c>
      <c r="AZ27" s="22">
        <v>-34.085751558663453</v>
      </c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</row>
    <row r="28" spans="2:102" x14ac:dyDescent="0.25">
      <c r="B28" s="6">
        <v>25</v>
      </c>
      <c r="AA28" s="6">
        <v>0</v>
      </c>
      <c r="AB28" s="22">
        <v>-8.1569315401403917E-3</v>
      </c>
      <c r="AC28" s="22">
        <v>-1.5948849594668069E-2</v>
      </c>
      <c r="AD28" s="22">
        <v>-3.0575731147455543E-2</v>
      </c>
      <c r="AE28" s="22">
        <v>-5.7368149658027376E-2</v>
      </c>
      <c r="AF28" s="22">
        <v>-0.10512597455753105</v>
      </c>
      <c r="AG28" s="22">
        <v>-0.18770576806024833</v>
      </c>
      <c r="AH28" s="22">
        <v>-0.32570919399656401</v>
      </c>
      <c r="AI28" s="22">
        <v>-0.54763397753055376</v>
      </c>
      <c r="AJ28" s="22">
        <v>-0.88931047203139824</v>
      </c>
      <c r="AK28" s="22">
        <v>-1.3899967289115027</v>
      </c>
      <c r="AL28" s="22">
        <v>-2.0837269819735829</v>
      </c>
      <c r="AM28" s="22">
        <v>-2.9863282186070323</v>
      </c>
      <c r="AN28" s="22">
        <v>-4.0826532506677911</v>
      </c>
      <c r="AO28" s="22">
        <v>-5.3240109867471279</v>
      </c>
      <c r="AP28" s="22">
        <v>-6.6476310166989334</v>
      </c>
      <c r="AQ28" s="22">
        <v>-8.0196856610179381</v>
      </c>
      <c r="AR28" s="22">
        <v>-9.4771103472849916</v>
      </c>
      <c r="AS28" s="22">
        <v>-11.12149201812819</v>
      </c>
      <c r="AT28" s="22">
        <v>-13.051191784922363</v>
      </c>
      <c r="AU28" s="22">
        <v>-15.315715439004473</v>
      </c>
      <c r="AV28" s="22">
        <v>-17.973158564688049</v>
      </c>
      <c r="AW28" s="22">
        <v>-21.091696961722345</v>
      </c>
      <c r="AX28" s="22">
        <v>-24.751335672244242</v>
      </c>
      <c r="AY28" s="22">
        <v>-29.045961482946559</v>
      </c>
      <c r="AZ28" s="22">
        <v>-34.085751558639281</v>
      </c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</row>
    <row r="29" spans="2:102" x14ac:dyDescent="0.25">
      <c r="B29" s="6">
        <v>26</v>
      </c>
      <c r="AB29" s="6">
        <v>0</v>
      </c>
      <c r="AC29" s="22">
        <v>-5.4003491735635459E-3</v>
      </c>
      <c r="AD29" s="22">
        <v>-1.095700340408101E-2</v>
      </c>
      <c r="AE29" s="22">
        <v>-2.1822930943770361E-2</v>
      </c>
      <c r="AF29" s="22">
        <v>-4.258895199486562E-2</v>
      </c>
      <c r="AG29" s="22">
        <v>-8.1272420557257766E-2</v>
      </c>
      <c r="AH29" s="22">
        <v>-0.15129416539103935</v>
      </c>
      <c r="AI29" s="22">
        <v>-0.27400315043224277</v>
      </c>
      <c r="AJ29" s="22">
        <v>-0.48127943850011723</v>
      </c>
      <c r="AK29" s="22">
        <v>-0.81699521373146489</v>
      </c>
      <c r="AL29" s="22">
        <v>-1.3350944759153938</v>
      </c>
      <c r="AM29" s="22">
        <v>-2.0912924344720656</v>
      </c>
      <c r="AN29" s="22">
        <v>-3.1262237938130397</v>
      </c>
      <c r="AO29" s="22">
        <v>-4.4423397954197643</v>
      </c>
      <c r="AP29" s="22">
        <v>-5.9861849269005489</v>
      </c>
      <c r="AQ29" s="22">
        <v>-7.6580359397773892</v>
      </c>
      <c r="AR29" s="22">
        <v>-9.3680587370923831</v>
      </c>
      <c r="AS29" s="22">
        <v>-11.121492018127812</v>
      </c>
      <c r="AT29" s="22">
        <v>-13.051191784921606</v>
      </c>
      <c r="AU29" s="22">
        <v>-15.315715439005228</v>
      </c>
      <c r="AV29" s="22">
        <v>-17.973158564689559</v>
      </c>
      <c r="AW29" s="22">
        <v>-21.091696961721588</v>
      </c>
      <c r="AX29" s="22">
        <v>-24.751335672245752</v>
      </c>
      <c r="AY29" s="22">
        <v>-29.045961482946559</v>
      </c>
      <c r="AZ29" s="22">
        <v>-34.085751558651367</v>
      </c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</row>
    <row r="30" spans="2:102" x14ac:dyDescent="0.25">
      <c r="B30" s="6">
        <v>27</v>
      </c>
      <c r="AC30" s="6">
        <v>0</v>
      </c>
      <c r="AD30" s="22">
        <v>-3.3149672577267469E-3</v>
      </c>
      <c r="AE30" s="22">
        <v>-6.9929531364204805E-3</v>
      </c>
      <c r="AF30" s="22">
        <v>-1.4500586820755638E-2</v>
      </c>
      <c r="AG30" s="22">
        <v>-2.9504580672016018E-2</v>
      </c>
      <c r="AH30" s="22">
        <v>-5.8788284938819969E-2</v>
      </c>
      <c r="AI30" s="22">
        <v>-0.11443772511680481</v>
      </c>
      <c r="AJ30" s="22">
        <v>-0.21703968701248458</v>
      </c>
      <c r="AK30" s="22">
        <v>-0.39977892687395006</v>
      </c>
      <c r="AL30" s="22">
        <v>-0.71253078949591619</v>
      </c>
      <c r="AM30" s="22">
        <v>-1.2235640346417453</v>
      </c>
      <c r="AN30" s="22">
        <v>-2.0144522756790568</v>
      </c>
      <c r="AO30" s="22">
        <v>-3.1624751907985487</v>
      </c>
      <c r="AP30" s="22">
        <v>-4.7073646574303041</v>
      </c>
      <c r="AQ30" s="22">
        <v>-6.6105925150305449</v>
      </c>
      <c r="AR30" s="22">
        <v>-8.7373419083041721</v>
      </c>
      <c r="AS30" s="22">
        <v>-10.909792129488091</v>
      </c>
      <c r="AT30" s="22">
        <v>-13.05119178492156</v>
      </c>
      <c r="AU30" s="22">
        <v>-15.315715439004379</v>
      </c>
      <c r="AV30" s="22">
        <v>-17.973158564688806</v>
      </c>
      <c r="AW30" s="22">
        <v>-21.091696961722345</v>
      </c>
      <c r="AX30" s="22">
        <v>-24.751335672247265</v>
      </c>
      <c r="AY30" s="22">
        <v>-29.045961482948069</v>
      </c>
      <c r="AZ30" s="22">
        <v>-34.085751558651367</v>
      </c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</row>
    <row r="31" spans="2:102" x14ac:dyDescent="0.25">
      <c r="B31" s="6">
        <v>28</v>
      </c>
      <c r="AD31" s="6">
        <v>0</v>
      </c>
      <c r="AE31" s="22">
        <v>-1.8601378486527414E-3</v>
      </c>
      <c r="AF31" s="22">
        <v>-4.0882667706073289E-3</v>
      </c>
      <c r="AG31" s="22">
        <v>-8.8463188398067924E-3</v>
      </c>
      <c r="AH31" s="22">
        <v>-1.8814401134472098E-2</v>
      </c>
      <c r="AI31" s="22">
        <v>-3.9253611570808568E-2</v>
      </c>
      <c r="AJ31" s="22">
        <v>-8.0157402448059939E-2</v>
      </c>
      <c r="AK31" s="22">
        <v>-0.15977936006341889</v>
      </c>
      <c r="AL31" s="22">
        <v>-0.30990944364873824</v>
      </c>
      <c r="AM31" s="22">
        <v>-0.58270483371006343</v>
      </c>
      <c r="AN31" s="22">
        <v>-1.0573247945248161</v>
      </c>
      <c r="AO31" s="22">
        <v>-1.8415663701682905</v>
      </c>
      <c r="AP31" s="22">
        <v>-3.0594565568393159</v>
      </c>
      <c r="AQ31" s="22">
        <v>-4.8133332098041626</v>
      </c>
      <c r="AR31" s="22">
        <v>-7.116606393167018</v>
      </c>
      <c r="AS31" s="22">
        <v>-9.8238980132376525</v>
      </c>
      <c r="AT31" s="22">
        <v>-12.640222677991744</v>
      </c>
      <c r="AU31" s="22">
        <v>-15.315715439004519</v>
      </c>
      <c r="AV31" s="22">
        <v>-17.973158564688898</v>
      </c>
      <c r="AW31" s="22">
        <v>-21.091696961721969</v>
      </c>
      <c r="AX31" s="22">
        <v>-24.751335672245752</v>
      </c>
      <c r="AY31" s="22">
        <v>-29.045961482947693</v>
      </c>
      <c r="AZ31" s="22">
        <v>-34.08575155864758</v>
      </c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</row>
    <row r="32" spans="2:102" x14ac:dyDescent="0.25">
      <c r="B32" s="6">
        <v>29</v>
      </c>
      <c r="AE32" s="6">
        <v>0</v>
      </c>
      <c r="AF32" s="22">
        <v>-9.3629845433290996E-4</v>
      </c>
      <c r="AG32" s="22">
        <v>-2.1487634599070804E-3</v>
      </c>
      <c r="AH32" s="22">
        <v>-4.8638538573297502E-3</v>
      </c>
      <c r="AI32" s="22">
        <v>-1.0842333253797442E-2</v>
      </c>
      <c r="AJ32" s="22">
        <v>-2.3759247360226277E-2</v>
      </c>
      <c r="AK32" s="22">
        <v>-5.1072272876583613E-2</v>
      </c>
      <c r="AL32" s="22">
        <v>-0.10741814620178872</v>
      </c>
      <c r="AM32" s="22">
        <v>-0.22038623922348063</v>
      </c>
      <c r="AN32" s="22">
        <v>-0.43943829374963633</v>
      </c>
      <c r="AO32" s="22">
        <v>-0.8477184023446146</v>
      </c>
      <c r="AP32" s="22">
        <v>-1.5733461897968632</v>
      </c>
      <c r="AQ32" s="22">
        <v>-2.7901383331009404</v>
      </c>
      <c r="AR32" s="22">
        <v>-4.6879878826433359</v>
      </c>
      <c r="AS32" s="22">
        <v>-7.388041326184128</v>
      </c>
      <c r="AT32" s="22">
        <v>-10.801073354449219</v>
      </c>
      <c r="AU32" s="22">
        <v>-14.517908657262787</v>
      </c>
      <c r="AV32" s="22">
        <v>-17.973158564688855</v>
      </c>
      <c r="AW32" s="22">
        <v>-21.091696961721826</v>
      </c>
      <c r="AX32" s="22">
        <v>-24.751335672245563</v>
      </c>
      <c r="AY32" s="22">
        <v>-29.045961482947881</v>
      </c>
      <c r="AZ32" s="22">
        <v>-34.0857515586491</v>
      </c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</row>
    <row r="33" spans="2:102" x14ac:dyDescent="0.25">
      <c r="B33" s="6">
        <v>30</v>
      </c>
      <c r="AF33" s="6">
        <v>0</v>
      </c>
      <c r="AG33" s="22">
        <v>-4.1178815884183515E-4</v>
      </c>
      <c r="AH33" s="22">
        <v>-9.8917335587567668E-4</v>
      </c>
      <c r="AI33" s="22">
        <v>-2.3485018215956464E-3</v>
      </c>
      <c r="AJ33" s="22">
        <v>-5.503508949422066E-3</v>
      </c>
      <c r="AK33" s="22">
        <v>-1.2709300379153712E-2</v>
      </c>
      <c r="AL33" s="22">
        <v>-2.8867226192650228E-2</v>
      </c>
      <c r="AM33" s="22">
        <v>-6.4340937344356391E-2</v>
      </c>
      <c r="AN33" s="22">
        <v>-0.14032877634612148</v>
      </c>
      <c r="AO33" s="22">
        <v>-0.29845280109301681</v>
      </c>
      <c r="AP33" s="22">
        <v>-0.61629670751910093</v>
      </c>
      <c r="AQ33" s="22">
        <v>-1.2288570201977587</v>
      </c>
      <c r="AR33" s="22">
        <v>-2.3493231272910178</v>
      </c>
      <c r="AS33" s="22">
        <v>-4.2670706991181024</v>
      </c>
      <c r="AT33" s="22">
        <v>-7.2756549440878446</v>
      </c>
      <c r="AU33" s="22">
        <v>-11.469567800956943</v>
      </c>
      <c r="AV33" s="22">
        <v>-16.424390907314251</v>
      </c>
      <c r="AW33" s="22">
        <v>-21.091696961721897</v>
      </c>
      <c r="AX33" s="22">
        <v>-24.751335672245514</v>
      </c>
      <c r="AY33" s="22">
        <v>-29.045961482947597</v>
      </c>
      <c r="AZ33" s="22">
        <v>-34.085751558648148</v>
      </c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</row>
    <row r="34" spans="2:102" x14ac:dyDescent="0.25">
      <c r="B34" s="6">
        <v>31</v>
      </c>
      <c r="AG34" s="6">
        <v>0</v>
      </c>
      <c r="AH34" s="22">
        <v>-1.5222904406731456E-4</v>
      </c>
      <c r="AI34" s="22">
        <v>-3.8375419318494855E-4</v>
      </c>
      <c r="AJ34" s="22">
        <v>-9.5842672774283915E-4</v>
      </c>
      <c r="AK34" s="22">
        <v>-2.3687872273589396E-3</v>
      </c>
      <c r="AL34" s="22">
        <v>-5.7859172234128653E-3</v>
      </c>
      <c r="AM34" s="22">
        <v>-1.3944287686737764E-2</v>
      </c>
      <c r="AN34" s="22">
        <v>-3.309362520098362E-2</v>
      </c>
      <c r="AO34" s="22">
        <v>-7.715460605218262E-2</v>
      </c>
      <c r="AP34" s="22">
        <v>-0.17616814926121657</v>
      </c>
      <c r="AQ34" s="22">
        <v>-0.39242443568177449</v>
      </c>
      <c r="AR34" s="22">
        <v>-0.84851034990686691</v>
      </c>
      <c r="AS34" s="22">
        <v>-1.7689621886794047</v>
      </c>
      <c r="AT34" s="22">
        <v>-3.5234808121278527</v>
      </c>
      <c r="AU34" s="22">
        <v>-6.6201181024538469</v>
      </c>
      <c r="AV34" s="22">
        <v>-11.519985702469437</v>
      </c>
      <c r="AW34" s="22">
        <v>-18.08510274439395</v>
      </c>
      <c r="AX34" s="22">
        <v>-24.751335672245645</v>
      </c>
      <c r="AY34" s="22">
        <v>-29.045961482947646</v>
      </c>
      <c r="AZ34" s="22">
        <v>-34.085751558648433</v>
      </c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</row>
    <row r="35" spans="2:102" x14ac:dyDescent="0.25">
      <c r="B35" s="6">
        <v>32</v>
      </c>
      <c r="AH35" s="6">
        <v>0</v>
      </c>
      <c r="AI35" s="22">
        <v>-4.4447848373435925E-5</v>
      </c>
      <c r="AJ35" s="22">
        <v>-1.1792323627802182E-4</v>
      </c>
      <c r="AK35" s="22">
        <v>-3.1079457964055521E-4</v>
      </c>
      <c r="AL35" s="22">
        <v>-8.130404918970769E-4</v>
      </c>
      <c r="AM35" s="22">
        <v>-2.1090294301285397E-3</v>
      </c>
      <c r="AN35" s="22">
        <v>-5.4182492430063928E-3</v>
      </c>
      <c r="AO35" s="22">
        <v>-1.3765561740672026E-2</v>
      </c>
      <c r="AP35" s="22">
        <v>-3.4520616138892464E-2</v>
      </c>
      <c r="AQ35" s="22">
        <v>-8.5247878135570374E-2</v>
      </c>
      <c r="AR35" s="22">
        <v>-0.20666752905998828</v>
      </c>
      <c r="AS35" s="22">
        <v>-0.48985211992853289</v>
      </c>
      <c r="AT35" s="22">
        <v>-1.1288126496428783</v>
      </c>
      <c r="AU35" s="22">
        <v>-2.5088491114810263</v>
      </c>
      <c r="AV35" s="22">
        <v>-5.3145505005693421</v>
      </c>
      <c r="AW35" s="22">
        <v>-10.53133851632294</v>
      </c>
      <c r="AX35" s="22">
        <v>-18.914689520301927</v>
      </c>
      <c r="AY35" s="22">
        <v>-29.045961482947632</v>
      </c>
      <c r="AZ35" s="22">
        <v>-34.085751558648461</v>
      </c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</row>
    <row r="36" spans="2:102" x14ac:dyDescent="0.25">
      <c r="B36" s="6">
        <v>33</v>
      </c>
      <c r="AI36" s="6">
        <v>0</v>
      </c>
      <c r="AJ36" s="22">
        <v>-9.1343858791300114E-6</v>
      </c>
      <c r="AK36" s="22">
        <v>-2.5584520401655051E-5</v>
      </c>
      <c r="AL36" s="22">
        <v>-7.1407181611552256E-5</v>
      </c>
      <c r="AM36" s="22">
        <v>-1.9850577179214722E-4</v>
      </c>
      <c r="AN36" s="22">
        <v>-5.4932462700077738E-4</v>
      </c>
      <c r="AO36" s="22">
        <v>-1.5122139756381749E-3</v>
      </c>
      <c r="AP36" s="22">
        <v>-4.1376814661913449E-3</v>
      </c>
      <c r="AQ36" s="22">
        <v>-1.1240720951149646E-2</v>
      </c>
      <c r="AR36" s="22">
        <v>-3.0277684104804747E-2</v>
      </c>
      <c r="AS36" s="22">
        <v>-8.0713595364197283E-2</v>
      </c>
      <c r="AT36" s="22">
        <v>-0.21241401802970697</v>
      </c>
      <c r="AU36" s="22">
        <v>-0.54992600086427101</v>
      </c>
      <c r="AV36" s="22">
        <v>-1.393332249039857</v>
      </c>
      <c r="AW36" s="22">
        <v>-3.4268995867166967</v>
      </c>
      <c r="AX36" s="22">
        <v>-8.0693378318517368</v>
      </c>
      <c r="AY36" s="22">
        <v>-17.715387471109583</v>
      </c>
      <c r="AZ36" s="22">
        <v>-34.085751558648425</v>
      </c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</row>
    <row r="37" spans="2:102" x14ac:dyDescent="0.25">
      <c r="B37" s="6">
        <v>34</v>
      </c>
      <c r="AJ37" s="6">
        <v>0</v>
      </c>
      <c r="AK37" s="22">
        <v>-9.9371518922676348E-7</v>
      </c>
      <c r="AL37" s="22">
        <v>-2.9485331792325631E-6</v>
      </c>
      <c r="AM37" s="22">
        <v>-8.748832666833043E-6</v>
      </c>
      <c r="AN37" s="22">
        <v>-2.595937314572365E-5</v>
      </c>
      <c r="AO37" s="22">
        <v>-7.7026167922223724E-5</v>
      </c>
      <c r="AP37" s="22">
        <v>-2.2855060911823157E-4</v>
      </c>
      <c r="AQ37" s="22">
        <v>-6.7815110549260054E-4</v>
      </c>
      <c r="AR37" s="22">
        <v>-2.0121973144378302E-3</v>
      </c>
      <c r="AS37" s="22">
        <v>-5.9705543490778806E-3</v>
      </c>
      <c r="AT37" s="22">
        <v>-1.7715717529049595E-2</v>
      </c>
      <c r="AU37" s="22">
        <v>-5.2565746699474745E-2</v>
      </c>
      <c r="AV37" s="22">
        <v>-0.15597210339024731</v>
      </c>
      <c r="AW37" s="22">
        <v>-0.46279751669961694</v>
      </c>
      <c r="AX37" s="22">
        <v>-1.3732041615637056</v>
      </c>
      <c r="AY37" s="22">
        <v>-4.074545781454149</v>
      </c>
      <c r="AZ37" s="22">
        <v>-12.089916262896205</v>
      </c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</row>
    <row r="38" spans="2:102" x14ac:dyDescent="0.25">
      <c r="B38" s="6">
        <v>35</v>
      </c>
      <c r="AK38" s="6">
        <v>0</v>
      </c>
      <c r="AL38" s="22">
        <v>0</v>
      </c>
      <c r="AM38" s="22">
        <v>0</v>
      </c>
      <c r="AN38" s="22">
        <v>0</v>
      </c>
      <c r="AO38" s="22">
        <v>0</v>
      </c>
      <c r="AP38" s="22">
        <v>0</v>
      </c>
      <c r="AQ38" s="22">
        <v>0</v>
      </c>
      <c r="AR38" s="22">
        <v>0</v>
      </c>
      <c r="AS38" s="22">
        <v>0</v>
      </c>
      <c r="AT38" s="22">
        <v>0</v>
      </c>
      <c r="AU38" s="22">
        <v>0</v>
      </c>
      <c r="AV38" s="22">
        <v>0</v>
      </c>
      <c r="AW38" s="22">
        <v>0</v>
      </c>
      <c r="AX38" s="22">
        <v>0</v>
      </c>
      <c r="AY38" s="22">
        <v>0</v>
      </c>
      <c r="AZ38" s="22">
        <v>0</v>
      </c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</row>
    <row r="39" spans="2:102" x14ac:dyDescent="0.25">
      <c r="B39" s="6">
        <v>36</v>
      </c>
      <c r="AL39" s="6">
        <v>0</v>
      </c>
      <c r="AM39" s="22">
        <v>0</v>
      </c>
      <c r="AN39" s="22">
        <v>0</v>
      </c>
      <c r="AO39" s="22">
        <v>0</v>
      </c>
      <c r="AP39" s="22">
        <v>0</v>
      </c>
      <c r="AQ39" s="22">
        <v>0</v>
      </c>
      <c r="AR39" s="22">
        <v>0</v>
      </c>
      <c r="AS39" s="22">
        <v>0</v>
      </c>
      <c r="AT39" s="22">
        <v>0</v>
      </c>
      <c r="AU39" s="22">
        <v>0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</row>
    <row r="40" spans="2:102" x14ac:dyDescent="0.25">
      <c r="B40" s="6">
        <v>37</v>
      </c>
      <c r="AM40" s="6">
        <v>0</v>
      </c>
      <c r="AN40" s="22">
        <v>0</v>
      </c>
      <c r="AO40" s="22">
        <v>0</v>
      </c>
      <c r="AP40" s="22">
        <v>0</v>
      </c>
      <c r="AQ40" s="22">
        <v>0</v>
      </c>
      <c r="AR40" s="22">
        <v>0</v>
      </c>
      <c r="AS40" s="22">
        <v>0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</row>
    <row r="41" spans="2:102" x14ac:dyDescent="0.25">
      <c r="B41" s="6">
        <v>38</v>
      </c>
      <c r="AN41" s="6">
        <v>0</v>
      </c>
      <c r="AO41" s="22">
        <v>0</v>
      </c>
      <c r="AP41" s="22">
        <v>0</v>
      </c>
      <c r="AQ41" s="22">
        <v>0</v>
      </c>
      <c r="AR41" s="22">
        <v>0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2">
        <v>0</v>
      </c>
      <c r="AY41" s="22">
        <v>0</v>
      </c>
      <c r="AZ41" s="22">
        <v>0</v>
      </c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</row>
    <row r="42" spans="2:102" x14ac:dyDescent="0.25">
      <c r="B42" s="6">
        <v>39</v>
      </c>
      <c r="AO42" s="6">
        <v>0</v>
      </c>
      <c r="AP42" s="22">
        <v>0</v>
      </c>
      <c r="AQ42" s="22">
        <v>0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2">
        <v>0</v>
      </c>
      <c r="AX42" s="22">
        <v>0</v>
      </c>
      <c r="AY42" s="22">
        <v>0</v>
      </c>
      <c r="AZ42" s="22">
        <v>0</v>
      </c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</row>
    <row r="43" spans="2:102" x14ac:dyDescent="0.25">
      <c r="B43" s="6">
        <v>40</v>
      </c>
      <c r="AP43" s="6">
        <v>0</v>
      </c>
      <c r="AQ43" s="22">
        <v>0</v>
      </c>
      <c r="AR43" s="22">
        <v>0</v>
      </c>
      <c r="AS43" s="22">
        <v>0</v>
      </c>
      <c r="AT43" s="22">
        <v>0</v>
      </c>
      <c r="AU43" s="22">
        <v>0</v>
      </c>
      <c r="AV43" s="22">
        <v>0</v>
      </c>
      <c r="AW43" s="22">
        <v>0</v>
      </c>
      <c r="AX43" s="22">
        <v>0</v>
      </c>
      <c r="AY43" s="22">
        <v>0</v>
      </c>
      <c r="AZ43" s="22">
        <v>0</v>
      </c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</row>
    <row r="44" spans="2:102" x14ac:dyDescent="0.25">
      <c r="B44" s="6">
        <v>41</v>
      </c>
      <c r="AQ44" s="6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0</v>
      </c>
      <c r="AW44" s="22">
        <v>0</v>
      </c>
      <c r="AX44" s="22">
        <v>0</v>
      </c>
      <c r="AY44" s="22">
        <v>0</v>
      </c>
      <c r="AZ44" s="22">
        <v>0</v>
      </c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</row>
    <row r="45" spans="2:102" x14ac:dyDescent="0.25">
      <c r="B45" s="6">
        <v>42</v>
      </c>
      <c r="AR45" s="6">
        <v>0</v>
      </c>
      <c r="AS45" s="22">
        <v>0</v>
      </c>
      <c r="AT45" s="22">
        <v>0</v>
      </c>
      <c r="AU45" s="22">
        <v>0</v>
      </c>
      <c r="AV45" s="22">
        <v>0</v>
      </c>
      <c r="AW45" s="22">
        <v>0</v>
      </c>
      <c r="AX45" s="22">
        <v>0</v>
      </c>
      <c r="AY45" s="22">
        <v>0</v>
      </c>
      <c r="AZ45" s="22">
        <v>0</v>
      </c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</row>
    <row r="46" spans="2:102" x14ac:dyDescent="0.25">
      <c r="B46" s="6">
        <v>43</v>
      </c>
      <c r="AS46" s="6">
        <v>0</v>
      </c>
      <c r="AT46" s="22">
        <v>0</v>
      </c>
      <c r="AU46" s="22">
        <v>0</v>
      </c>
      <c r="AV46" s="22">
        <v>0</v>
      </c>
      <c r="AW46" s="22">
        <v>0</v>
      </c>
      <c r="AX46" s="22">
        <v>0</v>
      </c>
      <c r="AY46" s="22">
        <v>0</v>
      </c>
      <c r="AZ46" s="22">
        <v>0</v>
      </c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</row>
    <row r="47" spans="2:102" x14ac:dyDescent="0.25">
      <c r="B47" s="6">
        <v>44</v>
      </c>
      <c r="AT47" s="6">
        <v>0</v>
      </c>
      <c r="AU47" s="22">
        <v>0</v>
      </c>
      <c r="AV47" s="22">
        <v>0</v>
      </c>
      <c r="AW47" s="22">
        <v>0</v>
      </c>
      <c r="AX47" s="22">
        <v>0</v>
      </c>
      <c r="AY47" s="22">
        <v>0</v>
      </c>
      <c r="AZ47" s="22">
        <v>0</v>
      </c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</row>
    <row r="48" spans="2:102" x14ac:dyDescent="0.25">
      <c r="B48" s="6">
        <v>45</v>
      </c>
      <c r="AU48" s="6">
        <v>0</v>
      </c>
      <c r="AV48" s="22">
        <v>0</v>
      </c>
      <c r="AW48" s="22">
        <v>0</v>
      </c>
      <c r="AX48" s="22">
        <v>0</v>
      </c>
      <c r="AY48" s="22">
        <v>0</v>
      </c>
      <c r="AZ48" s="22">
        <v>0</v>
      </c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</row>
    <row r="49" spans="2:102" x14ac:dyDescent="0.25">
      <c r="B49" s="6">
        <v>46</v>
      </c>
      <c r="AV49" s="6">
        <v>0</v>
      </c>
      <c r="AW49" s="22">
        <v>0</v>
      </c>
      <c r="AX49" s="22">
        <v>0</v>
      </c>
      <c r="AY49" s="22">
        <v>0</v>
      </c>
      <c r="AZ49" s="22">
        <v>0</v>
      </c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</row>
    <row r="50" spans="2:102" x14ac:dyDescent="0.25">
      <c r="B50" s="6">
        <v>47</v>
      </c>
      <c r="AW50" s="6">
        <v>0</v>
      </c>
      <c r="AX50" s="22">
        <v>0</v>
      </c>
      <c r="AY50" s="22">
        <v>0</v>
      </c>
      <c r="AZ50" s="22">
        <v>0</v>
      </c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</row>
    <row r="51" spans="2:102" x14ac:dyDescent="0.25">
      <c r="B51" s="6">
        <v>48</v>
      </c>
      <c r="AX51" s="6">
        <v>0</v>
      </c>
      <c r="AY51" s="22">
        <v>0</v>
      </c>
      <c r="AZ51" s="22">
        <v>0</v>
      </c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</row>
    <row r="52" spans="2:102" x14ac:dyDescent="0.25">
      <c r="B52" s="6">
        <v>49</v>
      </c>
      <c r="AY52" s="6">
        <v>0</v>
      </c>
      <c r="AZ52" s="22">
        <v>0</v>
      </c>
      <c r="BA52" s="22"/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</row>
    <row r="53" spans="2:102" x14ac:dyDescent="0.25">
      <c r="B53" s="6">
        <v>50</v>
      </c>
      <c r="AZ53" s="6">
        <v>0</v>
      </c>
      <c r="BA53" s="22"/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</row>
    <row r="54" spans="2:102" x14ac:dyDescent="0.25"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</row>
    <row r="55" spans="2:102" x14ac:dyDescent="0.25"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</row>
    <row r="56" spans="2:102" x14ac:dyDescent="0.25"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</row>
    <row r="57" spans="2:102" x14ac:dyDescent="0.25"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</row>
    <row r="58" spans="2:102" x14ac:dyDescent="0.25"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</row>
    <row r="59" spans="2:102" x14ac:dyDescent="0.25"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</row>
    <row r="60" spans="2:102" x14ac:dyDescent="0.25"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</row>
    <row r="61" spans="2:102" x14ac:dyDescent="0.25"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</row>
    <row r="62" spans="2:102" x14ac:dyDescent="0.25"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</row>
    <row r="63" spans="2:102" x14ac:dyDescent="0.25"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</row>
    <row r="64" spans="2:102" x14ac:dyDescent="0.25"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</row>
    <row r="65" spans="65:102" x14ac:dyDescent="0.25"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</row>
    <row r="66" spans="65:102" x14ac:dyDescent="0.25"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</row>
    <row r="67" spans="65:102" x14ac:dyDescent="0.25"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</row>
    <row r="68" spans="65:102" x14ac:dyDescent="0.25"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</row>
    <row r="69" spans="65:102" x14ac:dyDescent="0.25"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</row>
    <row r="70" spans="65:102" x14ac:dyDescent="0.25"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</row>
    <row r="71" spans="65:102" x14ac:dyDescent="0.25"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</row>
    <row r="72" spans="65:102" x14ac:dyDescent="0.25"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</row>
    <row r="73" spans="65:102" x14ac:dyDescent="0.25"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</row>
    <row r="74" spans="65:102" x14ac:dyDescent="0.25"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</row>
    <row r="75" spans="65:102" x14ac:dyDescent="0.25"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</row>
    <row r="76" spans="65:102" x14ac:dyDescent="0.25"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</row>
    <row r="77" spans="65:102" x14ac:dyDescent="0.25"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</row>
    <row r="78" spans="65:102" x14ac:dyDescent="0.25"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</row>
    <row r="79" spans="65:102" x14ac:dyDescent="0.25"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</row>
    <row r="80" spans="65:102" x14ac:dyDescent="0.25"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</row>
    <row r="81" spans="81:102" x14ac:dyDescent="0.25"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</row>
    <row r="82" spans="81:102" x14ac:dyDescent="0.25"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</row>
    <row r="83" spans="81:102" x14ac:dyDescent="0.25"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</row>
    <row r="84" spans="81:102" x14ac:dyDescent="0.25"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</row>
    <row r="85" spans="81:102" x14ac:dyDescent="0.25"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</row>
    <row r="86" spans="81:102" x14ac:dyDescent="0.25"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</row>
    <row r="87" spans="81:102" x14ac:dyDescent="0.25"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</row>
    <row r="88" spans="81:102" x14ac:dyDescent="0.25"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</row>
    <row r="89" spans="81:102" x14ac:dyDescent="0.25"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</row>
    <row r="90" spans="81:102" x14ac:dyDescent="0.25"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</row>
    <row r="91" spans="81:102" x14ac:dyDescent="0.25"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</row>
    <row r="92" spans="81:102" x14ac:dyDescent="0.25"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</row>
    <row r="93" spans="81:102" x14ac:dyDescent="0.25">
      <c r="CO93" s="22"/>
      <c r="CP93" s="22"/>
      <c r="CQ93" s="22"/>
      <c r="CR93" s="22"/>
      <c r="CS93" s="22"/>
      <c r="CT93" s="22"/>
      <c r="CU93" s="22"/>
      <c r="CV93" s="22"/>
      <c r="CW93" s="22"/>
      <c r="CX93" s="22"/>
    </row>
    <row r="94" spans="81:102" x14ac:dyDescent="0.25">
      <c r="CP94" s="22"/>
      <c r="CQ94" s="22"/>
      <c r="CR94" s="22"/>
      <c r="CS94" s="22"/>
      <c r="CT94" s="22"/>
      <c r="CU94" s="22"/>
      <c r="CV94" s="22"/>
      <c r="CW94" s="22"/>
      <c r="CX94" s="22"/>
    </row>
    <row r="95" spans="81:102" x14ac:dyDescent="0.25">
      <c r="CQ95" s="22"/>
      <c r="CR95" s="22"/>
      <c r="CS95" s="22"/>
      <c r="CT95" s="22"/>
      <c r="CU95" s="22"/>
      <c r="CV95" s="22"/>
      <c r="CW95" s="22"/>
      <c r="CX95" s="22"/>
    </row>
    <row r="96" spans="81:102" x14ac:dyDescent="0.25">
      <c r="CR96" s="22"/>
      <c r="CS96" s="22"/>
      <c r="CT96" s="22"/>
      <c r="CU96" s="22"/>
      <c r="CV96" s="22"/>
      <c r="CW96" s="22"/>
      <c r="CX96" s="22"/>
    </row>
    <row r="97" spans="97:102" x14ac:dyDescent="0.25">
      <c r="CS97" s="22"/>
      <c r="CT97" s="22"/>
      <c r="CU97" s="22"/>
      <c r="CV97" s="22"/>
      <c r="CW97" s="22"/>
      <c r="CX97" s="22"/>
    </row>
    <row r="98" spans="97:102" x14ac:dyDescent="0.25">
      <c r="CT98" s="22"/>
      <c r="CU98" s="22"/>
      <c r="CV98" s="22"/>
      <c r="CW98" s="22"/>
      <c r="CX98" s="22"/>
    </row>
    <row r="99" spans="97:102" x14ac:dyDescent="0.25">
      <c r="CU99" s="22"/>
      <c r="CV99" s="22"/>
      <c r="CW99" s="22"/>
      <c r="CX99" s="22"/>
    </row>
    <row r="100" spans="97:102" x14ac:dyDescent="0.25">
      <c r="CV100" s="22"/>
      <c r="CW100" s="22"/>
      <c r="CX100" s="22"/>
    </row>
    <row r="101" spans="97:102" x14ac:dyDescent="0.25">
      <c r="CW101" s="22"/>
      <c r="CX101" s="22"/>
    </row>
    <row r="102" spans="97:102" x14ac:dyDescent="0.25">
      <c r="CX102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0000"/>
  </sheetPr>
  <dimension ref="B2:CY103"/>
  <sheetViews>
    <sheetView zoomScale="118" zoomScaleNormal="118" workbookViewId="0">
      <selection activeCell="A19" sqref="A19"/>
    </sheetView>
  </sheetViews>
  <sheetFormatPr baseColWidth="10" defaultRowHeight="15" x14ac:dyDescent="0.25"/>
  <cols>
    <col min="1" max="1" width="7.85546875" style="6" bestFit="1" customWidth="1"/>
    <col min="2" max="2" width="2.140625" style="6" bestFit="1" customWidth="1"/>
    <col min="3" max="13" width="11.5703125" style="6" bestFit="1" customWidth="1"/>
    <col min="14" max="18" width="11.7109375" style="6" bestFit="1" customWidth="1"/>
    <col min="19" max="16384" width="11.42578125" style="6"/>
  </cols>
  <sheetData>
    <row r="2" spans="2:103" x14ac:dyDescent="0.25"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</row>
    <row r="3" spans="2:103" x14ac:dyDescent="0.25">
      <c r="B3" s="6">
        <v>0</v>
      </c>
      <c r="C3" s="25">
        <v>40.987491882373327</v>
      </c>
      <c r="D3" s="25">
        <v>73.525468488772788</v>
      </c>
      <c r="E3" s="25">
        <v>131.88947918577131</v>
      </c>
      <c r="F3" s="23">
        <v>236.57713466238181</v>
      </c>
      <c r="G3" s="23">
        <v>424.3544276726933</v>
      </c>
      <c r="H3" s="23">
        <v>761.16747717053727</v>
      </c>
      <c r="I3" s="21">
        <v>1365.301944956376</v>
      </c>
      <c r="J3" s="21">
        <v>2448.923399647279</v>
      </c>
      <c r="K3" s="21">
        <v>4392.5870428628396</v>
      </c>
      <c r="L3" s="21">
        <v>7878.8836069395793</v>
      </c>
      <c r="M3" s="21">
        <v>14132.156057957161</v>
      </c>
      <c r="N3" s="21">
        <v>25348.472371664055</v>
      </c>
      <c r="O3" s="21">
        <v>45466.855012125641</v>
      </c>
      <c r="P3" s="21">
        <v>81552.612485735983</v>
      </c>
      <c r="Q3" s="21">
        <v>146278.58032063243</v>
      </c>
      <c r="R3" s="21">
        <v>262375.64977496077</v>
      </c>
      <c r="S3" s="22">
        <v>470615.54981511313</v>
      </c>
      <c r="T3" s="22">
        <v>844129.32751879562</v>
      </c>
      <c r="U3" s="22">
        <v>1514089.9837240519</v>
      </c>
      <c r="V3" s="22">
        <v>2715778.6584924106</v>
      </c>
      <c r="W3" s="22">
        <v>4871212.188185038</v>
      </c>
      <c r="X3" s="22">
        <v>8737349.7155690342</v>
      </c>
      <c r="Y3" s="22">
        <v>15671926.511555791</v>
      </c>
      <c r="Z3" s="22">
        <v>28110272.254276283</v>
      </c>
      <c r="AA3" s="22">
        <v>50420565.901355438</v>
      </c>
      <c r="AB3" s="22">
        <v>90437881.108558312</v>
      </c>
      <c r="AC3" s="22">
        <v>162215758.2146377</v>
      </c>
      <c r="AD3" s="22">
        <v>290961617.68851209</v>
      </c>
      <c r="AE3" s="22">
        <v>521889265.54386413</v>
      </c>
      <c r="AF3" s="22">
        <v>936097370.98930895</v>
      </c>
      <c r="AG3" s="22">
        <v>1679050223.0818551</v>
      </c>
      <c r="AH3" s="22">
        <v>3011662823.2291112</v>
      </c>
      <c r="AI3" s="22">
        <v>5401930707.6589231</v>
      </c>
      <c r="AJ3" s="22">
        <v>9689283655.2148972</v>
      </c>
      <c r="AK3" s="22">
        <v>17379382081.566185</v>
      </c>
      <c r="AL3" s="22">
        <v>31172884629.575386</v>
      </c>
      <c r="AM3" s="22">
        <v>55913882987.753357</v>
      </c>
      <c r="AN3" s="22">
        <v>100291081427.81631</v>
      </c>
      <c r="AO3" s="22">
        <v>179889152325.05582</v>
      </c>
      <c r="AP3" s="22">
        <v>322661862484.00671</v>
      </c>
      <c r="AQ3" s="22">
        <v>578749058270.70984</v>
      </c>
      <c r="AR3" s="22">
        <v>1038085102062.4789</v>
      </c>
      <c r="AS3" s="22">
        <v>1861982604934.4731</v>
      </c>
      <c r="AT3" s="22">
        <v>3339783235677.4512</v>
      </c>
      <c r="AU3" s="22">
        <v>5990470604690.0557</v>
      </c>
      <c r="AV3" s="22">
        <v>10744930294363.764</v>
      </c>
      <c r="AW3" s="22">
        <v>19272864295554.684</v>
      </c>
      <c r="AX3" s="22">
        <v>34569167782282.621</v>
      </c>
      <c r="AY3" s="22">
        <v>62005695823587.828</v>
      </c>
      <c r="AZ3" s="22">
        <v>111217786288088.11</v>
      </c>
      <c r="BA3" s="22">
        <v>199488060290691.12</v>
      </c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</row>
    <row r="4" spans="2:103" x14ac:dyDescent="0.25">
      <c r="B4" s="6">
        <v>1</v>
      </c>
      <c r="C4" s="7">
        <v>0</v>
      </c>
      <c r="D4" s="25">
        <v>31.464147408356023</v>
      </c>
      <c r="E4" s="25">
        <v>56.444806261958966</v>
      </c>
      <c r="F4" s="23">
        <v>101.25377574468317</v>
      </c>
      <c r="G4" s="23">
        <v>181.62850024117284</v>
      </c>
      <c r="H4" s="23">
        <v>325.7968061190611</v>
      </c>
      <c r="I4" s="21">
        <v>584.39015992541954</v>
      </c>
      <c r="J4" s="21">
        <v>1048.2247902248041</v>
      </c>
      <c r="K4" s="21">
        <v>1880.1951637673262</v>
      </c>
      <c r="L4" s="21">
        <v>3372.4803744066357</v>
      </c>
      <c r="M4" s="21">
        <v>6049.1535558557816</v>
      </c>
      <c r="N4" s="21">
        <v>10850.229357870585</v>
      </c>
      <c r="O4" s="21">
        <v>19461.784473224332</v>
      </c>
      <c r="P4" s="21">
        <v>34908.085084949475</v>
      </c>
      <c r="Q4" s="21">
        <v>62613.668393742781</v>
      </c>
      <c r="R4" s="21">
        <v>112308.36690811921</v>
      </c>
      <c r="S4" s="22">
        <v>201444.2942871706</v>
      </c>
      <c r="T4" s="22">
        <v>361324.79199078423</v>
      </c>
      <c r="U4" s="22">
        <v>648097.73997862404</v>
      </c>
      <c r="V4" s="22">
        <v>1162473.9336163742</v>
      </c>
      <c r="W4" s="22">
        <v>2085095.3542893701</v>
      </c>
      <c r="X4" s="22">
        <v>3739974.1924009584</v>
      </c>
      <c r="Y4" s="22">
        <v>6708281.5503213285</v>
      </c>
      <c r="Z4" s="22">
        <v>12032446.880023003</v>
      </c>
      <c r="AA4" s="22">
        <v>21582245.119696248</v>
      </c>
      <c r="AB4" s="22">
        <v>38711436.384406574</v>
      </c>
      <c r="AC4" s="22">
        <v>69435561.196287394</v>
      </c>
      <c r="AD4" s="22">
        <v>124544517.02231002</v>
      </c>
      <c r="AE4" s="22">
        <v>223391824.45018622</v>
      </c>
      <c r="AF4" s="22">
        <v>400691322.07495415</v>
      </c>
      <c r="AG4" s="22">
        <v>718708197.48935616</v>
      </c>
      <c r="AH4" s="22">
        <v>1289125679.7112739</v>
      </c>
      <c r="AI4" s="22">
        <v>2312266679.9205055</v>
      </c>
      <c r="AJ4" s="22">
        <v>4147444490.6872249</v>
      </c>
      <c r="AK4" s="22">
        <v>7439148758.5360899</v>
      </c>
      <c r="AL4" s="22">
        <v>13343381538.123026</v>
      </c>
      <c r="AM4" s="22">
        <v>23933629591.527641</v>
      </c>
      <c r="AN4" s="22">
        <v>42929044917.82988</v>
      </c>
      <c r="AO4" s="22">
        <v>77000560674.26709</v>
      </c>
      <c r="AP4" s="22">
        <v>138113632749.52411</v>
      </c>
      <c r="AQ4" s="22">
        <v>247730346169.69458</v>
      </c>
      <c r="AR4" s="22">
        <v>444346609319.07623</v>
      </c>
      <c r="AS4" s="22">
        <v>797011396727.88342</v>
      </c>
      <c r="AT4" s="22">
        <v>1429575815793.7654</v>
      </c>
      <c r="AU4" s="22">
        <v>2564187941965.8525</v>
      </c>
      <c r="AV4" s="22">
        <v>4599308220715.1973</v>
      </c>
      <c r="AW4" s="22">
        <v>8249643391157.0879</v>
      </c>
      <c r="AX4" s="22">
        <v>14797141834222.869</v>
      </c>
      <c r="AY4" s="22">
        <v>26541196519687.52</v>
      </c>
      <c r="AZ4" s="22">
        <v>47606160742969.469</v>
      </c>
      <c r="BA4" s="22">
        <v>85389765265632.922</v>
      </c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</row>
    <row r="5" spans="2:103" x14ac:dyDescent="0.25">
      <c r="B5" s="6">
        <v>2</v>
      </c>
      <c r="C5" s="7"/>
      <c r="D5" s="7">
        <v>0</v>
      </c>
      <c r="E5" s="25">
        <v>24.15169554444579</v>
      </c>
      <c r="F5" s="23">
        <v>43.32987271417192</v>
      </c>
      <c r="G5" s="23">
        <v>77.731451202954545</v>
      </c>
      <c r="H5" s="23">
        <v>139.43915662789607</v>
      </c>
      <c r="I5" s="21">
        <v>250.12545777288403</v>
      </c>
      <c r="J5" s="21">
        <v>448.66367433745603</v>
      </c>
      <c r="K5" s="21">
        <v>804.7798006872481</v>
      </c>
      <c r="L5" s="21">
        <v>1443.5393831528061</v>
      </c>
      <c r="M5" s="21">
        <v>2589.2689121762455</v>
      </c>
      <c r="N5" s="21">
        <v>4644.3363291026681</v>
      </c>
      <c r="O5" s="21">
        <v>8330.4572973007216</v>
      </c>
      <c r="P5" s="21">
        <v>14942.152091172789</v>
      </c>
      <c r="Q5" s="21">
        <v>26801.363738870423</v>
      </c>
      <c r="R5" s="21">
        <v>48072.89316940686</v>
      </c>
      <c r="S5" s="22">
        <v>86227.021171729721</v>
      </c>
      <c r="T5" s="22">
        <v>154662.97023636347</v>
      </c>
      <c r="U5" s="22">
        <v>277414.53062992269</v>
      </c>
      <c r="V5" s="22">
        <v>497590.4029934234</v>
      </c>
      <c r="W5" s="22">
        <v>892513.39172794926</v>
      </c>
      <c r="X5" s="22">
        <v>1600875.1292999436</v>
      </c>
      <c r="Y5" s="22">
        <v>2871442.7036798103</v>
      </c>
      <c r="Z5" s="22">
        <v>5150422.2982553085</v>
      </c>
      <c r="AA5" s="22">
        <v>9238160.7739301603</v>
      </c>
      <c r="AB5" s="22">
        <v>16570216.671377236</v>
      </c>
      <c r="AC5" s="22">
        <v>29721508.971037913</v>
      </c>
      <c r="AD5" s="22">
        <v>53310593.842291467</v>
      </c>
      <c r="AE5" s="22">
        <v>95621639.155655831</v>
      </c>
      <c r="AF5" s="22">
        <v>171513712.28723538</v>
      </c>
      <c r="AG5" s="22">
        <v>307639083.77601564</v>
      </c>
      <c r="AH5" s="22">
        <v>551803144.55790079</v>
      </c>
      <c r="AI5" s="22">
        <v>989753013.2184428</v>
      </c>
      <c r="AJ5" s="22">
        <v>1775290765.2488577</v>
      </c>
      <c r="AK5" s="22">
        <v>3184286643.467453</v>
      </c>
      <c r="AL5" s="22">
        <v>5711560959.1675806</v>
      </c>
      <c r="AM5" s="22">
        <v>10244658298.405416</v>
      </c>
      <c r="AN5" s="22">
        <v>18375541186.277054</v>
      </c>
      <c r="AO5" s="22">
        <v>32959665811.825367</v>
      </c>
      <c r="AP5" s="22">
        <v>59118779652.768959</v>
      </c>
      <c r="AQ5" s="22">
        <v>106039609973.96867</v>
      </c>
      <c r="AR5" s="22">
        <v>190200118292.66962</v>
      </c>
      <c r="AS5" s="22">
        <v>341156337778.84436</v>
      </c>
      <c r="AT5" s="22">
        <v>611922052681.84265</v>
      </c>
      <c r="AU5" s="22">
        <v>1097586522926.1489</v>
      </c>
      <c r="AV5" s="22">
        <v>1968708547152.8208</v>
      </c>
      <c r="AW5" s="22">
        <v>3531214407856.6543</v>
      </c>
      <c r="AX5" s="22">
        <v>6333835047485.5088</v>
      </c>
      <c r="AY5" s="22">
        <v>11360812959833.064</v>
      </c>
      <c r="AZ5" s="22">
        <v>20377554852725.402</v>
      </c>
      <c r="BA5" s="22">
        <v>36550618625958.562</v>
      </c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2"/>
      <c r="CR5" s="22"/>
      <c r="CS5" s="22"/>
      <c r="CT5" s="22"/>
      <c r="CU5" s="22"/>
      <c r="CV5" s="22"/>
      <c r="CW5" s="22"/>
      <c r="CX5" s="22"/>
      <c r="CY5" s="22"/>
    </row>
    <row r="6" spans="2:103" x14ac:dyDescent="0.25">
      <c r="B6" s="6">
        <v>3</v>
      </c>
      <c r="C6" s="8"/>
      <c r="D6" s="8"/>
      <c r="E6" s="8">
        <v>0</v>
      </c>
      <c r="F6" s="23">
        <v>18.536626593505822</v>
      </c>
      <c r="G6" s="23">
        <v>33.259599527102687</v>
      </c>
      <c r="H6" s="23">
        <v>59.670418571994531</v>
      </c>
      <c r="I6" s="21">
        <v>107.04582076045986</v>
      </c>
      <c r="J6" s="21">
        <v>192.02525997095427</v>
      </c>
      <c r="K6" s="21">
        <v>344.45449006378681</v>
      </c>
      <c r="L6" s="21">
        <v>617.86703346664774</v>
      </c>
      <c r="M6" s="21">
        <v>1108.284487719247</v>
      </c>
      <c r="N6" s="21">
        <v>1987.9380850500322</v>
      </c>
      <c r="O6" s="21">
        <v>3565.7540616055858</v>
      </c>
      <c r="P6" s="21">
        <v>6395.844480770359</v>
      </c>
      <c r="Q6" s="21">
        <v>11472.104021994634</v>
      </c>
      <c r="R6" s="21">
        <v>20577.252498961472</v>
      </c>
      <c r="S6" s="22">
        <v>36908.902125301815</v>
      </c>
      <c r="T6" s="22">
        <v>66202.515895147182</v>
      </c>
      <c r="U6" s="22">
        <v>118745.62489150342</v>
      </c>
      <c r="V6" s="22">
        <v>212990.67042715565</v>
      </c>
      <c r="W6" s="22">
        <v>382035.2523606944</v>
      </c>
      <c r="X6" s="22">
        <v>685245.55922936124</v>
      </c>
      <c r="Y6" s="22">
        <v>1229104.9717902131</v>
      </c>
      <c r="Z6" s="22">
        <v>2204609.5877938671</v>
      </c>
      <c r="AA6" s="22">
        <v>3954343.4709373736</v>
      </c>
      <c r="AB6" s="22">
        <v>7092789.5449823951</v>
      </c>
      <c r="AC6" s="22">
        <v>12722127.693178577</v>
      </c>
      <c r="AD6" s="22">
        <v>22819305.439216141</v>
      </c>
      <c r="AE6" s="22">
        <v>40930315.201976545</v>
      </c>
      <c r="AF6" s="22">
        <v>73415498.913457096</v>
      </c>
      <c r="AG6" s="22">
        <v>131683214.15256795</v>
      </c>
      <c r="AH6" s="22">
        <v>236196295.15508109</v>
      </c>
      <c r="AI6" s="22">
        <v>423658323.66282672</v>
      </c>
      <c r="AJ6" s="22">
        <v>759903430.81857288</v>
      </c>
      <c r="AK6" s="22">
        <v>1363016354.3382912</v>
      </c>
      <c r="AL6" s="22">
        <v>2444802202.593431</v>
      </c>
      <c r="AM6" s="22">
        <v>4385169546.3231831</v>
      </c>
      <c r="AN6" s="22">
        <v>7865549174.5669842</v>
      </c>
      <c r="AO6" s="22">
        <v>14108203378.868862</v>
      </c>
      <c r="AP6" s="22">
        <v>25305467952.321018</v>
      </c>
      <c r="AQ6" s="22">
        <v>45389670892.699356</v>
      </c>
      <c r="AR6" s="22">
        <v>81414112853.487808</v>
      </c>
      <c r="AS6" s="22">
        <v>146030091014.50839</v>
      </c>
      <c r="AT6" s="22">
        <v>261929863680.81882</v>
      </c>
      <c r="AU6" s="22">
        <v>469815864734.42273</v>
      </c>
      <c r="AV6" s="22">
        <v>842694848357.61597</v>
      </c>
      <c r="AW6" s="22">
        <v>1511516874482.5647</v>
      </c>
      <c r="AX6" s="22">
        <v>2711163200169.6548</v>
      </c>
      <c r="AY6" s="22">
        <v>4862933402882.5557</v>
      </c>
      <c r="AZ6" s="22">
        <v>8722500098616.4502</v>
      </c>
      <c r="BA6" s="22">
        <v>15645290952413.873</v>
      </c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</row>
    <row r="7" spans="2:103" x14ac:dyDescent="0.25">
      <c r="B7" s="6">
        <v>4</v>
      </c>
      <c r="C7" s="8"/>
      <c r="D7" s="8"/>
      <c r="E7" s="8"/>
      <c r="F7" s="8">
        <v>0</v>
      </c>
      <c r="G7" s="23">
        <v>14.224683561632276</v>
      </c>
      <c r="H7" s="23">
        <v>25.526813401685907</v>
      </c>
      <c r="I7" s="21">
        <v>45.802242892606621</v>
      </c>
      <c r="J7" s="21">
        <v>82.173350443106571</v>
      </c>
      <c r="K7" s="21">
        <v>147.41538531078277</v>
      </c>
      <c r="L7" s="21">
        <v>264.44299598680993</v>
      </c>
      <c r="M7" s="21">
        <v>474.35759163348752</v>
      </c>
      <c r="N7" s="21">
        <v>850.88166482689076</v>
      </c>
      <c r="O7" s="21">
        <v>1526.249217163717</v>
      </c>
      <c r="P7" s="21">
        <v>2737.6446564001749</v>
      </c>
      <c r="Q7" s="21">
        <v>4910.4988782702194</v>
      </c>
      <c r="R7" s="21">
        <v>8807.8949911563068</v>
      </c>
      <c r="S7" s="22">
        <v>15798.552955893007</v>
      </c>
      <c r="T7" s="22">
        <v>28337.505727297215</v>
      </c>
      <c r="U7" s="22">
        <v>50828.273867182019</v>
      </c>
      <c r="V7" s="22">
        <v>91169.322707967905</v>
      </c>
      <c r="W7" s="22">
        <v>163527.89693150006</v>
      </c>
      <c r="X7" s="22">
        <v>293315.36578976561</v>
      </c>
      <c r="Y7" s="22">
        <v>526111.35298100638</v>
      </c>
      <c r="Z7" s="22">
        <v>943670.6850026733</v>
      </c>
      <c r="AA7" s="22">
        <v>1692634.5819356665</v>
      </c>
      <c r="AB7" s="22">
        <v>3036029.0728721851</v>
      </c>
      <c r="AC7" s="22">
        <v>5445636.1835484738</v>
      </c>
      <c r="AD7" s="22">
        <v>9767677.4089870583</v>
      </c>
      <c r="AE7" s="22">
        <v>17519995.267703582</v>
      </c>
      <c r="AF7" s="22">
        <v>31425099.083207078</v>
      </c>
      <c r="AG7" s="22">
        <v>56366273.467664003</v>
      </c>
      <c r="AH7" s="22">
        <v>101102521.88629809</v>
      </c>
      <c r="AI7" s="22">
        <v>181344610.306499</v>
      </c>
      <c r="AJ7" s="22">
        <v>325272475.89135277</v>
      </c>
      <c r="AK7" s="22">
        <v>583431640.10810816</v>
      </c>
      <c r="AL7" s="22">
        <v>1046484112.7944053</v>
      </c>
      <c r="AM7" s="22">
        <v>1877047664.8032389</v>
      </c>
      <c r="AN7" s="22">
        <v>3366804991.5011168</v>
      </c>
      <c r="AO7" s="22">
        <v>6038938733.5621691</v>
      </c>
      <c r="AP7" s="22">
        <v>10831866150.045967</v>
      </c>
      <c r="AQ7" s="22">
        <v>19428798577.938679</v>
      </c>
      <c r="AR7" s="22">
        <v>34848862506.65506</v>
      </c>
      <c r="AS7" s="22">
        <v>62507376000.407936</v>
      </c>
      <c r="AT7" s="22">
        <v>112117635219.319</v>
      </c>
      <c r="AU7" s="22">
        <v>201102092764.58636</v>
      </c>
      <c r="AV7" s="22">
        <v>360710887583.58813</v>
      </c>
      <c r="AW7" s="22">
        <v>646996471451.2804</v>
      </c>
      <c r="AX7" s="22">
        <v>1160498472536.1526</v>
      </c>
      <c r="AY7" s="22">
        <v>2081551854112.2488</v>
      </c>
      <c r="AZ7" s="22">
        <v>3733618116599.5571</v>
      </c>
      <c r="BA7" s="22">
        <v>6696880605226.3047</v>
      </c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2"/>
    </row>
    <row r="8" spans="2:103" x14ac:dyDescent="0.25">
      <c r="B8" s="6">
        <v>5</v>
      </c>
      <c r="C8" s="8"/>
      <c r="D8" s="8"/>
      <c r="E8" s="8"/>
      <c r="F8" s="8"/>
      <c r="G8" s="8">
        <v>0</v>
      </c>
      <c r="H8" s="23">
        <v>10.91317148830281</v>
      </c>
      <c r="I8" s="21">
        <v>19.588566753401256</v>
      </c>
      <c r="J8" s="21">
        <v>35.153048933120623</v>
      </c>
      <c r="K8" s="21">
        <v>63.07493968738406</v>
      </c>
      <c r="L8" s="21">
        <v>113.16266204700855</v>
      </c>
      <c r="M8" s="21">
        <v>203.00936058558139</v>
      </c>
      <c r="N8" s="21">
        <v>364.1714250111778</v>
      </c>
      <c r="O8" s="21">
        <v>653.25073666548792</v>
      </c>
      <c r="P8" s="21">
        <v>1171.7725772392803</v>
      </c>
      <c r="Q8" s="21">
        <v>2101.840054676597</v>
      </c>
      <c r="R8" s="21">
        <v>3770.086398967499</v>
      </c>
      <c r="S8" s="22">
        <v>6762.3843091171448</v>
      </c>
      <c r="T8" s="22">
        <v>12129.596723678216</v>
      </c>
      <c r="U8" s="22">
        <v>21756.625906984194</v>
      </c>
      <c r="V8" s="22">
        <v>39024.365907760206</v>
      </c>
      <c r="W8" s="22">
        <v>69997.027155520278</v>
      </c>
      <c r="X8" s="22">
        <v>125551.80555682341</v>
      </c>
      <c r="Y8" s="22">
        <v>225198.80710783749</v>
      </c>
      <c r="Z8" s="22">
        <v>403932.73393544351</v>
      </c>
      <c r="AA8" s="22">
        <v>724522.55132249917</v>
      </c>
      <c r="AB8" s="22">
        <v>1299555.1007071133</v>
      </c>
      <c r="AC8" s="22">
        <v>2330974.0776587925</v>
      </c>
      <c r="AD8" s="22">
        <v>4180999.9295834424</v>
      </c>
      <c r="AE8" s="22">
        <v>7499336.7828371078</v>
      </c>
      <c r="AF8" s="22">
        <v>13451339.752993185</v>
      </c>
      <c r="AG8" s="22">
        <v>24127271.914189197</v>
      </c>
      <c r="AH8" s="22">
        <v>43276376.444492906</v>
      </c>
      <c r="AI8" s="22">
        <v>77623560.164473325</v>
      </c>
      <c r="AJ8" s="22">
        <v>139231089.93400487</v>
      </c>
      <c r="AK8" s="22">
        <v>249734697.76576445</v>
      </c>
      <c r="AL8" s="22">
        <v>447941757.52428025</v>
      </c>
      <c r="AM8" s="22">
        <v>803459910.18493962</v>
      </c>
      <c r="AN8" s="22">
        <v>1441142326.665657</v>
      </c>
      <c r="AO8" s="22">
        <v>2584934454.1825132</v>
      </c>
      <c r="AP8" s="22">
        <v>4636520630.9010735</v>
      </c>
      <c r="AQ8" s="22">
        <v>8316390197.1122885</v>
      </c>
      <c r="AR8" s="22">
        <v>14916863614.799135</v>
      </c>
      <c r="AS8" s="22">
        <v>26755937949.370319</v>
      </c>
      <c r="AT8" s="22">
        <v>47991336113.441055</v>
      </c>
      <c r="AU8" s="22">
        <v>86080642965.948883</v>
      </c>
      <c r="AV8" s="22">
        <v>154400308332.21518</v>
      </c>
      <c r="AW8" s="22">
        <v>276943275412.17712</v>
      </c>
      <c r="AX8" s="22">
        <v>496744978189.62555</v>
      </c>
      <c r="AY8" s="22">
        <v>890996804262.95447</v>
      </c>
      <c r="AZ8" s="22">
        <v>1598154666999.0051</v>
      </c>
      <c r="BA8" s="22">
        <v>2866562851202.9678</v>
      </c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</row>
    <row r="9" spans="2:103" x14ac:dyDescent="0.25">
      <c r="B9" s="6">
        <v>6</v>
      </c>
      <c r="C9" s="9"/>
      <c r="D9" s="9"/>
      <c r="E9" s="9"/>
      <c r="F9" s="9"/>
      <c r="G9" s="9"/>
      <c r="H9" s="9">
        <v>0</v>
      </c>
      <c r="I9" s="21">
        <v>8.3696982542352583</v>
      </c>
      <c r="J9" s="21">
        <v>15.02800433878145</v>
      </c>
      <c r="K9" s="21">
        <v>26.97512031219533</v>
      </c>
      <c r="L9" s="21">
        <v>48.409427135262526</v>
      </c>
      <c r="M9" s="21">
        <v>86.86150230513158</v>
      </c>
      <c r="N9" s="21">
        <v>155.83879194459001</v>
      </c>
      <c r="O9" s="21">
        <v>279.56929333850985</v>
      </c>
      <c r="P9" s="21">
        <v>501.5101731077192</v>
      </c>
      <c r="Q9" s="21">
        <v>899.60943935555599</v>
      </c>
      <c r="R9" s="21">
        <v>1613.6803646986771</v>
      </c>
      <c r="S9" s="22">
        <v>2894.5021884020575</v>
      </c>
      <c r="T9" s="22">
        <v>5191.890599274715</v>
      </c>
      <c r="U9" s="22">
        <v>9312.6671612305927</v>
      </c>
      <c r="V9" s="22">
        <v>16704.004409718127</v>
      </c>
      <c r="W9" s="22">
        <v>29961.653592359162</v>
      </c>
      <c r="X9" s="22">
        <v>53741.537776716606</v>
      </c>
      <c r="Y9" s="22">
        <v>96394.84951679864</v>
      </c>
      <c r="Z9" s="22">
        <v>172900.87729481104</v>
      </c>
      <c r="AA9" s="22">
        <v>310127.52976354078</v>
      </c>
      <c r="AB9" s="22">
        <v>556266.98282662826</v>
      </c>
      <c r="AC9" s="22">
        <v>997760.12131373736</v>
      </c>
      <c r="AD9" s="22">
        <v>1789653.4104681769</v>
      </c>
      <c r="AE9" s="22">
        <v>3210049.1202913239</v>
      </c>
      <c r="AF9" s="22">
        <v>5757771.0857160427</v>
      </c>
      <c r="AG9" s="22">
        <v>10327544.897750879</v>
      </c>
      <c r="AH9" s="22">
        <v>18524213.441362899</v>
      </c>
      <c r="AI9" s="22">
        <v>33226336.030713107</v>
      </c>
      <c r="AJ9" s="22">
        <v>59597099.541565828</v>
      </c>
      <c r="AK9" s="22">
        <v>106897559.86909886</v>
      </c>
      <c r="AL9" s="22">
        <v>191738999.60687479</v>
      </c>
      <c r="AM9" s="22">
        <v>343916586.01128322</v>
      </c>
      <c r="AN9" s="22">
        <v>616873031.09213173</v>
      </c>
      <c r="AO9" s="22">
        <v>1106466949.8465552</v>
      </c>
      <c r="AP9" s="22">
        <v>1984637110.4109969</v>
      </c>
      <c r="AQ9" s="22">
        <v>3559785005.8433537</v>
      </c>
      <c r="AR9" s="22">
        <v>6385081290.7303391</v>
      </c>
      <c r="AS9" s="22">
        <v>11452731839.494715</v>
      </c>
      <c r="AT9" s="22">
        <v>20542427040.752716</v>
      </c>
      <c r="AU9" s="22">
        <v>36846345010.92794</v>
      </c>
      <c r="AV9" s="22">
        <v>66090201409.398567</v>
      </c>
      <c r="AW9" s="22">
        <v>118544043400.2989</v>
      </c>
      <c r="AX9" s="22">
        <v>212628951426.32599</v>
      </c>
      <c r="AY9" s="22">
        <v>381386273716.24872</v>
      </c>
      <c r="AZ9" s="22">
        <v>684081301259.39282</v>
      </c>
      <c r="BA9" s="22">
        <v>1227016437085.125</v>
      </c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</row>
    <row r="10" spans="2:103" x14ac:dyDescent="0.25">
      <c r="B10" s="6">
        <v>7</v>
      </c>
      <c r="C10" s="10"/>
      <c r="D10" s="10"/>
      <c r="E10" s="10"/>
      <c r="F10" s="10"/>
      <c r="G10" s="10"/>
      <c r="H10" s="10"/>
      <c r="I10" s="10">
        <v>0</v>
      </c>
      <c r="J10" s="21">
        <v>6.4158533032532761</v>
      </c>
      <c r="K10" s="21">
        <v>11.525086986184697</v>
      </c>
      <c r="L10" s="21">
        <v>20.694385229917167</v>
      </c>
      <c r="M10" s="21">
        <v>37.147099360044344</v>
      </c>
      <c r="N10" s="21">
        <v>66.664939833686404</v>
      </c>
      <c r="O10" s="21">
        <v>119.6184701303963</v>
      </c>
      <c r="P10" s="21">
        <v>214.60915783402592</v>
      </c>
      <c r="Q10" s="21">
        <v>385.00203320698296</v>
      </c>
      <c r="R10" s="21">
        <v>690.64314696178792</v>
      </c>
      <c r="S10" s="22">
        <v>1238.8768471039434</v>
      </c>
      <c r="T10" s="22">
        <v>2222.2438608854873</v>
      </c>
      <c r="U10" s="22">
        <v>3986.0992370920767</v>
      </c>
      <c r="V10" s="22">
        <v>7149.8966527985503</v>
      </c>
      <c r="W10" s="22">
        <v>12824.732492526631</v>
      </c>
      <c r="X10" s="22">
        <v>23003.548243820271</v>
      </c>
      <c r="Y10" s="22">
        <v>41261.025026580508</v>
      </c>
      <c r="Z10" s="22">
        <v>74008.963770336268</v>
      </c>
      <c r="AA10" s="22">
        <v>132748.02360856993</v>
      </c>
      <c r="AB10" s="22">
        <v>238106.59860072887</v>
      </c>
      <c r="AC10" s="22">
        <v>427085.23172229785</v>
      </c>
      <c r="AD10" s="22">
        <v>766050.70643394277</v>
      </c>
      <c r="AE10" s="22">
        <v>1374043.1652083606</v>
      </c>
      <c r="AF10" s="22">
        <v>2464581.4000942623</v>
      </c>
      <c r="AG10" s="22">
        <v>4420647.7684353981</v>
      </c>
      <c r="AH10" s="22">
        <v>7929186.4228303535</v>
      </c>
      <c r="AI10" s="22">
        <v>14222348.816118894</v>
      </c>
      <c r="AJ10" s="22">
        <v>25510208.642586187</v>
      </c>
      <c r="AK10" s="22">
        <v>45756909.855051219</v>
      </c>
      <c r="AL10" s="22">
        <v>82072820.452584058</v>
      </c>
      <c r="AM10" s="22">
        <v>147211597.63550124</v>
      </c>
      <c r="AN10" s="22">
        <v>264049099.86462849</v>
      </c>
      <c r="AO10" s="22">
        <v>473617079.21177346</v>
      </c>
      <c r="AP10" s="22">
        <v>849512978.18705273</v>
      </c>
      <c r="AQ10" s="22">
        <v>1523746356.9538126</v>
      </c>
      <c r="AR10" s="22">
        <v>2733098866.8784709</v>
      </c>
      <c r="AS10" s="22">
        <v>4902278766.6137209</v>
      </c>
      <c r="AT10" s="22">
        <v>8793072723.0068188</v>
      </c>
      <c r="AU10" s="22">
        <v>15771874993.662596</v>
      </c>
      <c r="AV10" s="22">
        <v>28289546624.666306</v>
      </c>
      <c r="AW10" s="22">
        <v>50742124728.850555</v>
      </c>
      <c r="AX10" s="22">
        <v>91014651311.438156</v>
      </c>
      <c r="AY10" s="22">
        <v>163250293463.1983</v>
      </c>
      <c r="AZ10" s="22">
        <v>292817232510.83514</v>
      </c>
      <c r="BA10" s="22">
        <v>525217626471.27905</v>
      </c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</row>
    <row r="11" spans="2:103" x14ac:dyDescent="0.25">
      <c r="B11" s="6">
        <v>8</v>
      </c>
      <c r="C11" s="10"/>
      <c r="D11" s="10"/>
      <c r="E11" s="10"/>
      <c r="F11" s="10"/>
      <c r="G11" s="10"/>
      <c r="H11" s="10"/>
      <c r="I11" s="10"/>
      <c r="J11" s="10">
        <v>0</v>
      </c>
      <c r="K11" s="21">
        <v>4.9146774758161706</v>
      </c>
      <c r="L11" s="21">
        <v>8.8341156296326986</v>
      </c>
      <c r="M11" s="21">
        <v>15.870099774991527</v>
      </c>
      <c r="N11" s="21">
        <v>28.497372279027637</v>
      </c>
      <c r="O11" s="21">
        <v>51.154909018233823</v>
      </c>
      <c r="P11" s="21">
        <v>91.804863991382518</v>
      </c>
      <c r="Q11" s="21">
        <v>164.72881721047276</v>
      </c>
      <c r="R11" s="21">
        <v>295.54334530818829</v>
      </c>
      <c r="S11" s="22">
        <v>530.19633085085195</v>
      </c>
      <c r="T11" s="22">
        <v>951.10340470984147</v>
      </c>
      <c r="U11" s="22">
        <v>1706.0914278374808</v>
      </c>
      <c r="V11" s="22">
        <v>3060.313571019723</v>
      </c>
      <c r="W11" s="22">
        <v>5489.3678614420878</v>
      </c>
      <c r="X11" s="22">
        <v>9846.3211660220531</v>
      </c>
      <c r="Y11" s="22">
        <v>17661.295177683682</v>
      </c>
      <c r="Z11" s="22">
        <v>31678.824963169693</v>
      </c>
      <c r="AA11" s="22">
        <v>56821.703148890338</v>
      </c>
      <c r="AB11" s="22">
        <v>101919.79881786405</v>
      </c>
      <c r="AC11" s="22">
        <v>182810.98897208681</v>
      </c>
      <c r="AD11" s="22">
        <v>327903.20780466084</v>
      </c>
      <c r="AE11" s="22">
        <v>588150.93034263223</v>
      </c>
      <c r="AF11" s="22">
        <v>1054949.6967193566</v>
      </c>
      <c r="AG11" s="22">
        <v>1892232.9922044924</v>
      </c>
      <c r="AH11" s="22">
        <v>3394043.4735357957</v>
      </c>
      <c r="AI11" s="22">
        <v>6087796.7782621793</v>
      </c>
      <c r="AJ11" s="22">
        <v>10919502.771475391</v>
      </c>
      <c r="AK11" s="22">
        <v>19585991.428747959</v>
      </c>
      <c r="AL11" s="22">
        <v>35130816.595708534</v>
      </c>
      <c r="AM11" s="22">
        <v>63013110.971608639</v>
      </c>
      <c r="AN11" s="22">
        <v>113024759.74261352</v>
      </c>
      <c r="AO11" s="22">
        <v>202729178.3361024</v>
      </c>
      <c r="AP11" s="22">
        <v>363629346.5714978</v>
      </c>
      <c r="AQ11" s="22">
        <v>652231229.44623566</v>
      </c>
      <c r="AR11" s="22">
        <v>1169887908.425117</v>
      </c>
      <c r="AS11" s="22">
        <v>2098393413.9668634</v>
      </c>
      <c r="AT11" s="22">
        <v>3763826332.2534866</v>
      </c>
      <c r="AU11" s="22">
        <v>6751064198.0183868</v>
      </c>
      <c r="AV11" s="22">
        <v>12109184580.677874</v>
      </c>
      <c r="AW11" s="22">
        <v>21719886949.40876</v>
      </c>
      <c r="AX11" s="22">
        <v>38958320097.304535</v>
      </c>
      <c r="AY11" s="22">
        <v>69878388785.498245</v>
      </c>
      <c r="AZ11" s="22">
        <v>125338803282.33757</v>
      </c>
      <c r="BA11" s="22">
        <v>224816511664.16324</v>
      </c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/>
    </row>
    <row r="12" spans="2:103" x14ac:dyDescent="0.25">
      <c r="B12" s="6">
        <v>9</v>
      </c>
      <c r="C12" s="10"/>
      <c r="D12" s="10"/>
      <c r="E12" s="10"/>
      <c r="F12" s="10"/>
      <c r="G12" s="10"/>
      <c r="H12" s="10"/>
      <c r="I12" s="10"/>
      <c r="J12" s="10"/>
      <c r="K12" s="10">
        <v>0</v>
      </c>
      <c r="L12" s="21">
        <v>3.7610433523106437</v>
      </c>
      <c r="M12" s="21">
        <v>6.766476368657198</v>
      </c>
      <c r="N12" s="21">
        <v>12.163896383948419</v>
      </c>
      <c r="O12" s="21">
        <v>21.853270504437795</v>
      </c>
      <c r="P12" s="21">
        <v>39.242653150766451</v>
      </c>
      <c r="Q12" s="21">
        <v>70.445088376499953</v>
      </c>
      <c r="R12" s="21">
        <v>126.4254720125102</v>
      </c>
      <c r="S12" s="22">
        <v>226.85134160890337</v>
      </c>
      <c r="T12" s="22">
        <v>406.99996148865762</v>
      </c>
      <c r="U12" s="22">
        <v>730.14739749845421</v>
      </c>
      <c r="V12" s="22">
        <v>1309.7904691556389</v>
      </c>
      <c r="W12" s="22">
        <v>2349.5056300300157</v>
      </c>
      <c r="X12" s="22">
        <v>4214.4426690413893</v>
      </c>
      <c r="Y12" s="22">
        <v>7559.56084405823</v>
      </c>
      <c r="Z12" s="22">
        <v>13559.642239923407</v>
      </c>
      <c r="AA12" s="22">
        <v>24321.859940257487</v>
      </c>
      <c r="AB12" s="22">
        <v>43625.789397981331</v>
      </c>
      <c r="AC12" s="22">
        <v>78250.745023192794</v>
      </c>
      <c r="AD12" s="22">
        <v>140356.58468761569</v>
      </c>
      <c r="AE12" s="22">
        <v>251754.08853917531</v>
      </c>
      <c r="AF12" s="22">
        <v>451564.61148262135</v>
      </c>
      <c r="AG12" s="22">
        <v>809958.97579486261</v>
      </c>
      <c r="AH12" s="22">
        <v>1452800.5173300242</v>
      </c>
      <c r="AI12" s="22">
        <v>2605846.5901573119</v>
      </c>
      <c r="AJ12" s="22">
        <v>4674031.5007693963</v>
      </c>
      <c r="AK12" s="22">
        <v>8383673.966979838</v>
      </c>
      <c r="AL12" s="22">
        <v>15037550.439342193</v>
      </c>
      <c r="AM12" s="22">
        <v>26972412.588574901</v>
      </c>
      <c r="AN12" s="22">
        <v>48379622.917744644</v>
      </c>
      <c r="AO12" s="22">
        <v>86777104.636184961</v>
      </c>
      <c r="AP12" s="22">
        <v>155649534.69895408</v>
      </c>
      <c r="AQ12" s="22">
        <v>279183980.12766224</v>
      </c>
      <c r="AR12" s="22">
        <v>500764069.0909518</v>
      </c>
      <c r="AS12" s="22">
        <v>898205734.8373872</v>
      </c>
      <c r="AT12" s="22">
        <v>1611085119.8531504</v>
      </c>
      <c r="AU12" s="22">
        <v>2889755830.8734837</v>
      </c>
      <c r="AV12" s="22">
        <v>5183269742.2850504</v>
      </c>
      <c r="AW12" s="22">
        <v>9297077945.9055862</v>
      </c>
      <c r="AX12" s="22">
        <v>16675894289.520365</v>
      </c>
      <c r="AY12" s="22">
        <v>29911059356.269024</v>
      </c>
      <c r="AZ12" s="22">
        <v>53650584257.885605</v>
      </c>
      <c r="BA12" s="22">
        <v>96231469323.572052</v>
      </c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</row>
    <row r="13" spans="2:103" x14ac:dyDescent="0.25">
      <c r="B13" s="6">
        <v>10</v>
      </c>
      <c r="C13" s="10"/>
      <c r="D13" s="10"/>
      <c r="E13" s="10"/>
      <c r="F13" s="10"/>
      <c r="G13" s="10"/>
      <c r="H13" s="10"/>
      <c r="I13" s="10"/>
      <c r="J13" s="10"/>
      <c r="K13" s="10"/>
      <c r="L13" s="10">
        <v>0</v>
      </c>
      <c r="M13" s="21">
        <v>2.8742698535386988</v>
      </c>
      <c r="N13" s="21">
        <v>5.1773938491461822</v>
      </c>
      <c r="O13" s="21">
        <v>9.3160226285533216</v>
      </c>
      <c r="P13" s="21">
        <v>16.748804125250789</v>
      </c>
      <c r="Q13" s="21">
        <v>30.092266066331899</v>
      </c>
      <c r="R13" s="21">
        <v>54.039753565890692</v>
      </c>
      <c r="S13" s="22">
        <v>97.009709664745571</v>
      </c>
      <c r="T13" s="22">
        <v>174.1021752049497</v>
      </c>
      <c r="U13" s="22">
        <v>312.40182054506909</v>
      </c>
      <c r="V13" s="22">
        <v>560.4898924508426</v>
      </c>
      <c r="W13" s="22">
        <v>1005.5055657852057</v>
      </c>
      <c r="X13" s="22">
        <v>1803.7484240355407</v>
      </c>
      <c r="Y13" s="22">
        <v>3235.5692385705538</v>
      </c>
      <c r="Z13" s="22">
        <v>5803.8259297046643</v>
      </c>
      <c r="AA13" s="22">
        <v>10410.481098639151</v>
      </c>
      <c r="AB13" s="22">
        <v>18673.359797335655</v>
      </c>
      <c r="AC13" s="22">
        <v>33494.308603361635</v>
      </c>
      <c r="AD13" s="22">
        <v>60078.285821033351</v>
      </c>
      <c r="AE13" s="22">
        <v>107761.27355141254</v>
      </c>
      <c r="AF13" s="22">
        <v>193288.9496806867</v>
      </c>
      <c r="AG13" s="22">
        <v>346697.54511239106</v>
      </c>
      <c r="AH13" s="22">
        <v>621862.16386429744</v>
      </c>
      <c r="AI13" s="22">
        <v>1115416.9935402209</v>
      </c>
      <c r="AJ13" s="22">
        <v>2000691.928456818</v>
      </c>
      <c r="AK13" s="22">
        <v>3588583.6889058156</v>
      </c>
      <c r="AL13" s="22">
        <v>6436738.5510903979</v>
      </c>
      <c r="AM13" s="22">
        <v>11545390.187068507</v>
      </c>
      <c r="AN13" s="22">
        <v>20708628.217620503</v>
      </c>
      <c r="AO13" s="22">
        <v>37144458.246851183</v>
      </c>
      <c r="AP13" s="22">
        <v>66624921.94813031</v>
      </c>
      <c r="AQ13" s="22">
        <v>119503160.10317683</v>
      </c>
      <c r="AR13" s="22">
        <v>214349295.73990268</v>
      </c>
      <c r="AS13" s="22">
        <v>384472010.39162189</v>
      </c>
      <c r="AT13" s="22">
        <v>689616102.92699933</v>
      </c>
      <c r="AU13" s="22">
        <v>1236944055.5303469</v>
      </c>
      <c r="AV13" s="22">
        <v>2218670049.258297</v>
      </c>
      <c r="AW13" s="22">
        <v>3979562986.8475986</v>
      </c>
      <c r="AX13" s="22">
        <v>7138024672.1432257</v>
      </c>
      <c r="AY13" s="22">
        <v>12803264166.502094</v>
      </c>
      <c r="AZ13" s="22">
        <v>22964837021.229939</v>
      </c>
      <c r="BA13" s="22">
        <v>41191350300.21888</v>
      </c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</row>
    <row r="14" spans="2:103" x14ac:dyDescent="0.25">
      <c r="B14" s="6">
        <v>11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>
        <v>0</v>
      </c>
      <c r="N14" s="21">
        <v>2.1924517152881262</v>
      </c>
      <c r="O14" s="21">
        <v>3.9557616440735499</v>
      </c>
      <c r="P14" s="21">
        <v>7.127100297102646</v>
      </c>
      <c r="Q14" s="21">
        <v>12.826248004045031</v>
      </c>
      <c r="R14" s="21">
        <v>23.061995835776557</v>
      </c>
      <c r="S14" s="22">
        <v>41.437672939623731</v>
      </c>
      <c r="T14" s="22">
        <v>74.416630017142978</v>
      </c>
      <c r="U14" s="22">
        <v>133.59212395825381</v>
      </c>
      <c r="V14" s="22">
        <v>239.75879430567329</v>
      </c>
      <c r="W14" s="22">
        <v>430.21562313929849</v>
      </c>
      <c r="X14" s="22">
        <v>771.86511756112429</v>
      </c>
      <c r="Y14" s="22">
        <v>1384.708991008755</v>
      </c>
      <c r="Z14" s="22">
        <v>2483.9917051864945</v>
      </c>
      <c r="AA14" s="22">
        <v>4455.7920915016948</v>
      </c>
      <c r="AB14" s="22">
        <v>7992.6097806351645</v>
      </c>
      <c r="AC14" s="22">
        <v>14336.562550346036</v>
      </c>
      <c r="AD14" s="22">
        <v>25715.602229069504</v>
      </c>
      <c r="AE14" s="22">
        <v>46125.942324926022</v>
      </c>
      <c r="AF14" s="22">
        <v>82735.475437856308</v>
      </c>
      <c r="AG14" s="22">
        <v>148401.04172785231</v>
      </c>
      <c r="AH14" s="22">
        <v>266183.57914460939</v>
      </c>
      <c r="AI14" s="22">
        <v>477446.81520139187</v>
      </c>
      <c r="AJ14" s="22">
        <v>856383.65144756075</v>
      </c>
      <c r="AK14" s="22">
        <v>1536071.7106163795</v>
      </c>
      <c r="AL14" s="22">
        <v>2755208.4025607328</v>
      </c>
      <c r="AM14" s="22">
        <v>4941938.232635349</v>
      </c>
      <c r="AN14" s="22">
        <v>8864211.3704781868</v>
      </c>
      <c r="AO14" s="22">
        <v>15899477.376703952</v>
      </c>
      <c r="AP14" s="22">
        <v>28518426.879796244</v>
      </c>
      <c r="AQ14" s="22">
        <v>51152664.742956482</v>
      </c>
      <c r="AR14" s="22">
        <v>91751029.811486363</v>
      </c>
      <c r="AS14" s="22">
        <v>164571119.7039699</v>
      </c>
      <c r="AT14" s="22">
        <v>295186366.42927909</v>
      </c>
      <c r="AU14" s="22">
        <v>529467080.1203652</v>
      </c>
      <c r="AV14" s="22">
        <v>949689482.07393408</v>
      </c>
      <c r="AW14" s="22">
        <v>1703430001.8011591</v>
      </c>
      <c r="AX14" s="22">
        <v>3055392124.7342272</v>
      </c>
      <c r="AY14" s="22">
        <v>5480366679.111557</v>
      </c>
      <c r="AZ14" s="22">
        <v>9829971958.5235043</v>
      </c>
      <c r="BA14" s="22">
        <v>17631730557.817699</v>
      </c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</row>
    <row r="15" spans="2:103" x14ac:dyDescent="0.25">
      <c r="B15" s="6">
        <v>12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>
        <v>0</v>
      </c>
      <c r="O15" s="21">
        <v>1.6681048859404188</v>
      </c>
      <c r="P15" s="21">
        <v>3.0163342993063207</v>
      </c>
      <c r="Q15" s="21">
        <v>5.4441221896133207</v>
      </c>
      <c r="R15" s="21">
        <v>9.8110237998538334</v>
      </c>
      <c r="S15" s="22">
        <v>17.659186324847525</v>
      </c>
      <c r="T15" s="22">
        <v>31.755032226356327</v>
      </c>
      <c r="U15" s="22">
        <v>57.060844573502926</v>
      </c>
      <c r="V15" s="22">
        <v>102.47748448480428</v>
      </c>
      <c r="W15" s="22">
        <v>183.97030415668749</v>
      </c>
      <c r="X15" s="22">
        <v>330.17609435892973</v>
      </c>
      <c r="Y15" s="22">
        <v>592.46021173372526</v>
      </c>
      <c r="Z15" s="22">
        <v>1062.9558552174663</v>
      </c>
      <c r="AA15" s="22">
        <v>1906.9206493612921</v>
      </c>
      <c r="AB15" s="22">
        <v>3420.7737015491857</v>
      </c>
      <c r="AC15" s="22">
        <v>6136.194917970256</v>
      </c>
      <c r="AD15" s="22">
        <v>11006.844818508935</v>
      </c>
      <c r="AE15" s="22">
        <v>19743.278330743004</v>
      </c>
      <c r="AF15" s="22">
        <v>35413.669806271238</v>
      </c>
      <c r="AG15" s="22">
        <v>63521.315831814667</v>
      </c>
      <c r="AH15" s="22">
        <v>113937.32032100753</v>
      </c>
      <c r="AI15" s="22">
        <v>204367.19481980434</v>
      </c>
      <c r="AJ15" s="22">
        <v>366568.79725035932</v>
      </c>
      <c r="AK15" s="22">
        <v>657505.26520761568</v>
      </c>
      <c r="AL15" s="22">
        <v>1179349.703331843</v>
      </c>
      <c r="AM15" s="22">
        <v>2115367.0007008435</v>
      </c>
      <c r="AN15" s="22">
        <v>3794273.9876981066</v>
      </c>
      <c r="AO15" s="22">
        <v>6805680.3497955101</v>
      </c>
      <c r="AP15" s="22">
        <v>12207151.587227998</v>
      </c>
      <c r="AQ15" s="22">
        <v>21895611.733890444</v>
      </c>
      <c r="AR15" s="22">
        <v>39273517.451352276</v>
      </c>
      <c r="AS15" s="22">
        <v>70443754.837294415</v>
      </c>
      <c r="AT15" s="22">
        <v>126352890.55981398</v>
      </c>
      <c r="AU15" s="22">
        <v>226635458.15219331</v>
      </c>
      <c r="AV15" s="22">
        <v>406509340.86320788</v>
      </c>
      <c r="AW15" s="22">
        <v>729143816.33564591</v>
      </c>
      <c r="AX15" s="22">
        <v>1307843753.2618504</v>
      </c>
      <c r="AY15" s="22">
        <v>2345840750.0832262</v>
      </c>
      <c r="AZ15" s="22">
        <v>4207665325.9049368</v>
      </c>
      <c r="BA15" s="22">
        <v>7547165112.5461731</v>
      </c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</row>
    <row r="16" spans="2:103" x14ac:dyDescent="0.25">
      <c r="B16" s="6">
        <v>13</v>
      </c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>
        <v>0</v>
      </c>
      <c r="P16" s="21">
        <v>1.2648213793548677</v>
      </c>
      <c r="Q16" s="21">
        <v>2.2937315075236646</v>
      </c>
      <c r="R16" s="21">
        <v>4.1497014174021478</v>
      </c>
      <c r="S16" s="22">
        <v>7.4924184344588598</v>
      </c>
      <c r="T16" s="22">
        <v>13.505689677484929</v>
      </c>
      <c r="U16" s="22">
        <v>24.313341162928896</v>
      </c>
      <c r="V16" s="22">
        <v>43.72516379835271</v>
      </c>
      <c r="W16" s="22">
        <v>78.574886743787474</v>
      </c>
      <c r="X16" s="22">
        <v>141.12010346024837</v>
      </c>
      <c r="Y16" s="22">
        <v>253.34704942073753</v>
      </c>
      <c r="Z16" s="22">
        <v>454.69210238825559</v>
      </c>
      <c r="AA16" s="22">
        <v>815.89176855969072</v>
      </c>
      <c r="AB16" s="22">
        <v>1463.8251156346034</v>
      </c>
      <c r="AC16" s="22">
        <v>2626.072955275431</v>
      </c>
      <c r="AD16" s="22">
        <v>4710.8422911410426</v>
      </c>
      <c r="AE16" s="22">
        <v>8450.3243518901854</v>
      </c>
      <c r="AF16" s="22">
        <v>15157.831592496219</v>
      </c>
      <c r="AG16" s="22">
        <v>27189.01674827866</v>
      </c>
      <c r="AH16" s="22">
        <v>48769.147927242098</v>
      </c>
      <c r="AI16" s="22">
        <v>87476.967659145186</v>
      </c>
      <c r="AJ16" s="22">
        <v>156906.24720809891</v>
      </c>
      <c r="AK16" s="22">
        <v>281439.73810580809</v>
      </c>
      <c r="AL16" s="22">
        <v>504812.06823270797</v>
      </c>
      <c r="AM16" s="22">
        <v>905468.75591448473</v>
      </c>
      <c r="AN16" s="22">
        <v>1624115.220319656</v>
      </c>
      <c r="AO16" s="22">
        <v>2913130.6284252135</v>
      </c>
      <c r="AP16" s="22">
        <v>5225200.0539567713</v>
      </c>
      <c r="AQ16" s="22">
        <v>9372291.3648990467</v>
      </c>
      <c r="AR16" s="22">
        <v>16810807.374229427</v>
      </c>
      <c r="AS16" s="22">
        <v>30153054.835860711</v>
      </c>
      <c r="AT16" s="22">
        <v>54084651.285389982</v>
      </c>
      <c r="AU16" s="22">
        <v>97010050.610513538</v>
      </c>
      <c r="AV16" s="22">
        <v>174004073.69402251</v>
      </c>
      <c r="AW16" s="22">
        <v>312105981.80438536</v>
      </c>
      <c r="AX16" s="22">
        <v>559815299.76463306</v>
      </c>
      <c r="AY16" s="22">
        <v>1004124193.6696959</v>
      </c>
      <c r="AZ16" s="22">
        <v>1801067944.0302391</v>
      </c>
      <c r="BA16" s="22">
        <v>3230522427.6502976</v>
      </c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</row>
    <row r="17" spans="2:103" x14ac:dyDescent="0.25">
      <c r="B17" s="6">
        <v>14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>
        <v>0</v>
      </c>
      <c r="Q17" s="21">
        <v>0.95469817795058731</v>
      </c>
      <c r="R17" s="21">
        <v>1.7378321786198561</v>
      </c>
      <c r="S17" s="22">
        <v>3.1538162302260417</v>
      </c>
      <c r="T17" s="22">
        <v>5.708782125591898</v>
      </c>
      <c r="U17" s="22">
        <v>10.311317399134339</v>
      </c>
      <c r="V17" s="22">
        <v>18.591806641370333</v>
      </c>
      <c r="W17" s="22">
        <v>33.475152227638674</v>
      </c>
      <c r="X17" s="22">
        <v>60.208003201219931</v>
      </c>
      <c r="Y17" s="22">
        <v>108.20128213020358</v>
      </c>
      <c r="Z17" s="22">
        <v>194.33517105295664</v>
      </c>
      <c r="AA17" s="22">
        <v>348.88734964151314</v>
      </c>
      <c r="AB17" s="22">
        <v>626.16653005243472</v>
      </c>
      <c r="AC17" s="22">
        <v>1123.5857223505586</v>
      </c>
      <c r="AD17" s="22">
        <v>2015.8734999046546</v>
      </c>
      <c r="AE17" s="22">
        <v>3616.4377132949098</v>
      </c>
      <c r="AF17" s="22">
        <v>6487.431643811432</v>
      </c>
      <c r="AG17" s="22">
        <v>11637.176273295045</v>
      </c>
      <c r="AH17" s="22">
        <v>20874.270733155263</v>
      </c>
      <c r="AI17" s="22">
        <v>37442.749849049884</v>
      </c>
      <c r="AJ17" s="22">
        <v>67161.347653612509</v>
      </c>
      <c r="AK17" s="22">
        <v>120466.96090332749</v>
      </c>
      <c r="AL17" s="22">
        <v>216079.94942803436</v>
      </c>
      <c r="AM17" s="22">
        <v>387578.47733294882</v>
      </c>
      <c r="AN17" s="22">
        <v>695190.71493511996</v>
      </c>
      <c r="AO17" s="22">
        <v>1246946.1635085747</v>
      </c>
      <c r="AP17" s="22">
        <v>2236614.162382809</v>
      </c>
      <c r="AQ17" s="22">
        <v>4011753.0695418175</v>
      </c>
      <c r="AR17" s="22">
        <v>7195768.0685136132</v>
      </c>
      <c r="AS17" s="22">
        <v>12906842.654048624</v>
      </c>
      <c r="AT17" s="22">
        <v>23150629.575955</v>
      </c>
      <c r="AU17" s="22">
        <v>41524608.9940084</v>
      </c>
      <c r="AV17" s="22">
        <v>74481474.909538969</v>
      </c>
      <c r="AW17" s="22">
        <v>133595234.11537457</v>
      </c>
      <c r="AX17" s="22">
        <v>239625840.9915984</v>
      </c>
      <c r="AY17" s="22">
        <v>429809812.95815217</v>
      </c>
      <c r="AZ17" s="22">
        <v>770937192.20593286</v>
      </c>
      <c r="BA17" s="22">
        <v>1382807305.943994</v>
      </c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</row>
    <row r="18" spans="2:103" x14ac:dyDescent="0.25">
      <c r="B18" s="6">
        <v>15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>
        <v>0</v>
      </c>
      <c r="R18" s="21">
        <v>0.71635944393379158</v>
      </c>
      <c r="S18" s="22">
        <v>1.3102339890009731</v>
      </c>
      <c r="T18" s="22">
        <v>2.3874686037166324</v>
      </c>
      <c r="U18" s="22">
        <v>4.3361632582892948</v>
      </c>
      <c r="V18" s="22">
        <v>7.853461352802122</v>
      </c>
      <c r="W18" s="22">
        <v>14.190777985748621</v>
      </c>
      <c r="X18" s="22">
        <v>25.593546570977185</v>
      </c>
      <c r="Y18" s="22">
        <v>46.089884200325784</v>
      </c>
      <c r="Z18" s="22">
        <v>82.905164538019932</v>
      </c>
      <c r="AA18" s="22">
        <v>148.99937006471617</v>
      </c>
      <c r="AB18" s="22">
        <v>267.61847019307055</v>
      </c>
      <c r="AC18" s="22">
        <v>480.45840250949465</v>
      </c>
      <c r="AD18" s="22">
        <v>862.308895010475</v>
      </c>
      <c r="AE18" s="22">
        <v>1547.31989065988</v>
      </c>
      <c r="AF18" s="22">
        <v>2776.1148974352209</v>
      </c>
      <c r="AG18" s="22">
        <v>4980.2966556606316</v>
      </c>
      <c r="AH18" s="22">
        <v>8934.0222177982741</v>
      </c>
      <c r="AI18" s="22">
        <v>16025.878544426256</v>
      </c>
      <c r="AJ18" s="22">
        <v>28746.537786893612</v>
      </c>
      <c r="AK18" s="22">
        <v>51563.450390212587</v>
      </c>
      <c r="AL18" s="22">
        <v>92489.756544009419</v>
      </c>
      <c r="AM18" s="22">
        <v>165898.39654514656</v>
      </c>
      <c r="AN18" s="22">
        <v>297569.69767365564</v>
      </c>
      <c r="AO18" s="22">
        <v>533745.08199425845</v>
      </c>
      <c r="AP18" s="22">
        <v>957366.43504571775</v>
      </c>
      <c r="AQ18" s="22">
        <v>1717204.1823998629</v>
      </c>
      <c r="AR18" s="22">
        <v>3080103.4611243783</v>
      </c>
      <c r="AS18" s="22">
        <v>5524696.5357260387</v>
      </c>
      <c r="AT18" s="22">
        <v>9909491.9928722233</v>
      </c>
      <c r="AU18" s="22">
        <v>17774371.368805956</v>
      </c>
      <c r="AV18" s="22">
        <v>31881374.750904806</v>
      </c>
      <c r="AW18" s="22">
        <v>57184691.948843576</v>
      </c>
      <c r="AX18" s="22">
        <v>102570507.02661809</v>
      </c>
      <c r="AY18" s="22">
        <v>183977706.08324462</v>
      </c>
      <c r="AZ18" s="22">
        <v>329995398.68188351</v>
      </c>
      <c r="BA18" s="22">
        <v>591903026.80871618</v>
      </c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</row>
    <row r="19" spans="2:103" x14ac:dyDescent="0.25">
      <c r="B19" s="6">
        <v>16</v>
      </c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>
        <v>0</v>
      </c>
      <c r="S19" s="22">
        <v>0.5334334180044995</v>
      </c>
      <c r="T19" s="22">
        <v>0.981529245733331</v>
      </c>
      <c r="U19" s="22">
        <v>1.7978094194230914</v>
      </c>
      <c r="V19" s="22">
        <v>3.279578454901849</v>
      </c>
      <c r="W19" s="22">
        <v>5.9614483403964362</v>
      </c>
      <c r="X19" s="22">
        <v>10.803690967486883</v>
      </c>
      <c r="Y19" s="22">
        <v>19.529924990064192</v>
      </c>
      <c r="Z19" s="22">
        <v>35.232651551967464</v>
      </c>
      <c r="AA19" s="22">
        <v>63.459273198729683</v>
      </c>
      <c r="AB19" s="22">
        <v>114.16006510069197</v>
      </c>
      <c r="AC19" s="22">
        <v>205.18238818252897</v>
      </c>
      <c r="AD19" s="22">
        <v>368.53853932722046</v>
      </c>
      <c r="AE19" s="22">
        <v>661.64869767187577</v>
      </c>
      <c r="AF19" s="22">
        <v>1187.5074916312014</v>
      </c>
      <c r="AG19" s="22">
        <v>2130.8563552038622</v>
      </c>
      <c r="AH19" s="22">
        <v>3823.0646669602784</v>
      </c>
      <c r="AI19" s="22">
        <v>6858.5047639518898</v>
      </c>
      <c r="AJ19" s="22">
        <v>12303.290043324312</v>
      </c>
      <c r="AK19" s="22">
        <v>22069.682291405315</v>
      </c>
      <c r="AL19" s="22">
        <v>39587.655314863921</v>
      </c>
      <c r="AM19" s="22">
        <v>71009.4591573215</v>
      </c>
      <c r="AN19" s="22">
        <v>127370.21165342863</v>
      </c>
      <c r="AO19" s="22">
        <v>228463.28794113777</v>
      </c>
      <c r="AP19" s="22">
        <v>409791.49249144824</v>
      </c>
      <c r="AQ19" s="22">
        <v>735035.17149206542</v>
      </c>
      <c r="AR19" s="22">
        <v>1318415.8983447945</v>
      </c>
      <c r="AS19" s="22">
        <v>2364809.5566166788</v>
      </c>
      <c r="AT19" s="22">
        <v>4241695.9933416592</v>
      </c>
      <c r="AU19" s="22">
        <v>7608212.9888790064</v>
      </c>
      <c r="AV19" s="22">
        <v>13646636.55384919</v>
      </c>
      <c r="AW19" s="22">
        <v>24477580.305600792</v>
      </c>
      <c r="AX19" s="22">
        <v>43904726.334670365</v>
      </c>
      <c r="AY19" s="22">
        <v>78750626.977751344</v>
      </c>
      <c r="AZ19" s="22">
        <v>141252693.02837217</v>
      </c>
      <c r="BA19" s="22">
        <v>253360807.06607652</v>
      </c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</row>
    <row r="20" spans="2:103" x14ac:dyDescent="0.25">
      <c r="B20" s="6">
        <v>17</v>
      </c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6">
        <v>0</v>
      </c>
      <c r="T20" s="22">
        <v>0.39337791963579527</v>
      </c>
      <c r="U20" s="22">
        <v>0.72920592791052297</v>
      </c>
      <c r="V20" s="22">
        <v>1.344386632560552</v>
      </c>
      <c r="W20" s="22">
        <v>2.4663013545298185</v>
      </c>
      <c r="X20" s="22">
        <v>4.5045235973524518</v>
      </c>
      <c r="Y20" s="22">
        <v>8.1955321669686167</v>
      </c>
      <c r="Z20" s="22">
        <v>14.862084060004284</v>
      </c>
      <c r="AA20" s="22">
        <v>26.878200795196509</v>
      </c>
      <c r="AB20" s="22">
        <v>48.502974687446333</v>
      </c>
      <c r="AC20" s="22">
        <v>87.376036862638443</v>
      </c>
      <c r="AD20" s="22">
        <v>157.20006121145752</v>
      </c>
      <c r="AE20" s="22">
        <v>282.55271702068399</v>
      </c>
      <c r="AF20" s="22">
        <v>507.51839569870322</v>
      </c>
      <c r="AG20" s="22">
        <v>911.17139346440024</v>
      </c>
      <c r="AH20" s="22">
        <v>1635.3480864837722</v>
      </c>
      <c r="AI20" s="22">
        <v>2934.46101483132</v>
      </c>
      <c r="AJ20" s="22">
        <v>5264.8484294132122</v>
      </c>
      <c r="AK20" s="22">
        <v>9445.0373322685791</v>
      </c>
      <c r="AL20" s="22">
        <v>16943.20231134005</v>
      </c>
      <c r="AM20" s="22">
        <v>30392.772233567881</v>
      </c>
      <c r="AN20" s="22">
        <v>54517.259259061051</v>
      </c>
      <c r="AO20" s="22">
        <v>97789.097736027659</v>
      </c>
      <c r="AP20" s="22">
        <v>175405.0548172839</v>
      </c>
      <c r="AQ20" s="22">
        <v>314623.13695522118</v>
      </c>
      <c r="AR20" s="22">
        <v>564335.24189864343</v>
      </c>
      <c r="AS20" s="22">
        <v>1012237.3424251651</v>
      </c>
      <c r="AT20" s="22">
        <v>1815627.13855255</v>
      </c>
      <c r="AU20" s="22">
        <v>3256644.8977838331</v>
      </c>
      <c r="AV20" s="22">
        <v>5841357.3203033861</v>
      </c>
      <c r="AW20" s="22">
        <v>10477481.343966737</v>
      </c>
      <c r="AX20" s="22">
        <v>18793162.088107694</v>
      </c>
      <c r="AY20" s="22">
        <v>33708755.442605883</v>
      </c>
      <c r="AZ20" s="22">
        <v>60462417.621046633</v>
      </c>
      <c r="BA20" s="22">
        <v>108449674.86992565</v>
      </c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</row>
    <row r="21" spans="2:103" x14ac:dyDescent="0.25">
      <c r="B21" s="6">
        <v>18</v>
      </c>
      <c r="T21" s="6">
        <v>0</v>
      </c>
      <c r="U21" s="22">
        <v>0.28657355830756315</v>
      </c>
      <c r="V21" s="22">
        <v>0.53602765714394007</v>
      </c>
      <c r="W21" s="22">
        <v>0.99625273232741129</v>
      </c>
      <c r="X21" s="22">
        <v>1.8406960555222349</v>
      </c>
      <c r="Y21" s="22">
        <v>3.3826130863092434</v>
      </c>
      <c r="Z21" s="22">
        <v>6.1863013993452203</v>
      </c>
      <c r="AA21" s="22">
        <v>11.26639869516908</v>
      </c>
      <c r="AB21" s="22">
        <v>20.445033562888284</v>
      </c>
      <c r="AC21" s="22">
        <v>36.992066709487226</v>
      </c>
      <c r="AD21" s="22">
        <v>66.773184418980904</v>
      </c>
      <c r="AE21" s="22">
        <v>120.30916896324989</v>
      </c>
      <c r="AF21" s="22">
        <v>216.46993726125049</v>
      </c>
      <c r="AG21" s="22">
        <v>389.10126431006466</v>
      </c>
      <c r="AH21" s="22">
        <v>698.91202555578082</v>
      </c>
      <c r="AI21" s="22">
        <v>1254.7968917576643</v>
      </c>
      <c r="AJ21" s="22">
        <v>2252.0824569468332</v>
      </c>
      <c r="AK21" s="22">
        <v>4041.1276042775321</v>
      </c>
      <c r="AL21" s="22">
        <v>7250.3689471654925</v>
      </c>
      <c r="AM21" s="22">
        <v>13007.023145456684</v>
      </c>
      <c r="AN21" s="22">
        <v>23332.954319707551</v>
      </c>
      <c r="AO21" s="22">
        <v>41854.730477985293</v>
      </c>
      <c r="AP21" s="22">
        <v>75077.231361154511</v>
      </c>
      <c r="AQ21" s="22">
        <v>134668.08154164621</v>
      </c>
      <c r="AR21" s="22">
        <v>241555.17099375228</v>
      </c>
      <c r="AS21" s="22">
        <v>433276.25720350951</v>
      </c>
      <c r="AT21" s="22">
        <v>777161.73001187039</v>
      </c>
      <c r="AU21" s="22">
        <v>1393980.1483513387</v>
      </c>
      <c r="AV21" s="22">
        <v>2500350.5421825647</v>
      </c>
      <c r="AW21" s="22">
        <v>4484816.1073211534</v>
      </c>
      <c r="AX21" s="22">
        <v>8044295.3471968798</v>
      </c>
      <c r="AY21" s="22">
        <v>14428830.459088614</v>
      </c>
      <c r="AZ21" s="22">
        <v>25880585.291199021</v>
      </c>
      <c r="BA21" s="22">
        <v>46421263.021223374</v>
      </c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</row>
    <row r="22" spans="2:103" x14ac:dyDescent="0.25">
      <c r="B22" s="6">
        <v>19</v>
      </c>
      <c r="U22" s="6">
        <v>0</v>
      </c>
      <c r="V22" s="22">
        <v>0.20562330719891575</v>
      </c>
      <c r="W22" s="22">
        <v>0.38878121126597115</v>
      </c>
      <c r="X22" s="22">
        <v>0.72972973361333537</v>
      </c>
      <c r="Y22" s="22">
        <v>1.3602311517087868</v>
      </c>
      <c r="Z22" s="22">
        <v>2.5192102334043422</v>
      </c>
      <c r="AA22" s="22">
        <v>4.638299676261715</v>
      </c>
      <c r="AB22" s="22">
        <v>8.4950674003033768</v>
      </c>
      <c r="AC22" s="22">
        <v>15.487468242874769</v>
      </c>
      <c r="AD22" s="22">
        <v>28.125591102840481</v>
      </c>
      <c r="AE22" s="22">
        <v>50.913151778720639</v>
      </c>
      <c r="AF22" s="22">
        <v>91.928287982162885</v>
      </c>
      <c r="AG22" s="22">
        <v>165.65918772301475</v>
      </c>
      <c r="AH22" s="22">
        <v>298.09118453672193</v>
      </c>
      <c r="AI22" s="22">
        <v>535.83284644873675</v>
      </c>
      <c r="AJ22" s="22">
        <v>962.48676104586048</v>
      </c>
      <c r="AK22" s="22">
        <v>1728.0141772100301</v>
      </c>
      <c r="AL22" s="22">
        <v>3101.4050216056598</v>
      </c>
      <c r="AM22" s="22">
        <v>5565.1490230750414</v>
      </c>
      <c r="AN22" s="22">
        <v>9984.6843788208644</v>
      </c>
      <c r="AO22" s="22">
        <v>17912.332704968816</v>
      </c>
      <c r="AP22" s="22">
        <v>32132.459217651889</v>
      </c>
      <c r="AQ22" s="22">
        <v>57639.311410031944</v>
      </c>
      <c r="AR22" s="22">
        <v>103390.93977692013</v>
      </c>
      <c r="AS22" s="22">
        <v>185455.15406085964</v>
      </c>
      <c r="AT22" s="22">
        <v>332652.33259441593</v>
      </c>
      <c r="AU22" s="22">
        <v>596676.76342252025</v>
      </c>
      <c r="AV22" s="22">
        <v>1070250.9957787122</v>
      </c>
      <c r="AW22" s="22">
        <v>1919688.7652277853</v>
      </c>
      <c r="AX22" s="22">
        <v>3443302.152212074</v>
      </c>
      <c r="AY22" s="22">
        <v>6176164.7793330699</v>
      </c>
      <c r="AZ22" s="22">
        <v>11078022.467143383</v>
      </c>
      <c r="BA22" s="22">
        <v>19870343.032107268</v>
      </c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</row>
    <row r="23" spans="2:103" x14ac:dyDescent="0.25">
      <c r="B23" s="6">
        <v>20</v>
      </c>
      <c r="V23" s="6">
        <v>0</v>
      </c>
      <c r="W23" s="22">
        <v>0.14481221898459665</v>
      </c>
      <c r="X23" s="22">
        <v>0.27730735229346498</v>
      </c>
      <c r="Y23" s="22">
        <v>0.52667821758493671</v>
      </c>
      <c r="Z23" s="22">
        <v>0.99239571466643761</v>
      </c>
      <c r="AA23" s="22">
        <v>1.8558839449650959</v>
      </c>
      <c r="AB23" s="22">
        <v>3.4463388786611264</v>
      </c>
      <c r="AC23" s="22">
        <v>6.3586253637726609</v>
      </c>
      <c r="AD23" s="22">
        <v>11.664339056353869</v>
      </c>
      <c r="AE23" s="22">
        <v>21.289708471057018</v>
      </c>
      <c r="AF23" s="22">
        <v>38.69258397972083</v>
      </c>
      <c r="AG23" s="22">
        <v>70.075993180034828</v>
      </c>
      <c r="AH23" s="22">
        <v>126.56465660943675</v>
      </c>
      <c r="AI23" s="22">
        <v>228.10971863984796</v>
      </c>
      <c r="AJ23" s="22">
        <v>410.49445241858331</v>
      </c>
      <c r="AK23" s="22">
        <v>737.90271543763686</v>
      </c>
      <c r="AL23" s="22">
        <v>1325.4645735913241</v>
      </c>
      <c r="AM23" s="22">
        <v>2379.6958008584143</v>
      </c>
      <c r="AN23" s="22">
        <v>4271.0309637041137</v>
      </c>
      <c r="AO23" s="22">
        <v>7663.9212323437705</v>
      </c>
      <c r="AP23" s="22">
        <v>13750.186076205735</v>
      </c>
      <c r="AQ23" s="22">
        <v>24667.570692035566</v>
      </c>
      <c r="AR23" s="22">
        <v>44250.501725021277</v>
      </c>
      <c r="AS23" s="22">
        <v>79376.696059961338</v>
      </c>
      <c r="AT23" s="22">
        <v>142382.53374758363</v>
      </c>
      <c r="AU23" s="22">
        <v>255395.44169641216</v>
      </c>
      <c r="AV23" s="22">
        <v>458104.76308688935</v>
      </c>
      <c r="AW23" s="22">
        <v>821700.13724327041</v>
      </c>
      <c r="AX23" s="22">
        <v>1473872.3610950701</v>
      </c>
      <c r="AY23" s="22">
        <v>2643656.6974789947</v>
      </c>
      <c r="AZ23" s="22">
        <v>4741866.9948090054</v>
      </c>
      <c r="BA23" s="22">
        <v>8505367.9947334323</v>
      </c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</row>
    <row r="24" spans="2:103" x14ac:dyDescent="0.25">
      <c r="B24" s="6">
        <v>21</v>
      </c>
      <c r="W24" s="6">
        <v>0</v>
      </c>
      <c r="X24" s="22">
        <v>9.9692663893447719E-2</v>
      </c>
      <c r="Y24" s="22">
        <v>0.19375187263432167</v>
      </c>
      <c r="Z24" s="22">
        <v>0.37315477392514956</v>
      </c>
      <c r="AA24" s="22">
        <v>0.71230548279339689</v>
      </c>
      <c r="AB24" s="22">
        <v>1.3480224534036938</v>
      </c>
      <c r="AC24" s="22">
        <v>2.5301768021894913</v>
      </c>
      <c r="AD24" s="22">
        <v>4.7124761086771736</v>
      </c>
      <c r="AE24" s="22">
        <v>8.7149522362128931</v>
      </c>
      <c r="AF24" s="22">
        <v>16.014654852802071</v>
      </c>
      <c r="AG24" s="22">
        <v>29.265907819334387</v>
      </c>
      <c r="AH24" s="22">
        <v>53.232174163205713</v>
      </c>
      <c r="AI24" s="22">
        <v>96.456611620822017</v>
      </c>
      <c r="AJ24" s="22">
        <v>174.25876492449319</v>
      </c>
      <c r="AK24" s="22">
        <v>314.11168639784523</v>
      </c>
      <c r="AL24" s="22">
        <v>565.29034883488316</v>
      </c>
      <c r="AM24" s="22">
        <v>1016.1814647162914</v>
      </c>
      <c r="AN24" s="22">
        <v>1825.3330947931161</v>
      </c>
      <c r="AO24" s="22">
        <v>3277.1451580358143</v>
      </c>
      <c r="AP24" s="22">
        <v>5881.7553224554958</v>
      </c>
      <c r="AQ24" s="22">
        <v>10554.19871274445</v>
      </c>
      <c r="AR24" s="22">
        <v>18935.763010328614</v>
      </c>
      <c r="AS24" s="22">
        <v>33970.396478722127</v>
      </c>
      <c r="AT24" s="22">
        <v>60938.594511322975</v>
      </c>
      <c r="AU24" s="22">
        <v>109311.85198542934</v>
      </c>
      <c r="AV24" s="22">
        <v>196078.94038029888</v>
      </c>
      <c r="AW24" s="22">
        <v>351712.15364497452</v>
      </c>
      <c r="AX24" s="22">
        <v>630868.7882215014</v>
      </c>
      <c r="AY24" s="22">
        <v>1131586.0729563744</v>
      </c>
      <c r="AZ24" s="22">
        <v>2029710.5495514132</v>
      </c>
      <c r="BA24" s="22">
        <v>3640653.037471029</v>
      </c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</row>
    <row r="25" spans="2:103" x14ac:dyDescent="0.25">
      <c r="B25" s="6">
        <v>22</v>
      </c>
      <c r="X25" s="6">
        <v>0</v>
      </c>
      <c r="Y25" s="22">
        <v>6.6769163803575782E-2</v>
      </c>
      <c r="Z25" s="22">
        <v>0.13199003472017179</v>
      </c>
      <c r="AA25" s="22">
        <v>0.25837187151441571</v>
      </c>
      <c r="AB25" s="22">
        <v>0.5008403935799306</v>
      </c>
      <c r="AC25" s="22">
        <v>0.96152030320130899</v>
      </c>
      <c r="AD25" s="22">
        <v>1.8286431317000045</v>
      </c>
      <c r="AE25" s="22">
        <v>3.4464763310275606</v>
      </c>
      <c r="AF25" s="22">
        <v>6.4405713434038674</v>
      </c>
      <c r="AG25" s="22">
        <v>11.941703286045453</v>
      </c>
      <c r="AH25" s="22">
        <v>21.986161449080281</v>
      </c>
      <c r="AI25" s="22">
        <v>40.231798871779205</v>
      </c>
      <c r="AJ25" s="22">
        <v>73.240461944569731</v>
      </c>
      <c r="AK25" s="22">
        <v>132.77742710465958</v>
      </c>
      <c r="AL25" s="22">
        <v>239.93742166126444</v>
      </c>
      <c r="AM25" s="22">
        <v>432.54994244735423</v>
      </c>
      <c r="AN25" s="22">
        <v>778.46824973226137</v>
      </c>
      <c r="AO25" s="22">
        <v>1399.4098253431696</v>
      </c>
      <c r="AP25" s="22">
        <v>2513.7168840008785</v>
      </c>
      <c r="AQ25" s="22">
        <v>4513.0475848902697</v>
      </c>
      <c r="AR25" s="22">
        <v>8099.9285575842541</v>
      </c>
      <c r="AS25" s="22">
        <v>14534.480077639206</v>
      </c>
      <c r="AT25" s="22">
        <v>26076.964980409364</v>
      </c>
      <c r="AU25" s="22">
        <v>46781.576156348681</v>
      </c>
      <c r="AV25" s="22">
        <v>83920.230421153654</v>
      </c>
      <c r="AW25" s="22">
        <v>150536.3863401174</v>
      </c>
      <c r="AX25" s="22">
        <v>270025.75279928441</v>
      </c>
      <c r="AY25" s="22">
        <v>484352.5718388884</v>
      </c>
      <c r="AZ25" s="22">
        <v>868786.92391281086</v>
      </c>
      <c r="BA25" s="22">
        <v>1558338.5988041174</v>
      </c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</row>
    <row r="26" spans="2:103" x14ac:dyDescent="0.25">
      <c r="B26" s="6">
        <v>23</v>
      </c>
      <c r="Y26" s="6">
        <v>0</v>
      </c>
      <c r="Z26" s="22">
        <v>4.3263127456605543E-2</v>
      </c>
      <c r="AA26" s="22">
        <v>8.7189751975297075E-2</v>
      </c>
      <c r="AB26" s="22">
        <v>0.17389719602658441</v>
      </c>
      <c r="AC26" s="22">
        <v>0.34319655223846335</v>
      </c>
      <c r="AD26" s="22">
        <v>0.67018994522147946</v>
      </c>
      <c r="AE26" s="22">
        <v>1.2950504344025187</v>
      </c>
      <c r="AF26" s="22">
        <v>2.4768303892981316</v>
      </c>
      <c r="AG26" s="22">
        <v>4.6900904842609101</v>
      </c>
      <c r="AH26" s="22">
        <v>8.7977392015101188</v>
      </c>
      <c r="AI26" s="22">
        <v>16.359633208185681</v>
      </c>
      <c r="AJ26" s="22">
        <v>30.183600284416066</v>
      </c>
      <c r="AK26" s="22">
        <v>55.310587395079764</v>
      </c>
      <c r="AL26" s="22">
        <v>100.77906129861984</v>
      </c>
      <c r="AM26" s="22">
        <v>182.78983920640599</v>
      </c>
      <c r="AN26" s="22">
        <v>330.38755914010022</v>
      </c>
      <c r="AO26" s="22">
        <v>595.66071406722938</v>
      </c>
      <c r="AP26" s="22">
        <v>1072.0465843034181</v>
      </c>
      <c r="AQ26" s="22">
        <v>1927.1661241646118</v>
      </c>
      <c r="AR26" s="22">
        <v>3461.7093126376794</v>
      </c>
      <c r="AS26" s="22">
        <v>6215.0431309217283</v>
      </c>
      <c r="AT26" s="22">
        <v>11154.636505786983</v>
      </c>
      <c r="AU26" s="22">
        <v>20015.836055104792</v>
      </c>
      <c r="AV26" s="22">
        <v>35911.312484138201</v>
      </c>
      <c r="AW26" s="22">
        <v>64424.207384304769</v>
      </c>
      <c r="AX26" s="22">
        <v>115568.87930244171</v>
      </c>
      <c r="AY26" s="22">
        <v>207307.83717177983</v>
      </c>
      <c r="AZ26" s="22">
        <v>371859.96126561251</v>
      </c>
      <c r="BA26" s="22">
        <v>667015.37440685974</v>
      </c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</row>
    <row r="27" spans="2:103" x14ac:dyDescent="0.25">
      <c r="B27" s="6">
        <v>24</v>
      </c>
      <c r="Z27" s="6">
        <v>0</v>
      </c>
      <c r="AA27" s="22">
        <v>2.694192457668132E-2</v>
      </c>
      <c r="AB27" s="22">
        <v>5.548743430383711E-2</v>
      </c>
      <c r="AC27" s="22">
        <v>0.11304671480907585</v>
      </c>
      <c r="AD27" s="22">
        <v>0.22776866223819953</v>
      </c>
      <c r="AE27" s="22">
        <v>0.45373927501719169</v>
      </c>
      <c r="AF27" s="22">
        <v>0.8935886441803067</v>
      </c>
      <c r="AG27" s="22">
        <v>1.7397285390295472</v>
      </c>
      <c r="AH27" s="22">
        <v>3.3488560669195451</v>
      </c>
      <c r="AI27" s="22">
        <v>6.3755816934615837</v>
      </c>
      <c r="AJ27" s="22">
        <v>12.011002136159984</v>
      </c>
      <c r="AK27" s="22">
        <v>22.407856856104047</v>
      </c>
      <c r="AL27" s="22">
        <v>41.438616897222225</v>
      </c>
      <c r="AM27" s="22">
        <v>76.050089478725738</v>
      </c>
      <c r="AN27" s="22">
        <v>138.69013746206036</v>
      </c>
      <c r="AO27" s="22">
        <v>251.66362997168224</v>
      </c>
      <c r="AP27" s="22">
        <v>454.95755937568919</v>
      </c>
      <c r="AQ27" s="22">
        <v>820.29381003003618</v>
      </c>
      <c r="AR27" s="22">
        <v>1476.3451159057656</v>
      </c>
      <c r="AS27" s="22">
        <v>2653.9539760748044</v>
      </c>
      <c r="AT27" s="22">
        <v>4767.2160064936916</v>
      </c>
      <c r="AU27" s="22">
        <v>8558.9084521377918</v>
      </c>
      <c r="AV27" s="22">
        <v>15361.359633194686</v>
      </c>
      <c r="AW27" s="22">
        <v>27564.363557881516</v>
      </c>
      <c r="AX27" s="22">
        <v>49454.465475651203</v>
      </c>
      <c r="AY27" s="22">
        <v>88720.364684263724</v>
      </c>
      <c r="AZ27" s="22">
        <v>159153.11238058368</v>
      </c>
      <c r="BA27" s="22">
        <v>285489.37833369587</v>
      </c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</row>
    <row r="28" spans="2:103" x14ac:dyDescent="0.25">
      <c r="B28" s="6">
        <v>25</v>
      </c>
      <c r="AA28" s="6">
        <v>0</v>
      </c>
      <c r="AB28" s="22">
        <v>1.5999149039869515E-2</v>
      </c>
      <c r="AC28" s="22">
        <v>3.3755800850535353E-2</v>
      </c>
      <c r="AD28" s="22">
        <v>7.0437615921234278E-2</v>
      </c>
      <c r="AE28" s="22">
        <v>0.14530370599178294</v>
      </c>
      <c r="AF28" s="22">
        <v>0.29620437765200247</v>
      </c>
      <c r="AG28" s="22">
        <v>0.59648793215005835</v>
      </c>
      <c r="AH28" s="22">
        <v>1.1863103325349804</v>
      </c>
      <c r="AI28" s="22">
        <v>2.3298415123623828</v>
      </c>
      <c r="AJ28" s="22">
        <v>4.5185884217098318</v>
      </c>
      <c r="AK28" s="22">
        <v>8.6563731064110527</v>
      </c>
      <c r="AL28" s="22">
        <v>16.388700748547596</v>
      </c>
      <c r="AM28" s="22">
        <v>30.688172077673503</v>
      </c>
      <c r="AN28" s="22">
        <v>56.896468534223828</v>
      </c>
      <c r="AO28" s="22">
        <v>104.58541276556437</v>
      </c>
      <c r="AP28" s="22">
        <v>190.89350426082592</v>
      </c>
      <c r="AQ28" s="22">
        <v>346.52263597897826</v>
      </c>
      <c r="AR28" s="22">
        <v>626.52090848834416</v>
      </c>
      <c r="AS28" s="22">
        <v>1129.6493807052884</v>
      </c>
      <c r="AT28" s="22">
        <v>2033.1158488556173</v>
      </c>
      <c r="AU28" s="22">
        <v>3654.8337057224207</v>
      </c>
      <c r="AV28" s="22">
        <v>6565.0655211292487</v>
      </c>
      <c r="AW28" s="22">
        <v>11786.710461848645</v>
      </c>
      <c r="AX28" s="22">
        <v>21154.554848822019</v>
      </c>
      <c r="AY28" s="22">
        <v>37959.650361808905</v>
      </c>
      <c r="AZ28" s="22">
        <v>68105.117476913321</v>
      </c>
      <c r="BA28" s="22">
        <v>122179.27746871093</v>
      </c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</row>
    <row r="29" spans="2:103" x14ac:dyDescent="0.25">
      <c r="B29" s="6">
        <v>26</v>
      </c>
      <c r="AB29" s="6">
        <v>0</v>
      </c>
      <c r="AC29" s="22">
        <v>8.9740847181274726E-3</v>
      </c>
      <c r="AD29" s="22">
        <v>1.944562929849851E-2</v>
      </c>
      <c r="AE29" s="22">
        <v>4.1674142232493605E-2</v>
      </c>
      <c r="AF29" s="22">
        <v>8.8283379123031414E-2</v>
      </c>
      <c r="AG29" s="22">
        <v>0.18476323903049868</v>
      </c>
      <c r="AH29" s="22">
        <v>0.3818062406121997</v>
      </c>
      <c r="AI29" s="22">
        <v>0.77866111415776895</v>
      </c>
      <c r="AJ29" s="22">
        <v>1.5665871426820228</v>
      </c>
      <c r="AK29" s="22">
        <v>3.1084111837984065</v>
      </c>
      <c r="AL29" s="22">
        <v>6.0821328185590593</v>
      </c>
      <c r="AM29" s="22">
        <v>11.737313771917361</v>
      </c>
      <c r="AN29" s="22">
        <v>22.349808347401119</v>
      </c>
      <c r="AO29" s="22">
        <v>42.026949232069484</v>
      </c>
      <c r="AP29" s="22">
        <v>78.137457985656752</v>
      </c>
      <c r="AQ29" s="22">
        <v>143.86524200702959</v>
      </c>
      <c r="AR29" s="22">
        <v>262.79604249836518</v>
      </c>
      <c r="AS29" s="22">
        <v>477.17919576140707</v>
      </c>
      <c r="AT29" s="22">
        <v>862.79933801628636</v>
      </c>
      <c r="AU29" s="22">
        <v>1555.6715261341724</v>
      </c>
      <c r="AV29" s="22">
        <v>2799.8602835705383</v>
      </c>
      <c r="AW29" s="22">
        <v>5033.1729701812192</v>
      </c>
      <c r="AX29" s="22">
        <v>9040.9340038317969</v>
      </c>
      <c r="AY29" s="22">
        <v>16231.806227200863</v>
      </c>
      <c r="AZ29" s="22">
        <v>29132.52482448065</v>
      </c>
      <c r="BA29" s="22">
        <v>52275.288437732517</v>
      </c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</row>
    <row r="30" spans="2:103" x14ac:dyDescent="0.25">
      <c r="B30" s="6">
        <v>27</v>
      </c>
      <c r="AC30" s="6">
        <v>0</v>
      </c>
      <c r="AD30" s="22">
        <v>4.6989016955636866E-3</v>
      </c>
      <c r="AE30" s="22">
        <v>1.0484090070775011E-2</v>
      </c>
      <c r="AF30" s="22">
        <v>2.3141749979970358E-2</v>
      </c>
      <c r="AG30" s="22">
        <v>5.0501352106917086E-2</v>
      </c>
      <c r="AH30" s="22">
        <v>0.10888033381349951</v>
      </c>
      <c r="AI30" s="22">
        <v>0.23175356067923</v>
      </c>
      <c r="AJ30" s="22">
        <v>0.48665917583348395</v>
      </c>
      <c r="AK30" s="22">
        <v>1.0075054460564272</v>
      </c>
      <c r="AL30" s="22">
        <v>2.0550595222220407</v>
      </c>
      <c r="AM30" s="22">
        <v>4.1279824198219019</v>
      </c>
      <c r="AN30" s="22">
        <v>8.16304521012332</v>
      </c>
      <c r="AO30" s="22">
        <v>15.891095171948209</v>
      </c>
      <c r="AP30" s="22">
        <v>30.464627712560244</v>
      </c>
      <c r="AQ30" s="22">
        <v>57.562820892892603</v>
      </c>
      <c r="AR30" s="22">
        <v>107.34835515139038</v>
      </c>
      <c r="AS30" s="22">
        <v>197.9661224356571</v>
      </c>
      <c r="AT30" s="22">
        <v>361.85180260253412</v>
      </c>
      <c r="AU30" s="22">
        <v>657.13671904653665</v>
      </c>
      <c r="AV30" s="22">
        <v>1188.1849234329122</v>
      </c>
      <c r="AW30" s="22">
        <v>2142.3584508262597</v>
      </c>
      <c r="AX30" s="22">
        <v>3855.7653327665344</v>
      </c>
      <c r="AY30" s="22">
        <v>6931.3222399418319</v>
      </c>
      <c r="AZ30" s="22">
        <v>12450.521232205818</v>
      </c>
      <c r="BA30" s="22">
        <v>22353.271020799595</v>
      </c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</row>
    <row r="31" spans="2:103" x14ac:dyDescent="0.25">
      <c r="B31" s="6">
        <v>28</v>
      </c>
      <c r="AD31" s="6">
        <v>0</v>
      </c>
      <c r="AE31" s="22">
        <v>2.2626642121815746E-3</v>
      </c>
      <c r="AF31" s="22">
        <v>5.2120563709433061E-3</v>
      </c>
      <c r="AG31" s="22">
        <v>1.1884089589253313E-2</v>
      </c>
      <c r="AH31" s="22">
        <v>2.6802270343352984E-2</v>
      </c>
      <c r="AI31" s="22">
        <v>5.9742372834815295E-2</v>
      </c>
      <c r="AJ31" s="22">
        <v>0.13150163511844526</v>
      </c>
      <c r="AK31" s="22">
        <v>0.28558098467760751</v>
      </c>
      <c r="AL31" s="22">
        <v>0.61132688802994473</v>
      </c>
      <c r="AM31" s="22">
        <v>1.2887123135384377</v>
      </c>
      <c r="AN31" s="22">
        <v>2.672895238788128</v>
      </c>
      <c r="AO31" s="22">
        <v>5.4500034229759926</v>
      </c>
      <c r="AP31" s="22">
        <v>10.917575347235818</v>
      </c>
      <c r="AQ31" s="22">
        <v>21.479884017544414</v>
      </c>
      <c r="AR31" s="22">
        <v>41.512868758831019</v>
      </c>
      <c r="AS31" s="22">
        <v>78.873839147501798</v>
      </c>
      <c r="AT31" s="22">
        <v>147.56606181335573</v>
      </c>
      <c r="AU31" s="22">
        <v>272.52384472999375</v>
      </c>
      <c r="AV31" s="22">
        <v>498.316163938964</v>
      </c>
      <c r="AW31" s="22">
        <v>904.96122076362315</v>
      </c>
      <c r="AX31" s="22">
        <v>1636.2824472248572</v>
      </c>
      <c r="AY31" s="22">
        <v>2950.3013037926116</v>
      </c>
      <c r="AZ31" s="22">
        <v>5309.8814925168654</v>
      </c>
      <c r="BA31" s="22">
        <v>9545.3163001831927</v>
      </c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</row>
    <row r="32" spans="2:103" x14ac:dyDescent="0.25">
      <c r="B32" s="6">
        <v>29</v>
      </c>
      <c r="AE32" s="6">
        <v>0</v>
      </c>
      <c r="AF32" s="22">
        <v>9.8247492028976117E-4</v>
      </c>
      <c r="AG32" s="22">
        <v>2.3428907482335001E-3</v>
      </c>
      <c r="AH32" s="22">
        <v>5.5349502871771903E-3</v>
      </c>
      <c r="AI32" s="22">
        <v>1.2944242661153455E-2</v>
      </c>
      <c r="AJ32" s="22">
        <v>2.9941683136059466E-2</v>
      </c>
      <c r="AK32" s="22">
        <v>6.8440038800300917E-2</v>
      </c>
      <c r="AL32" s="22">
        <v>0.15443183821226839</v>
      </c>
      <c r="AM32" s="22">
        <v>0.34361622533386216</v>
      </c>
      <c r="AN32" s="22">
        <v>0.7530089246643199</v>
      </c>
      <c r="AO32" s="22">
        <v>1.6231717616558536</v>
      </c>
      <c r="AP32" s="22">
        <v>3.4371559896817621</v>
      </c>
      <c r="AQ32" s="22">
        <v>7.1408509996202616</v>
      </c>
      <c r="AR32" s="22">
        <v>14.538664753438441</v>
      </c>
      <c r="AS32" s="22">
        <v>28.984874549408715</v>
      </c>
      <c r="AT32" s="22">
        <v>56.571078723120081</v>
      </c>
      <c r="AU32" s="22">
        <v>108.16826346165521</v>
      </c>
      <c r="AV32" s="22">
        <v>203.02164179333832</v>
      </c>
      <c r="AW32" s="22">
        <v>375.30015302125588</v>
      </c>
      <c r="AX32" s="22">
        <v>686.24502477773581</v>
      </c>
      <c r="AY32" s="22">
        <v>1246.2472227609469</v>
      </c>
      <c r="AZ32" s="22">
        <v>2253.3699883689369</v>
      </c>
      <c r="BA32" s="22">
        <v>4062.9418386093803</v>
      </c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</row>
    <row r="33" spans="2:103" x14ac:dyDescent="0.25">
      <c r="B33" s="6">
        <v>30</v>
      </c>
      <c r="AF33" s="6">
        <v>0</v>
      </c>
      <c r="AG33" s="22">
        <v>3.7442169404135412E-4</v>
      </c>
      <c r="AH33" s="22">
        <v>9.2696352449064432E-4</v>
      </c>
      <c r="AI33" s="22">
        <v>2.2761124745479945E-3</v>
      </c>
      <c r="AJ33" s="22">
        <v>5.5390417334598013E-3</v>
      </c>
      <c r="AK33" s="22">
        <v>1.3348269620394791E-2</v>
      </c>
      <c r="AL33" s="22">
        <v>3.1824191972035745E-2</v>
      </c>
      <c r="AM33" s="22">
        <v>7.4984401494254393E-2</v>
      </c>
      <c r="AN33" s="22">
        <v>0.17439895818635678</v>
      </c>
      <c r="AO33" s="22">
        <v>0.39984050260762233</v>
      </c>
      <c r="AP33" s="22">
        <v>0.90227047976626029</v>
      </c>
      <c r="AQ33" s="22">
        <v>2.0005782520866719</v>
      </c>
      <c r="AR33" s="22">
        <v>4.3504656479456969</v>
      </c>
      <c r="AS33" s="22">
        <v>9.2602571295576137</v>
      </c>
      <c r="AT33" s="22">
        <v>19.256114768130473</v>
      </c>
      <c r="AU33" s="22">
        <v>39.051191986186097</v>
      </c>
      <c r="AV33" s="22">
        <v>77.157933036761804</v>
      </c>
      <c r="AW33" s="22">
        <v>148.58165077619773</v>
      </c>
      <c r="AX33" s="22">
        <v>279.58673967467558</v>
      </c>
      <c r="AY33" s="22">
        <v>516.83626068510478</v>
      </c>
      <c r="AZ33" s="22">
        <v>945.04707675883708</v>
      </c>
      <c r="BA33" s="22">
        <v>1716.2416516906787</v>
      </c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</row>
    <row r="34" spans="2:103" x14ac:dyDescent="0.25">
      <c r="B34" s="6">
        <v>31</v>
      </c>
      <c r="AG34" s="6">
        <v>0</v>
      </c>
      <c r="AH34" s="22">
        <v>1.2039106211954174E-4</v>
      </c>
      <c r="AI34" s="22">
        <v>3.103481990565642E-4</v>
      </c>
      <c r="AJ34" s="22">
        <v>7.9465125466052873E-4</v>
      </c>
      <c r="AK34" s="22">
        <v>2.0197200448744948E-3</v>
      </c>
      <c r="AL34" s="22">
        <v>5.0917383899946643E-3</v>
      </c>
      <c r="AM34" s="22">
        <v>1.2721093022135751E-2</v>
      </c>
      <c r="AN34" s="22">
        <v>3.1465133068748263E-2</v>
      </c>
      <c r="AO34" s="22">
        <v>7.6961410101444569E-2</v>
      </c>
      <c r="AP34" s="22">
        <v>0.1858915799628291</v>
      </c>
      <c r="AQ34" s="22">
        <v>0.44268061059439162</v>
      </c>
      <c r="AR34" s="22">
        <v>1.037388929201563</v>
      </c>
      <c r="AS34" s="22">
        <v>2.3869457483889693</v>
      </c>
      <c r="AT34" s="22">
        <v>5.3784330320594602</v>
      </c>
      <c r="AU34" s="22">
        <v>11.832257055048277</v>
      </c>
      <c r="AV34" s="22">
        <v>25.328700074415362</v>
      </c>
      <c r="AW34" s="22">
        <v>52.575571507183341</v>
      </c>
      <c r="AX34" s="22">
        <v>105.51890093944267</v>
      </c>
      <c r="AY34" s="22">
        <v>204.61591655477122</v>
      </c>
      <c r="AZ34" s="22">
        <v>385.02666174616536</v>
      </c>
      <c r="BA34" s="22">
        <v>711.74956420503452</v>
      </c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</row>
    <row r="35" spans="2:103" x14ac:dyDescent="0.25">
      <c r="B35" s="6">
        <v>32</v>
      </c>
      <c r="AH35" s="6">
        <v>0</v>
      </c>
      <c r="AI35" s="22">
        <v>3.0667310382082222E-5</v>
      </c>
      <c r="AJ35" s="22">
        <v>8.2571809719906433E-5</v>
      </c>
      <c r="AK35" s="22">
        <v>2.2123784599300747E-4</v>
      </c>
      <c r="AL35" s="22">
        <v>5.8957003924427871E-4</v>
      </c>
      <c r="AM35" s="22">
        <v>1.5617092510518092E-3</v>
      </c>
      <c r="AN35" s="22">
        <v>4.1091266544983473E-3</v>
      </c>
      <c r="AO35" s="22">
        <v>1.0730598525778783E-2</v>
      </c>
      <c r="AP35" s="22">
        <v>2.7784003233789635E-2</v>
      </c>
      <c r="AQ35" s="22">
        <v>7.1243638322001437E-2</v>
      </c>
      <c r="AR35" s="22">
        <v>0.18065490196522863</v>
      </c>
      <c r="AS35" s="22">
        <v>0.45220221934752886</v>
      </c>
      <c r="AT35" s="22">
        <v>1.1148882724812876</v>
      </c>
      <c r="AU35" s="22">
        <v>2.699786197819861</v>
      </c>
      <c r="AV35" s="22">
        <v>6.3984136975628596</v>
      </c>
      <c r="AW35" s="22">
        <v>14.772515347040311</v>
      </c>
      <c r="AX35" s="22">
        <v>33.028135509713628</v>
      </c>
      <c r="AY35" s="22">
        <v>70.971718212262445</v>
      </c>
      <c r="AZ35" s="22">
        <v>145.313008145922</v>
      </c>
      <c r="BA35" s="22">
        <v>281.78225971262481</v>
      </c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</row>
    <row r="36" spans="2:103" x14ac:dyDescent="0.25">
      <c r="B36" s="6">
        <v>33</v>
      </c>
      <c r="AI36" s="6">
        <v>0</v>
      </c>
      <c r="AJ36" s="22">
        <v>5.5111899163588101E-6</v>
      </c>
      <c r="AK36" s="22">
        <v>1.555003586099303E-5</v>
      </c>
      <c r="AL36" s="22">
        <v>4.3758126520399568E-5</v>
      </c>
      <c r="AM36" s="22">
        <v>1.2277150980932394E-4</v>
      </c>
      <c r="AN36" s="22">
        <v>3.4331689525538564E-4</v>
      </c>
      <c r="AO36" s="22">
        <v>9.5646632760698581E-4</v>
      </c>
      <c r="AP36" s="22">
        <v>2.6533994486906557E-3</v>
      </c>
      <c r="AQ36" s="22">
        <v>7.3253471937104724E-3</v>
      </c>
      <c r="AR36" s="22">
        <v>2.0110300156320829E-2</v>
      </c>
      <c r="AS36" s="22">
        <v>5.4848248549625445E-2</v>
      </c>
      <c r="AT36" s="22">
        <v>0.1484349962589058</v>
      </c>
      <c r="AU36" s="22">
        <v>0.39797406592474194</v>
      </c>
      <c r="AV36" s="22">
        <v>1.0548762290238225</v>
      </c>
      <c r="AW36" s="22">
        <v>2.7561887386841435</v>
      </c>
      <c r="AX36" s="22">
        <v>7.0689190954113936</v>
      </c>
      <c r="AY36" s="22">
        <v>17.683588925493499</v>
      </c>
      <c r="AZ36" s="22">
        <v>42.704899259253622</v>
      </c>
      <c r="BA36" s="22">
        <v>97.737123632734495</v>
      </c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</row>
    <row r="37" spans="2:103" x14ac:dyDescent="0.25">
      <c r="B37" s="6">
        <v>34</v>
      </c>
      <c r="AJ37" s="6">
        <v>0</v>
      </c>
      <c r="AK37" s="22">
        <v>5.251438567902988E-7</v>
      </c>
      <c r="AL37" s="22">
        <v>1.5581970592813464E-6</v>
      </c>
      <c r="AM37" s="22">
        <v>4.6234532579185818E-6</v>
      </c>
      <c r="AN37" s="22">
        <v>1.371862429134405E-5</v>
      </c>
      <c r="AO37" s="22">
        <v>4.0705646180097979E-5</v>
      </c>
      <c r="AP37" s="22">
        <v>1.2078103428962627E-4</v>
      </c>
      <c r="AQ37" s="22">
        <v>3.5837923268748747E-4</v>
      </c>
      <c r="AR37" s="22">
        <v>1.0633761763762569E-3</v>
      </c>
      <c r="AS37" s="22">
        <v>3.1552299613036901E-3</v>
      </c>
      <c r="AT37" s="22">
        <v>9.3621395042293304E-3</v>
      </c>
      <c r="AU37" s="22">
        <v>2.7779165757045483E-2</v>
      </c>
      <c r="AV37" s="22">
        <v>8.2425822624070333E-2</v>
      </c>
      <c r="AW37" s="22">
        <v>0.24457236385983167</v>
      </c>
      <c r="AX37" s="22">
        <v>0.72569055739721899</v>
      </c>
      <c r="AY37" s="22">
        <v>2.1532554896402951</v>
      </c>
      <c r="AZ37" s="22">
        <v>6.3890995361652418</v>
      </c>
      <c r="BA37" s="22">
        <v>18.957617003380328</v>
      </c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</row>
    <row r="38" spans="2:103" x14ac:dyDescent="0.25">
      <c r="B38" s="6">
        <v>35</v>
      </c>
      <c r="AK38" s="6">
        <v>0</v>
      </c>
      <c r="AL38" s="22">
        <v>0</v>
      </c>
      <c r="AM38" s="22">
        <v>0</v>
      </c>
      <c r="AN38" s="22">
        <v>0</v>
      </c>
      <c r="AO38" s="22">
        <v>0</v>
      </c>
      <c r="AP38" s="22">
        <v>0</v>
      </c>
      <c r="AQ38" s="22">
        <v>0</v>
      </c>
      <c r="AR38" s="22">
        <v>0</v>
      </c>
      <c r="AS38" s="22">
        <v>0</v>
      </c>
      <c r="AT38" s="22">
        <v>0</v>
      </c>
      <c r="AU38" s="22">
        <v>0</v>
      </c>
      <c r="AV38" s="22">
        <v>0</v>
      </c>
      <c r="AW38" s="22">
        <v>0</v>
      </c>
      <c r="AX38" s="22">
        <v>0</v>
      </c>
      <c r="AY38" s="22">
        <v>0</v>
      </c>
      <c r="AZ38" s="22">
        <v>0</v>
      </c>
      <c r="BA38" s="22">
        <v>0</v>
      </c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</row>
    <row r="39" spans="2:103" x14ac:dyDescent="0.25">
      <c r="B39" s="6">
        <v>36</v>
      </c>
      <c r="AL39" s="6">
        <v>0</v>
      </c>
      <c r="AM39" s="22">
        <v>0</v>
      </c>
      <c r="AN39" s="22">
        <v>0</v>
      </c>
      <c r="AO39" s="22">
        <v>0</v>
      </c>
      <c r="AP39" s="22">
        <v>0</v>
      </c>
      <c r="AQ39" s="22">
        <v>0</v>
      </c>
      <c r="AR39" s="22">
        <v>0</v>
      </c>
      <c r="AS39" s="22">
        <v>0</v>
      </c>
      <c r="AT39" s="22">
        <v>0</v>
      </c>
      <c r="AU39" s="22">
        <v>0</v>
      </c>
      <c r="AV39" s="22">
        <v>0</v>
      </c>
      <c r="AW39" s="22">
        <v>0</v>
      </c>
      <c r="AX39" s="22">
        <v>0</v>
      </c>
      <c r="AY39" s="22">
        <v>0</v>
      </c>
      <c r="AZ39" s="22">
        <v>0</v>
      </c>
      <c r="BA39" s="22">
        <v>0</v>
      </c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</row>
    <row r="40" spans="2:103" x14ac:dyDescent="0.25">
      <c r="B40" s="6">
        <v>37</v>
      </c>
      <c r="AM40" s="6">
        <v>0</v>
      </c>
      <c r="AN40" s="22">
        <v>0</v>
      </c>
      <c r="AO40" s="22">
        <v>0</v>
      </c>
      <c r="AP40" s="22">
        <v>0</v>
      </c>
      <c r="AQ40" s="22">
        <v>0</v>
      </c>
      <c r="AR40" s="22">
        <v>0</v>
      </c>
      <c r="AS40" s="22">
        <v>0</v>
      </c>
      <c r="AT40" s="22">
        <v>0</v>
      </c>
      <c r="AU40" s="22">
        <v>0</v>
      </c>
      <c r="AV40" s="22">
        <v>0</v>
      </c>
      <c r="AW40" s="22">
        <v>0</v>
      </c>
      <c r="AX40" s="22">
        <v>0</v>
      </c>
      <c r="AY40" s="22">
        <v>0</v>
      </c>
      <c r="AZ40" s="22">
        <v>0</v>
      </c>
      <c r="BA40" s="22">
        <v>0</v>
      </c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</row>
    <row r="41" spans="2:103" x14ac:dyDescent="0.25">
      <c r="B41" s="6">
        <v>38</v>
      </c>
      <c r="AN41" s="6">
        <v>0</v>
      </c>
      <c r="AO41" s="22">
        <v>0</v>
      </c>
      <c r="AP41" s="22">
        <v>0</v>
      </c>
      <c r="AQ41" s="22">
        <v>0</v>
      </c>
      <c r="AR41" s="22">
        <v>0</v>
      </c>
      <c r="AS41" s="22">
        <v>0</v>
      </c>
      <c r="AT41" s="22">
        <v>0</v>
      </c>
      <c r="AU41" s="22">
        <v>0</v>
      </c>
      <c r="AV41" s="22">
        <v>0</v>
      </c>
      <c r="AW41" s="22">
        <v>0</v>
      </c>
      <c r="AX41" s="22">
        <v>0</v>
      </c>
      <c r="AY41" s="22">
        <v>0</v>
      </c>
      <c r="AZ41" s="22">
        <v>0</v>
      </c>
      <c r="BA41" s="22">
        <v>0</v>
      </c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</row>
    <row r="42" spans="2:103" x14ac:dyDescent="0.25">
      <c r="B42" s="6">
        <v>39</v>
      </c>
      <c r="AO42" s="6">
        <v>0</v>
      </c>
      <c r="AP42" s="22">
        <v>0</v>
      </c>
      <c r="AQ42" s="22">
        <v>0</v>
      </c>
      <c r="AR42" s="22">
        <v>0</v>
      </c>
      <c r="AS42" s="22">
        <v>0</v>
      </c>
      <c r="AT42" s="22">
        <v>0</v>
      </c>
      <c r="AU42" s="22">
        <v>0</v>
      </c>
      <c r="AV42" s="22">
        <v>0</v>
      </c>
      <c r="AW42" s="22">
        <v>0</v>
      </c>
      <c r="AX42" s="22">
        <v>0</v>
      </c>
      <c r="AY42" s="22">
        <v>0</v>
      </c>
      <c r="AZ42" s="22">
        <v>0</v>
      </c>
      <c r="BA42" s="22">
        <v>0</v>
      </c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</row>
    <row r="43" spans="2:103" x14ac:dyDescent="0.25">
      <c r="B43" s="6">
        <v>40</v>
      </c>
      <c r="AP43" s="6">
        <v>0</v>
      </c>
      <c r="AQ43" s="22">
        <v>0</v>
      </c>
      <c r="AR43" s="22">
        <v>0</v>
      </c>
      <c r="AS43" s="22">
        <v>0</v>
      </c>
      <c r="AT43" s="22">
        <v>0</v>
      </c>
      <c r="AU43" s="22">
        <v>0</v>
      </c>
      <c r="AV43" s="22">
        <v>0</v>
      </c>
      <c r="AW43" s="22">
        <v>0</v>
      </c>
      <c r="AX43" s="22">
        <v>0</v>
      </c>
      <c r="AY43" s="22">
        <v>0</v>
      </c>
      <c r="AZ43" s="22">
        <v>0</v>
      </c>
      <c r="BA43" s="22">
        <v>0</v>
      </c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</row>
    <row r="44" spans="2:103" x14ac:dyDescent="0.25">
      <c r="B44" s="6">
        <v>41</v>
      </c>
      <c r="AQ44" s="6">
        <v>0</v>
      </c>
      <c r="AR44" s="22">
        <v>0</v>
      </c>
      <c r="AS44" s="22">
        <v>0</v>
      </c>
      <c r="AT44" s="22">
        <v>0</v>
      </c>
      <c r="AU44" s="22">
        <v>0</v>
      </c>
      <c r="AV44" s="22">
        <v>0</v>
      </c>
      <c r="AW44" s="22">
        <v>0</v>
      </c>
      <c r="AX44" s="22">
        <v>0</v>
      </c>
      <c r="AY44" s="22">
        <v>0</v>
      </c>
      <c r="AZ44" s="22">
        <v>0</v>
      </c>
      <c r="BA44" s="22">
        <v>0</v>
      </c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</row>
    <row r="45" spans="2:103" x14ac:dyDescent="0.25">
      <c r="B45" s="6">
        <v>42</v>
      </c>
      <c r="AR45" s="6">
        <v>0</v>
      </c>
      <c r="AS45" s="22">
        <v>0</v>
      </c>
      <c r="AT45" s="22">
        <v>0</v>
      </c>
      <c r="AU45" s="22">
        <v>0</v>
      </c>
      <c r="AV45" s="22">
        <v>0</v>
      </c>
      <c r="AW45" s="22">
        <v>0</v>
      </c>
      <c r="AX45" s="22">
        <v>0</v>
      </c>
      <c r="AY45" s="22">
        <v>0</v>
      </c>
      <c r="AZ45" s="22">
        <v>0</v>
      </c>
      <c r="BA45" s="22">
        <v>0</v>
      </c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</row>
    <row r="46" spans="2:103" x14ac:dyDescent="0.25">
      <c r="B46" s="6">
        <v>43</v>
      </c>
      <c r="AS46" s="6">
        <v>0</v>
      </c>
      <c r="AT46" s="22">
        <v>0</v>
      </c>
      <c r="AU46" s="22">
        <v>0</v>
      </c>
      <c r="AV46" s="22">
        <v>0</v>
      </c>
      <c r="AW46" s="22">
        <v>0</v>
      </c>
      <c r="AX46" s="22">
        <v>0</v>
      </c>
      <c r="AY46" s="22">
        <v>0</v>
      </c>
      <c r="AZ46" s="22">
        <v>0</v>
      </c>
      <c r="BA46" s="22">
        <v>0</v>
      </c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</row>
    <row r="47" spans="2:103" x14ac:dyDescent="0.25">
      <c r="B47" s="6">
        <v>44</v>
      </c>
      <c r="AT47" s="6">
        <v>0</v>
      </c>
      <c r="AU47" s="22">
        <v>0</v>
      </c>
      <c r="AV47" s="22">
        <v>0</v>
      </c>
      <c r="AW47" s="22">
        <v>0</v>
      </c>
      <c r="AX47" s="22">
        <v>0</v>
      </c>
      <c r="AY47" s="22">
        <v>0</v>
      </c>
      <c r="AZ47" s="22">
        <v>0</v>
      </c>
      <c r="BA47" s="22">
        <v>0</v>
      </c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</row>
    <row r="48" spans="2:103" x14ac:dyDescent="0.25">
      <c r="B48" s="6">
        <v>45</v>
      </c>
      <c r="AU48" s="6">
        <v>0</v>
      </c>
      <c r="AV48" s="22">
        <v>0</v>
      </c>
      <c r="AW48" s="22">
        <v>0</v>
      </c>
      <c r="AX48" s="22">
        <v>0</v>
      </c>
      <c r="AY48" s="22">
        <v>0</v>
      </c>
      <c r="AZ48" s="22">
        <v>0</v>
      </c>
      <c r="BA48" s="22">
        <v>0</v>
      </c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</row>
    <row r="49" spans="2:103" x14ac:dyDescent="0.25">
      <c r="B49" s="6">
        <v>46</v>
      </c>
      <c r="AV49" s="6">
        <v>0</v>
      </c>
      <c r="AW49" s="22">
        <v>0</v>
      </c>
      <c r="AX49" s="22">
        <v>0</v>
      </c>
      <c r="AY49" s="22">
        <v>0</v>
      </c>
      <c r="AZ49" s="22">
        <v>0</v>
      </c>
      <c r="BA49" s="22">
        <v>0</v>
      </c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</row>
    <row r="50" spans="2:103" x14ac:dyDescent="0.25">
      <c r="B50" s="6">
        <v>47</v>
      </c>
      <c r="AW50" s="6">
        <v>0</v>
      </c>
      <c r="AX50" s="22">
        <v>0</v>
      </c>
      <c r="AY50" s="22">
        <v>0</v>
      </c>
      <c r="AZ50" s="22">
        <v>0</v>
      </c>
      <c r="BA50" s="22">
        <v>0</v>
      </c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</row>
    <row r="51" spans="2:103" x14ac:dyDescent="0.25">
      <c r="B51" s="6">
        <v>48</v>
      </c>
      <c r="AX51" s="6">
        <v>0</v>
      </c>
      <c r="AY51" s="22">
        <v>0</v>
      </c>
      <c r="AZ51" s="22">
        <v>0</v>
      </c>
      <c r="BA51" s="22">
        <v>0</v>
      </c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</row>
    <row r="52" spans="2:103" x14ac:dyDescent="0.25">
      <c r="B52" s="6">
        <v>49</v>
      </c>
      <c r="AY52" s="6">
        <v>0</v>
      </c>
      <c r="AZ52" s="22">
        <v>0</v>
      </c>
      <c r="BA52" s="22">
        <v>0</v>
      </c>
      <c r="BB52" s="22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2"/>
      <c r="CD52" s="22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2"/>
      <c r="CR52" s="22"/>
      <c r="CS52" s="22"/>
      <c r="CT52" s="22"/>
      <c r="CU52" s="22"/>
      <c r="CV52" s="22"/>
      <c r="CW52" s="22"/>
      <c r="CX52" s="22"/>
      <c r="CY52" s="22"/>
    </row>
    <row r="53" spans="2:103" x14ac:dyDescent="0.25">
      <c r="B53" s="6">
        <v>50</v>
      </c>
      <c r="AZ53" s="6">
        <v>0</v>
      </c>
      <c r="BA53" s="22">
        <v>0</v>
      </c>
      <c r="BB53" s="22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2"/>
      <c r="CD53" s="22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2"/>
      <c r="CR53" s="22"/>
      <c r="CS53" s="22"/>
      <c r="CT53" s="22"/>
      <c r="CU53" s="22"/>
      <c r="CV53" s="22"/>
      <c r="CW53" s="22"/>
      <c r="CX53" s="22"/>
      <c r="CY53" s="22"/>
    </row>
    <row r="54" spans="2:103" x14ac:dyDescent="0.25">
      <c r="BB54" s="22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2"/>
      <c r="CD54" s="22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2"/>
      <c r="CR54" s="22"/>
      <c r="CS54" s="22"/>
      <c r="CT54" s="22"/>
      <c r="CU54" s="22"/>
      <c r="CV54" s="22"/>
      <c r="CW54" s="22"/>
      <c r="CX54" s="22"/>
      <c r="CY54" s="22"/>
    </row>
    <row r="55" spans="2:103" x14ac:dyDescent="0.25"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2"/>
      <c r="CR55" s="22"/>
      <c r="CS55" s="22"/>
      <c r="CT55" s="22"/>
      <c r="CU55" s="22"/>
      <c r="CV55" s="22"/>
      <c r="CW55" s="22"/>
      <c r="CX55" s="22"/>
      <c r="CY55" s="22"/>
    </row>
    <row r="56" spans="2:103" x14ac:dyDescent="0.25"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2"/>
    </row>
    <row r="57" spans="2:103" x14ac:dyDescent="0.25"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2"/>
      <c r="CD57" s="22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2"/>
      <c r="CR57" s="22"/>
      <c r="CS57" s="22"/>
      <c r="CT57" s="22"/>
      <c r="CU57" s="22"/>
      <c r="CV57" s="22"/>
      <c r="CW57" s="22"/>
      <c r="CX57" s="22"/>
      <c r="CY57" s="22"/>
    </row>
    <row r="58" spans="2:103" x14ac:dyDescent="0.25">
      <c r="BF58" s="22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2"/>
      <c r="CD58" s="22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2"/>
      <c r="CR58" s="22"/>
      <c r="CS58" s="22"/>
      <c r="CT58" s="22"/>
      <c r="CU58" s="22"/>
      <c r="CV58" s="22"/>
      <c r="CW58" s="22"/>
      <c r="CX58" s="22"/>
      <c r="CY58" s="22"/>
    </row>
    <row r="59" spans="2:103" x14ac:dyDescent="0.25"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2"/>
      <c r="CD59" s="22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2"/>
      <c r="CR59" s="22"/>
      <c r="CS59" s="22"/>
      <c r="CT59" s="22"/>
      <c r="CU59" s="22"/>
      <c r="CV59" s="22"/>
      <c r="CW59" s="22"/>
      <c r="CX59" s="22"/>
      <c r="CY59" s="22"/>
    </row>
    <row r="60" spans="2:103" x14ac:dyDescent="0.25"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2"/>
      <c r="CD60" s="22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2"/>
      <c r="CR60" s="22"/>
      <c r="CS60" s="22"/>
      <c r="CT60" s="22"/>
      <c r="CU60" s="22"/>
      <c r="CV60" s="22"/>
      <c r="CW60" s="22"/>
      <c r="CX60" s="22"/>
      <c r="CY60" s="22"/>
    </row>
    <row r="61" spans="2:103" x14ac:dyDescent="0.25"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</row>
    <row r="62" spans="2:103" x14ac:dyDescent="0.25"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</row>
    <row r="63" spans="2:103" x14ac:dyDescent="0.25"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</row>
    <row r="64" spans="2:103" x14ac:dyDescent="0.25"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</row>
    <row r="65" spans="65:103" x14ac:dyDescent="0.25"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</row>
    <row r="66" spans="65:103" x14ac:dyDescent="0.25"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</row>
    <row r="67" spans="65:103" x14ac:dyDescent="0.25"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</row>
    <row r="68" spans="65:103" x14ac:dyDescent="0.25">
      <c r="BP68" s="22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2"/>
      <c r="CD68" s="22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2"/>
      <c r="CR68" s="22"/>
      <c r="CS68" s="22"/>
      <c r="CT68" s="22"/>
      <c r="CU68" s="22"/>
      <c r="CV68" s="22"/>
      <c r="CW68" s="22"/>
      <c r="CX68" s="22"/>
      <c r="CY68" s="22"/>
    </row>
    <row r="69" spans="65:103" x14ac:dyDescent="0.25"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2"/>
      <c r="CD69" s="22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2"/>
      <c r="CR69" s="22"/>
      <c r="CS69" s="22"/>
      <c r="CT69" s="22"/>
      <c r="CU69" s="22"/>
      <c r="CV69" s="22"/>
      <c r="CW69" s="22"/>
      <c r="CX69" s="22"/>
      <c r="CY69" s="22"/>
    </row>
    <row r="70" spans="65:103" x14ac:dyDescent="0.25"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2"/>
    </row>
    <row r="71" spans="65:103" x14ac:dyDescent="0.25"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2"/>
      <c r="CD71" s="22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2"/>
      <c r="CR71" s="22"/>
      <c r="CS71" s="22"/>
      <c r="CT71" s="22"/>
      <c r="CU71" s="22"/>
      <c r="CV71" s="22"/>
      <c r="CW71" s="22"/>
      <c r="CX71" s="22"/>
      <c r="CY71" s="22"/>
    </row>
    <row r="72" spans="65:103" x14ac:dyDescent="0.25"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22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2"/>
      <c r="CR72" s="22"/>
      <c r="CS72" s="22"/>
      <c r="CT72" s="22"/>
      <c r="CU72" s="22"/>
      <c r="CV72" s="22"/>
      <c r="CW72" s="22"/>
      <c r="CX72" s="22"/>
      <c r="CY72" s="22"/>
    </row>
    <row r="73" spans="65:103" x14ac:dyDescent="0.25">
      <c r="BU73" s="22"/>
      <c r="BV73" s="22"/>
      <c r="BW73" s="22"/>
      <c r="BX73" s="22"/>
      <c r="BY73" s="22"/>
      <c r="BZ73" s="22"/>
      <c r="CA73" s="22"/>
      <c r="CB73" s="22"/>
      <c r="CC73" s="22"/>
      <c r="CD73" s="22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2"/>
      <c r="CR73" s="22"/>
      <c r="CS73" s="22"/>
      <c r="CT73" s="22"/>
      <c r="CU73" s="22"/>
      <c r="CV73" s="22"/>
      <c r="CW73" s="22"/>
      <c r="CX73" s="22"/>
      <c r="CY73" s="22"/>
    </row>
    <row r="74" spans="65:103" x14ac:dyDescent="0.25">
      <c r="BV74" s="22"/>
      <c r="BW74" s="22"/>
      <c r="BX74" s="22"/>
      <c r="BY74" s="22"/>
      <c r="BZ74" s="22"/>
      <c r="CA74" s="22"/>
      <c r="CB74" s="22"/>
      <c r="CC74" s="22"/>
      <c r="CD74" s="22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2"/>
      <c r="CR74" s="22"/>
      <c r="CS74" s="22"/>
      <c r="CT74" s="22"/>
      <c r="CU74" s="22"/>
      <c r="CV74" s="22"/>
      <c r="CW74" s="22"/>
      <c r="CX74" s="22"/>
      <c r="CY74" s="22"/>
    </row>
    <row r="75" spans="65:103" x14ac:dyDescent="0.25">
      <c r="BW75" s="22"/>
      <c r="BX75" s="22"/>
      <c r="BY75" s="22"/>
      <c r="BZ75" s="22"/>
      <c r="CA75" s="22"/>
      <c r="CB75" s="22"/>
      <c r="CC75" s="22"/>
      <c r="CD75" s="22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2"/>
      <c r="CR75" s="22"/>
      <c r="CS75" s="22"/>
      <c r="CT75" s="22"/>
      <c r="CU75" s="22"/>
      <c r="CV75" s="22"/>
      <c r="CW75" s="22"/>
      <c r="CX75" s="22"/>
      <c r="CY75" s="22"/>
    </row>
    <row r="76" spans="65:103" x14ac:dyDescent="0.25">
      <c r="BX76" s="22"/>
      <c r="BY76" s="22"/>
      <c r="BZ76" s="22"/>
      <c r="CA76" s="22"/>
      <c r="CB76" s="22"/>
      <c r="CC76" s="22"/>
      <c r="CD76" s="22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2"/>
      <c r="CR76" s="22"/>
      <c r="CS76" s="22"/>
      <c r="CT76" s="22"/>
      <c r="CU76" s="22"/>
      <c r="CV76" s="22"/>
      <c r="CW76" s="22"/>
      <c r="CX76" s="22"/>
      <c r="CY76" s="22"/>
    </row>
    <row r="77" spans="65:103" x14ac:dyDescent="0.25">
      <c r="BY77" s="22"/>
      <c r="BZ77" s="22"/>
      <c r="CA77" s="22"/>
      <c r="CB77" s="22"/>
      <c r="CC77" s="22"/>
      <c r="CD77" s="22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2"/>
    </row>
    <row r="78" spans="65:103" x14ac:dyDescent="0.25">
      <c r="BZ78" s="22"/>
      <c r="CA78" s="22"/>
      <c r="CB78" s="22"/>
      <c r="CC78" s="22"/>
      <c r="CD78" s="22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2"/>
      <c r="CR78" s="22"/>
      <c r="CS78" s="22"/>
      <c r="CT78" s="22"/>
      <c r="CU78" s="22"/>
      <c r="CV78" s="22"/>
      <c r="CW78" s="22"/>
      <c r="CX78" s="22"/>
      <c r="CY78" s="22"/>
    </row>
    <row r="79" spans="65:103" x14ac:dyDescent="0.25">
      <c r="CA79" s="22"/>
      <c r="CB79" s="22"/>
      <c r="CC79" s="22"/>
      <c r="CD79" s="22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2"/>
      <c r="CR79" s="22"/>
      <c r="CS79" s="22"/>
      <c r="CT79" s="22"/>
      <c r="CU79" s="22"/>
      <c r="CV79" s="22"/>
      <c r="CW79" s="22"/>
      <c r="CX79" s="22"/>
      <c r="CY79" s="22"/>
    </row>
    <row r="80" spans="65:103" x14ac:dyDescent="0.25">
      <c r="CB80" s="22"/>
      <c r="CC80" s="22"/>
      <c r="CD80" s="22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2"/>
      <c r="CR80" s="22"/>
      <c r="CS80" s="22"/>
      <c r="CT80" s="22"/>
      <c r="CU80" s="22"/>
      <c r="CV80" s="22"/>
      <c r="CW80" s="22"/>
      <c r="CX80" s="22"/>
      <c r="CY80" s="22"/>
    </row>
    <row r="81" spans="81:103" x14ac:dyDescent="0.25">
      <c r="CC81" s="22"/>
      <c r="CD81" s="22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2"/>
      <c r="CR81" s="22"/>
      <c r="CS81" s="22"/>
      <c r="CT81" s="22"/>
      <c r="CU81" s="22"/>
      <c r="CV81" s="22"/>
      <c r="CW81" s="22"/>
      <c r="CX81" s="22"/>
      <c r="CY81" s="22"/>
    </row>
    <row r="82" spans="81:103" x14ac:dyDescent="0.25">
      <c r="CD82" s="22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2"/>
      <c r="CR82" s="22"/>
      <c r="CS82" s="22"/>
      <c r="CT82" s="22"/>
      <c r="CU82" s="22"/>
      <c r="CV82" s="22"/>
      <c r="CW82" s="22"/>
      <c r="CX82" s="22"/>
      <c r="CY82" s="22"/>
    </row>
    <row r="83" spans="81:103" x14ac:dyDescent="0.25"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2"/>
      <c r="CR83" s="22"/>
      <c r="CS83" s="22"/>
      <c r="CT83" s="22"/>
      <c r="CU83" s="22"/>
      <c r="CV83" s="22"/>
      <c r="CW83" s="22"/>
      <c r="CX83" s="22"/>
      <c r="CY83" s="22"/>
    </row>
    <row r="84" spans="81:103" x14ac:dyDescent="0.25"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2"/>
    </row>
    <row r="85" spans="81:103" x14ac:dyDescent="0.25"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2"/>
      <c r="CR85" s="22"/>
      <c r="CS85" s="22"/>
      <c r="CT85" s="22"/>
      <c r="CU85" s="22"/>
      <c r="CV85" s="22"/>
      <c r="CW85" s="22"/>
      <c r="CX85" s="22"/>
      <c r="CY85" s="22"/>
    </row>
    <row r="86" spans="81:103" x14ac:dyDescent="0.25">
      <c r="CH86" s="22"/>
      <c r="CI86" s="22"/>
      <c r="CJ86" s="22"/>
      <c r="CK86" s="22"/>
      <c r="CL86" s="22"/>
      <c r="CM86" s="22"/>
      <c r="CN86" s="22"/>
      <c r="CO86" s="22"/>
      <c r="CP86" s="22"/>
      <c r="CQ86" s="22"/>
      <c r="CR86" s="22"/>
      <c r="CS86" s="22"/>
      <c r="CT86" s="22"/>
      <c r="CU86" s="22"/>
      <c r="CV86" s="22"/>
      <c r="CW86" s="22"/>
      <c r="CX86" s="22"/>
      <c r="CY86" s="22"/>
    </row>
    <row r="87" spans="81:103" x14ac:dyDescent="0.25">
      <c r="CI87" s="22"/>
      <c r="CJ87" s="22"/>
      <c r="CK87" s="22"/>
      <c r="CL87" s="22"/>
      <c r="CM87" s="22"/>
      <c r="CN87" s="22"/>
      <c r="CO87" s="22"/>
      <c r="CP87" s="22"/>
      <c r="CQ87" s="22"/>
      <c r="CR87" s="22"/>
      <c r="CS87" s="22"/>
      <c r="CT87" s="22"/>
      <c r="CU87" s="22"/>
      <c r="CV87" s="22"/>
      <c r="CW87" s="22"/>
      <c r="CX87" s="22"/>
      <c r="CY87" s="22"/>
    </row>
    <row r="88" spans="81:103" x14ac:dyDescent="0.25">
      <c r="CJ88" s="22"/>
      <c r="CK88" s="22"/>
      <c r="CL88" s="22"/>
      <c r="CM88" s="22"/>
      <c r="CN88" s="22"/>
      <c r="CO88" s="22"/>
      <c r="CP88" s="22"/>
      <c r="CQ88" s="22"/>
      <c r="CR88" s="22"/>
      <c r="CS88" s="22"/>
      <c r="CT88" s="22"/>
      <c r="CU88" s="22"/>
      <c r="CV88" s="22"/>
      <c r="CW88" s="22"/>
      <c r="CX88" s="22"/>
      <c r="CY88" s="22"/>
    </row>
    <row r="89" spans="81:103" x14ac:dyDescent="0.25">
      <c r="CK89" s="22"/>
      <c r="CL89" s="22"/>
      <c r="CM89" s="22"/>
      <c r="CN89" s="22"/>
      <c r="CO89" s="22"/>
      <c r="CP89" s="22"/>
      <c r="CQ89" s="22"/>
      <c r="CR89" s="22"/>
      <c r="CS89" s="22"/>
      <c r="CT89" s="22"/>
      <c r="CU89" s="22"/>
      <c r="CV89" s="22"/>
      <c r="CW89" s="22"/>
      <c r="CX89" s="22"/>
      <c r="CY89" s="22"/>
    </row>
    <row r="90" spans="81:103" x14ac:dyDescent="0.25">
      <c r="CL90" s="22"/>
      <c r="CM90" s="22"/>
      <c r="CN90" s="22"/>
      <c r="CO90" s="22"/>
      <c r="CP90" s="22"/>
      <c r="CQ90" s="22"/>
      <c r="CR90" s="22"/>
      <c r="CS90" s="22"/>
      <c r="CT90" s="22"/>
      <c r="CU90" s="22"/>
      <c r="CV90" s="22"/>
      <c r="CW90" s="22"/>
      <c r="CX90" s="22"/>
      <c r="CY90" s="22"/>
    </row>
    <row r="91" spans="81:103" x14ac:dyDescent="0.25">
      <c r="CM91" s="22"/>
      <c r="CN91" s="22"/>
      <c r="CO91" s="22"/>
      <c r="CP91" s="22"/>
      <c r="CQ91" s="22"/>
      <c r="CR91" s="22"/>
      <c r="CS91" s="22"/>
      <c r="CT91" s="22"/>
      <c r="CU91" s="22"/>
      <c r="CV91" s="22"/>
      <c r="CW91" s="22"/>
      <c r="CX91" s="22"/>
      <c r="CY91" s="22"/>
    </row>
    <row r="92" spans="81:103" x14ac:dyDescent="0.25">
      <c r="CN92" s="22"/>
      <c r="CO92" s="22"/>
      <c r="CP92" s="22"/>
      <c r="CQ92" s="22"/>
      <c r="CR92" s="22"/>
      <c r="CS92" s="22"/>
      <c r="CT92" s="22"/>
      <c r="CU92" s="22"/>
      <c r="CV92" s="22"/>
      <c r="CW92" s="22"/>
      <c r="CX92" s="22"/>
      <c r="CY92" s="22"/>
    </row>
    <row r="93" spans="81:103" x14ac:dyDescent="0.25">
      <c r="CO93" s="22"/>
      <c r="CP93" s="22"/>
      <c r="CQ93" s="22"/>
      <c r="CR93" s="22"/>
      <c r="CS93" s="22"/>
      <c r="CT93" s="22"/>
      <c r="CU93" s="22"/>
      <c r="CV93" s="22"/>
      <c r="CW93" s="22"/>
      <c r="CX93" s="22"/>
      <c r="CY93" s="22"/>
    </row>
    <row r="94" spans="81:103" x14ac:dyDescent="0.25">
      <c r="CP94" s="22"/>
      <c r="CQ94" s="22"/>
      <c r="CR94" s="22"/>
      <c r="CS94" s="22"/>
      <c r="CT94" s="22"/>
      <c r="CU94" s="22"/>
      <c r="CV94" s="22"/>
      <c r="CW94" s="22"/>
      <c r="CX94" s="22"/>
      <c r="CY94" s="22"/>
    </row>
    <row r="95" spans="81:103" x14ac:dyDescent="0.25">
      <c r="CQ95" s="22"/>
      <c r="CR95" s="22"/>
      <c r="CS95" s="22"/>
      <c r="CT95" s="22"/>
      <c r="CU95" s="22"/>
      <c r="CV95" s="22"/>
      <c r="CW95" s="22"/>
      <c r="CX95" s="22"/>
      <c r="CY95" s="22"/>
    </row>
    <row r="96" spans="81:103" x14ac:dyDescent="0.25">
      <c r="CR96" s="22"/>
      <c r="CS96" s="22"/>
      <c r="CT96" s="22"/>
      <c r="CU96" s="22"/>
      <c r="CV96" s="22"/>
      <c r="CW96" s="22"/>
      <c r="CX96" s="22"/>
      <c r="CY96" s="22"/>
    </row>
    <row r="97" spans="97:103" x14ac:dyDescent="0.25">
      <c r="CS97" s="22"/>
      <c r="CT97" s="22"/>
      <c r="CU97" s="22"/>
      <c r="CV97" s="22"/>
      <c r="CW97" s="22"/>
      <c r="CX97" s="22"/>
      <c r="CY97" s="22"/>
    </row>
    <row r="98" spans="97:103" x14ac:dyDescent="0.25">
      <c r="CT98" s="22"/>
      <c r="CU98" s="22"/>
      <c r="CV98" s="22"/>
      <c r="CW98" s="22"/>
      <c r="CX98" s="22"/>
      <c r="CY98" s="22"/>
    </row>
    <row r="99" spans="97:103" x14ac:dyDescent="0.25">
      <c r="CU99" s="22"/>
      <c r="CV99" s="22"/>
      <c r="CW99" s="22"/>
      <c r="CX99" s="22"/>
      <c r="CY99" s="22"/>
    </row>
    <row r="100" spans="97:103" x14ac:dyDescent="0.25">
      <c r="CV100" s="22"/>
      <c r="CW100" s="22"/>
      <c r="CX100" s="22"/>
      <c r="CY100" s="22"/>
    </row>
    <row r="101" spans="97:103" x14ac:dyDescent="0.25">
      <c r="CW101" s="22"/>
      <c r="CX101" s="22"/>
      <c r="CY101" s="22"/>
    </row>
    <row r="102" spans="97:103" x14ac:dyDescent="0.25">
      <c r="CX102" s="22"/>
      <c r="CY102" s="22"/>
    </row>
    <row r="103" spans="97:103" x14ac:dyDescent="0.25">
      <c r="CY103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70C0"/>
  </sheetPr>
  <dimension ref="C3:I9"/>
  <sheetViews>
    <sheetView workbookViewId="0"/>
  </sheetViews>
  <sheetFormatPr baseColWidth="10" defaultRowHeight="15" x14ac:dyDescent="0.25"/>
  <sheetData>
    <row r="3" spans="3:9" x14ac:dyDescent="0.25">
      <c r="C3" s="1"/>
      <c r="D3" s="1"/>
      <c r="E3" s="1"/>
      <c r="F3" s="1"/>
      <c r="G3" s="1"/>
      <c r="H3" s="1"/>
      <c r="I3" s="1"/>
    </row>
    <row r="4" spans="3:9" x14ac:dyDescent="0.25">
      <c r="C4" s="1"/>
      <c r="D4" s="1"/>
      <c r="E4" s="1"/>
      <c r="F4" s="1"/>
      <c r="G4" s="1"/>
      <c r="H4" s="1"/>
      <c r="I4" s="1"/>
    </row>
    <row r="5" spans="3:9" x14ac:dyDescent="0.25">
      <c r="D5" s="1"/>
      <c r="E5" s="1"/>
      <c r="F5" s="1"/>
      <c r="G5" s="1"/>
      <c r="H5" s="1"/>
      <c r="I5" s="1"/>
    </row>
    <row r="6" spans="3:9" x14ac:dyDescent="0.25">
      <c r="E6" s="1"/>
      <c r="F6" s="1"/>
      <c r="G6" s="1"/>
      <c r="H6" s="1"/>
      <c r="I6" s="1"/>
    </row>
    <row r="7" spans="3:9" x14ac:dyDescent="0.25">
      <c r="F7" s="1"/>
      <c r="G7" s="1"/>
      <c r="H7" s="1"/>
      <c r="I7" s="1"/>
    </row>
    <row r="8" spans="3:9" x14ac:dyDescent="0.25">
      <c r="G8" s="1"/>
      <c r="H8" s="1"/>
      <c r="I8" s="1"/>
    </row>
    <row r="9" spans="3:9" x14ac:dyDescent="0.25">
      <c r="H9" s="1"/>
      <c r="I9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A1"/>
  <sheetViews>
    <sheetView workbookViewId="0"/>
  </sheetViews>
  <sheetFormatPr baseColWidth="10" defaultRowHeight="15" x14ac:dyDescent="0.25"/>
  <cols>
    <col min="1" max="16384" width="11.42578125" style="4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</sheetPr>
  <dimension ref="A1"/>
  <sheetViews>
    <sheetView workbookViewId="0"/>
  </sheetViews>
  <sheetFormatPr baseColWidth="10" defaultRowHeight="15" x14ac:dyDescent="0.25"/>
  <cols>
    <col min="1" max="16384" width="11.42578125" style="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Gráfica</vt:lpstr>
      <vt:lpstr>Datos</vt:lpstr>
      <vt:lpstr>Stock</vt:lpstr>
      <vt:lpstr>Value option</vt:lpstr>
      <vt:lpstr>Delta</vt:lpstr>
      <vt:lpstr>Bonds</vt:lpstr>
      <vt:lpstr>Payoff</vt:lpstr>
      <vt:lpstr>Binomial</vt:lpstr>
      <vt:lpstr>JR</vt:lpstr>
      <vt:lpstr>CRR</vt:lpstr>
    </vt:vector>
  </TitlesOfParts>
  <Company>ITAM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labfin</dc:creator>
  <cp:lastModifiedBy>Irma Tatiana Renteria Guzman</cp:lastModifiedBy>
  <cp:lastPrinted>2015-10-07T07:24:44Z</cp:lastPrinted>
  <dcterms:created xsi:type="dcterms:W3CDTF">2015-09-11T00:35:14Z</dcterms:created>
  <dcterms:modified xsi:type="dcterms:W3CDTF">2016-04-09T02:09:32Z</dcterms:modified>
</cp:coreProperties>
</file>